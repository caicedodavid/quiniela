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020CF53B-CD51-C340-B576-5577CAE2CE62}"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Z91" i="2"/>
  <c r="Z83" i="2"/>
  <c r="Z59" i="2"/>
  <c r="Z75" i="2"/>
  <c r="Z67" i="2"/>
  <c r="Z11" i="2"/>
  <c r="Z27" i="2" s="1"/>
  <c r="Z43" i="2" s="1"/>
  <c r="Z51" i="2"/>
  <c r="AJ77" i="2"/>
  <c r="AJ93" i="2"/>
  <c r="AJ101" i="2"/>
  <c r="AJ45" i="2"/>
  <c r="AJ85" i="2"/>
  <c r="AJ29" i="2"/>
  <c r="AJ69" i="2"/>
  <c r="AJ37" i="2"/>
  <c r="AJ61" i="2"/>
  <c r="AJ21" i="2"/>
  <c r="N17" i="2"/>
  <c r="L17" i="2"/>
  <c r="K17" i="2"/>
  <c r="I17" i="2"/>
  <c r="H17" i="2"/>
  <c r="Q17" i="2"/>
  <c r="F17" i="2"/>
  <c r="AJ13" i="2"/>
  <c r="O17" i="2"/>
  <c r="R17" i="2"/>
  <c r="Q24" i="2"/>
  <c r="O24" i="2"/>
  <c r="N24" i="2"/>
  <c r="L24" i="2"/>
  <c r="K24" i="2"/>
  <c r="I24" i="2"/>
  <c r="H24" i="2"/>
  <c r="F24" i="2"/>
  <c r="E24" i="2"/>
  <c r="T24" i="2"/>
  <c r="R24" i="2"/>
  <c r="T17" i="2"/>
  <c r="U24" i="2"/>
  <c r="Z68" i="2"/>
  <c r="Z85" i="2"/>
  <c r="Z84" i="2"/>
  <c r="Z69" i="2"/>
  <c r="Z92" i="2"/>
  <c r="Z76" i="2"/>
  <c r="Z77" i="2"/>
  <c r="Z45" i="2"/>
  <c r="Z60" i="2"/>
  <c r="Z52" i="2"/>
  <c r="Z61" i="2"/>
  <c r="Z36" i="2"/>
  <c r="Z44" i="2"/>
  <c r="Z93" i="2"/>
  <c r="Z37" i="2"/>
  <c r="Z21" i="2"/>
  <c r="Z20" i="2"/>
  <c r="Z29" i="2"/>
  <c r="Z53" i="2"/>
  <c r="Z5" i="2"/>
  <c r="Z28" i="2"/>
  <c r="E17" i="2"/>
  <c r="U17" i="2"/>
  <c r="X146" i="2"/>
  <c r="X130" i="2"/>
  <c r="X119" i="2"/>
  <c r="X83" i="2"/>
  <c r="X51" i="2"/>
  <c r="X137" i="2"/>
  <c r="X100" i="2"/>
  <c r="X59" i="2"/>
  <c r="X142" i="2"/>
  <c r="X75" i="2"/>
  <c r="X67" i="2"/>
  <c r="X91" i="2"/>
  <c r="X11" i="2"/>
  <c r="X27" i="2" s="1"/>
  <c r="X43" i="2" s="1"/>
  <c r="AJ53" i="2"/>
  <c r="AC11" i="2"/>
  <c r="N25" i="2"/>
  <c r="AC142" i="2"/>
  <c r="AC119" i="2"/>
  <c r="AC130" i="2"/>
  <c r="AC75" i="2"/>
  <c r="AC91" i="2"/>
  <c r="AC83" i="2"/>
  <c r="AC59" i="2"/>
  <c r="AC100" i="2"/>
  <c r="AC43" i="2"/>
  <c r="AC35" i="2"/>
  <c r="O25" i="2"/>
  <c r="AR29" i="2"/>
  <c r="AD142" i="2"/>
  <c r="AD59" i="2"/>
  <c r="AD91" i="2"/>
  <c r="AD130" i="2"/>
  <c r="AD119" i="2"/>
  <c r="AD43" i="2"/>
  <c r="AD83" i="2"/>
  <c r="AD100" i="2"/>
  <c r="AD75" i="2"/>
  <c r="AD35" i="2"/>
  <c r="AD27" i="2"/>
  <c r="AD67" i="2"/>
  <c r="AD51" i="2"/>
  <c r="Q25" i="2"/>
  <c r="AF137" i="2"/>
  <c r="AF142" i="2"/>
  <c r="AF146" i="2"/>
  <c r="AF59" i="2"/>
  <c r="AF91" i="2"/>
  <c r="AF67" i="2"/>
  <c r="AF100" i="2"/>
  <c r="AF119" i="2"/>
  <c r="AF83" i="2"/>
  <c r="AF75" i="2"/>
  <c r="AF51" i="2"/>
  <c r="AR85" i="2"/>
  <c r="AR53" i="2"/>
  <c r="AR101" i="2"/>
  <c r="AR77" i="2"/>
  <c r="AR37" i="2"/>
  <c r="AR69" i="2"/>
  <c r="AR93" i="2"/>
  <c r="AR61" i="2"/>
  <c r="AR45" i="2"/>
  <c r="U16" i="2"/>
  <c r="R25" i="2"/>
  <c r="BJ5" i="2"/>
  <c r="BJ57" i="2" s="1"/>
  <c r="T25" i="2"/>
  <c r="C184" i="3"/>
  <c r="B202" i="3"/>
  <c r="N41" i="2"/>
  <c r="L41" i="2"/>
  <c r="K41" i="2"/>
  <c r="H41" i="2"/>
  <c r="Q41" i="2"/>
  <c r="U41" i="2"/>
  <c r="T41" i="2"/>
  <c r="AN13" i="4"/>
  <c r="AK31" i="4"/>
  <c r="AF5" i="4"/>
  <c r="AE46" i="4"/>
  <c r="AE29" i="4"/>
  <c r="AC4" i="4"/>
  <c r="I41" i="2"/>
  <c r="K65" i="2"/>
  <c r="I65" i="2"/>
  <c r="H65" i="2"/>
  <c r="N65" i="2"/>
  <c r="R65" i="2"/>
  <c r="Q65" i="2"/>
  <c r="O65" i="2"/>
  <c r="F65" i="2"/>
  <c r="U65" i="2"/>
  <c r="T65" i="2"/>
  <c r="L65" i="2"/>
  <c r="E65" i="2"/>
  <c r="O41" i="2"/>
  <c r="AK32" i="4"/>
  <c r="N125" i="2"/>
  <c r="AF125" i="2" s="1"/>
  <c r="C195" i="3" s="1"/>
  <c r="AG109" i="2"/>
  <c r="AG154" i="2"/>
  <c r="C253" i="3"/>
  <c r="I64" i="2"/>
  <c r="H64" i="2"/>
  <c r="F64" i="2"/>
  <c r="L64" i="2"/>
  <c r="U64" i="2"/>
  <c r="T64" i="2"/>
  <c r="R64" i="2"/>
  <c r="O64" i="2"/>
  <c r="C213" i="3"/>
  <c r="L32" i="2"/>
  <c r="K32" i="2"/>
  <c r="E64" i="2"/>
  <c r="L49" i="2"/>
  <c r="O56" i="2"/>
  <c r="N56" i="2"/>
  <c r="I80" i="2"/>
  <c r="H80" i="2"/>
  <c r="F80" i="2"/>
  <c r="T80" i="2"/>
  <c r="L80" i="2"/>
  <c r="K80" i="2"/>
  <c r="C185" i="3"/>
  <c r="C203" i="3"/>
  <c r="B203" i="3"/>
  <c r="C233" i="3"/>
  <c r="B233" i="3"/>
  <c r="C227" i="3"/>
  <c r="M121" i="2"/>
  <c r="AA120" i="2" s="1"/>
  <c r="AG101" i="2"/>
  <c r="U80" i="2"/>
  <c r="H97" i="2"/>
  <c r="R97" i="2"/>
  <c r="O97" i="2"/>
  <c r="N97" i="2"/>
  <c r="L97" i="2"/>
  <c r="K97" i="2"/>
  <c r="E97" i="2"/>
  <c r="T97" i="2"/>
  <c r="Q97" i="2"/>
  <c r="N120" i="2"/>
  <c r="AF121" i="2" s="1"/>
  <c r="C191" i="3" s="1"/>
  <c r="AG106" i="2"/>
  <c r="F49" i="2"/>
  <c r="R56" i="2"/>
  <c r="I97" i="2"/>
  <c r="C226" i="3"/>
  <c r="C232" i="3"/>
  <c r="B232" i="3"/>
  <c r="AB34" i="9"/>
  <c r="K33" i="8"/>
  <c r="B29" i="8"/>
  <c r="U40" i="2"/>
  <c r="H49" i="2"/>
  <c r="T56" i="2"/>
  <c r="L57" i="2"/>
  <c r="K57" i="2"/>
  <c r="U97" i="2"/>
  <c r="C244" i="3"/>
  <c r="B244" i="3"/>
  <c r="C236" i="3"/>
  <c r="C258" i="3"/>
  <c r="AG160" i="2"/>
  <c r="E48" i="2"/>
  <c r="I49" i="2"/>
  <c r="U56" i="2"/>
  <c r="E57" i="2"/>
  <c r="AG103" i="2"/>
  <c r="M120" i="2"/>
  <c r="AA121" i="2" s="1"/>
  <c r="M125" i="2"/>
  <c r="AA125" i="2" s="1"/>
  <c r="AG110" i="2"/>
  <c r="U73" i="2"/>
  <c r="AG105" i="2"/>
  <c r="N122" i="2"/>
  <c r="AF122" i="2" s="1"/>
  <c r="C192" i="3" s="1"/>
  <c r="M124" i="2"/>
  <c r="AA124" i="2" s="1"/>
  <c r="AG112" i="2"/>
  <c r="E73" i="2"/>
  <c r="O88" i="2"/>
  <c r="C207" i="3"/>
  <c r="N134" i="2"/>
  <c r="AF134" i="2" s="1"/>
  <c r="C217" i="3" s="1"/>
  <c r="AG127" i="2"/>
  <c r="B207" i="3"/>
  <c r="AJ7" i="4"/>
  <c r="AA156" i="2"/>
  <c r="AH154" i="2"/>
  <c r="AA158" i="2"/>
  <c r="AB29" i="9"/>
  <c r="K28" i="8"/>
  <c r="B23" i="8"/>
  <c r="L73" i="2"/>
  <c r="AG115" i="2"/>
  <c r="M126" i="2"/>
  <c r="AA126" i="2" s="1"/>
  <c r="AA155" i="2"/>
  <c r="AB17" i="9"/>
  <c r="K16" i="8"/>
  <c r="B47" i="8"/>
  <c r="AB3" i="4"/>
  <c r="AU25" i="4"/>
  <c r="AI32" i="4"/>
  <c r="Q73" i="2"/>
  <c r="U81" i="2"/>
  <c r="I88" i="2"/>
  <c r="AA159" i="2"/>
  <c r="BA21" i="4"/>
  <c r="R73" i="2"/>
  <c r="E81" i="2"/>
  <c r="K88"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8"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AA81" i="2"/>
  <c r="AA79" i="2"/>
  <c r="A55" i="2"/>
  <c r="BD32" i="2"/>
  <c r="AI22" i="9"/>
  <c r="AF97" i="2"/>
  <c r="R48" i="4" s="1"/>
  <c r="AF94" i="2"/>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AY64" i="2"/>
  <c r="A40" i="2"/>
  <c r="BD25" i="2"/>
  <c r="BC22" i="2"/>
  <c r="BC10" i="2"/>
  <c r="BD20" i="2"/>
  <c r="A31" i="2"/>
  <c r="BC36" i="2"/>
  <c r="BD29" i="2"/>
  <c r="A48" i="2"/>
  <c r="AY16" i="2"/>
  <c r="AA13" i="2"/>
  <c r="AF17" i="2"/>
  <c r="F16" i="4" s="1"/>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R8" i="4" s="1"/>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R31" i="4" s="1"/>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AA97" i="2"/>
  <c r="AF92" i="2"/>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R46" i="4" l="1"/>
  <c r="R45" i="4"/>
  <c r="R30" i="4"/>
  <c r="R29" i="4"/>
  <c r="R6" i="4"/>
  <c r="R13" i="4"/>
  <c r="F46" i="4"/>
  <c r="F14" i="4"/>
  <c r="R43" i="4"/>
  <c r="R28" i="4"/>
  <c r="R27" i="4"/>
  <c r="R4" i="4"/>
  <c r="R3" i="4"/>
  <c r="F43" i="4"/>
  <c r="F4" i="4"/>
  <c r="O6" i="4"/>
  <c r="B43" i="3"/>
  <c r="B72" i="3"/>
  <c r="O31" i="4"/>
  <c r="C47" i="4"/>
  <c r="BC37" i="2"/>
  <c r="BC15" i="2"/>
  <c r="AF33" i="2"/>
  <c r="F32" i="4" s="1"/>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R23" i="4" s="1"/>
  <c r="AY94" i="2"/>
  <c r="AA94" i="2"/>
  <c r="AF96" i="2"/>
  <c r="R47" i="4" s="1"/>
  <c r="AA92" i="2"/>
  <c r="AA49" i="2"/>
  <c r="AA47" i="2"/>
  <c r="AY49" i="2"/>
  <c r="AF45" i="2"/>
  <c r="BC23" i="2"/>
  <c r="BC47" i="2"/>
  <c r="O48" i="4"/>
  <c r="B77" i="3"/>
  <c r="BC19" i="2"/>
  <c r="O5" i="4"/>
  <c r="AA96" i="2"/>
  <c r="AY97" i="2"/>
  <c r="AF93" i="2"/>
  <c r="AA95" i="2"/>
  <c r="AY30" i="2"/>
  <c r="AA30" i="2"/>
  <c r="AF32" i="2"/>
  <c r="F31" i="4" s="1"/>
  <c r="AA28" i="2"/>
  <c r="BC29" i="2"/>
  <c r="BC25" i="2"/>
  <c r="AY39" i="2"/>
  <c r="AA40" i="2"/>
  <c r="AF39" i="2"/>
  <c r="AF36" i="2"/>
  <c r="AF87" i="2"/>
  <c r="AA89" i="2"/>
  <c r="AF84" i="2"/>
  <c r="AY87" i="2"/>
  <c r="C5" i="4"/>
  <c r="O3" i="4"/>
  <c r="B18" i="3"/>
  <c r="O7" i="4"/>
  <c r="AA21" i="2"/>
  <c r="AF25" i="2"/>
  <c r="F24" i="4" s="1"/>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R16" i="4" s="1"/>
  <c r="AF54" i="2"/>
  <c r="AY56" i="2"/>
  <c r="AF56" i="2"/>
  <c r="R7" i="4" s="1"/>
  <c r="AA53" i="2"/>
  <c r="AA84" i="2"/>
  <c r="AF88" i="2"/>
  <c r="R39" i="4" s="1"/>
  <c r="AY86" i="2"/>
  <c r="AA86" i="2"/>
  <c r="BC28" i="2"/>
  <c r="AY72" i="2"/>
  <c r="AA69" i="2"/>
  <c r="AF73" i="2"/>
  <c r="R24" i="4" s="1"/>
  <c r="AF70" i="2"/>
  <c r="AA71" i="2"/>
  <c r="AY73" i="2"/>
  <c r="AA72" i="2"/>
  <c r="AF69" i="2"/>
  <c r="BC11" i="2"/>
  <c r="BC6" i="2"/>
  <c r="AA64" i="2"/>
  <c r="AF63" i="2"/>
  <c r="AF60" i="2"/>
  <c r="AY63" i="2"/>
  <c r="BC34" i="2"/>
  <c r="O30" i="4"/>
  <c r="B49" i="3"/>
  <c r="AF46" i="2"/>
  <c r="AY48" i="2"/>
  <c r="AF48" i="2"/>
  <c r="F47" i="4" s="1"/>
  <c r="AA45" i="2"/>
  <c r="AY7" i="2"/>
  <c r="AF4" i="2"/>
  <c r="AA9" i="2"/>
  <c r="AF6" i="2"/>
  <c r="BC26" i="2"/>
  <c r="BC42" i="2"/>
  <c r="BC39" i="2"/>
  <c r="BC13" i="2"/>
  <c r="BC48" i="2"/>
  <c r="O12" i="4"/>
  <c r="O32" i="4"/>
  <c r="C37" i="4"/>
  <c r="AA17" i="2"/>
  <c r="AF12" i="2"/>
  <c r="AY15" i="2"/>
  <c r="AF14" i="2"/>
  <c r="C35" i="4"/>
  <c r="BC7" i="2"/>
  <c r="AY46" i="2"/>
  <c r="AF49" i="2"/>
  <c r="F48" i="4" s="1"/>
  <c r="AA44" i="2"/>
  <c r="AA46" i="2"/>
  <c r="AF81" i="2"/>
  <c r="R32" i="4" s="1"/>
  <c r="AA78" i="2"/>
  <c r="AY78" i="2"/>
  <c r="AA76" i="2"/>
  <c r="AF71" i="2"/>
  <c r="AA73" i="2"/>
  <c r="AF68" i="2"/>
  <c r="AY71" i="2"/>
  <c r="AF24" i="2"/>
  <c r="F23" i="4" s="1"/>
  <c r="AA23" i="2"/>
  <c r="AA20" i="2"/>
  <c r="AY22" i="2"/>
  <c r="AA14" i="2"/>
  <c r="AF13" i="2"/>
  <c r="AA16" i="2"/>
  <c r="AY17" i="2"/>
  <c r="BC24" i="2"/>
  <c r="AA85" i="2"/>
  <c r="AF89" i="2"/>
  <c r="R40" i="4" s="1"/>
  <c r="AF86" i="2"/>
  <c r="AY88" i="2"/>
  <c r="AY25" i="2"/>
  <c r="AA22" i="2"/>
  <c r="AA24" i="2"/>
  <c r="AF21" i="2"/>
  <c r="BC17" i="2"/>
  <c r="B67" i="3"/>
  <c r="O8" i="4"/>
  <c r="O28" i="4"/>
  <c r="B25" i="3"/>
  <c r="BC14" i="2"/>
  <c r="AY40" i="2"/>
  <c r="AF40" i="2"/>
  <c r="F39" i="4" s="1"/>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38" i="4" l="1"/>
  <c r="R37" i="4"/>
  <c r="R22" i="4"/>
  <c r="R21" i="4"/>
  <c r="R14" i="4"/>
  <c r="R5" i="4"/>
  <c r="F38" i="4"/>
  <c r="F37" i="4"/>
  <c r="F45" i="4"/>
  <c r="F30" i="4"/>
  <c r="F22" i="4"/>
  <c r="F21" i="4"/>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K99" i="2"/>
  <c r="AU109" i="2"/>
  <c r="N107" i="2"/>
  <c r="AF107" i="2" s="1"/>
  <c r="C152" i="3" s="1"/>
  <c r="AU105" i="2"/>
  <c r="AU104" i="2"/>
  <c r="AU103" i="2"/>
  <c r="AU111" i="2"/>
  <c r="N108" i="2"/>
  <c r="AF108" i="2" s="1"/>
  <c r="C153" i="3" s="1"/>
  <c r="AU102" i="2"/>
  <c r="AU113" i="2"/>
  <c r="AU112" i="2"/>
  <c r="N110" i="2"/>
  <c r="AF109" i="2" s="1"/>
  <c r="C154" i="3" s="1"/>
  <c r="DL69" i="2"/>
  <c r="AU107" i="2"/>
  <c r="AY101" i="2"/>
  <c r="DL66" i="2"/>
  <c r="N109" i="2"/>
  <c r="AF110" i="2" s="1"/>
  <c r="C155" i="3" s="1"/>
  <c r="AU106" i="2"/>
  <c r="AU108" i="2"/>
  <c r="N105" i="2"/>
  <c r="AF106" i="2" s="1"/>
  <c r="C151" i="3" s="1"/>
  <c r="N102" i="2"/>
  <c r="AF103" i="2" s="1"/>
  <c r="C148" i="3" s="1"/>
  <c r="DL67" i="2"/>
  <c r="DL64" i="2"/>
  <c r="DL63" i="2"/>
  <c r="DL62" i="2"/>
  <c r="N113" i="2"/>
  <c r="AF113" i="2" s="1"/>
  <c r="C158" i="3" s="1"/>
  <c r="N115" i="2"/>
  <c r="AF116" i="2" s="1"/>
  <c r="C161" i="3" s="1"/>
  <c r="DL68" i="2"/>
  <c r="DL60" i="2"/>
  <c r="AU110" i="2"/>
  <c r="DL65" i="2"/>
  <c r="DL59" i="2"/>
  <c r="DL61" i="2"/>
  <c r="DL58"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176" i="3"/>
  <c r="B173" i="3"/>
  <c r="C173" i="3"/>
  <c r="AA49" i="4"/>
  <c r="C176" i="3"/>
  <c r="B166" i="3"/>
  <c r="BR34" i="2"/>
  <c r="C166" i="3"/>
  <c r="B179" i="3"/>
  <c r="C179" i="3"/>
  <c r="AA4" i="4"/>
  <c r="B171" i="3"/>
  <c r="AA7" i="4"/>
  <c r="BR13" i="2"/>
  <c r="C171" i="3"/>
  <c r="AU101" i="2"/>
  <c r="AV100" i="2" s="1"/>
  <c r="AA37" i="4"/>
  <c r="BR19" i="2"/>
  <c r="AA25" i="4"/>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F70" i="2" s="1"/>
  <c r="BT47" i="2"/>
  <c r="BT43" i="2"/>
  <c r="BT51" i="2"/>
  <c r="BT41" i="2"/>
  <c r="BT38" i="2"/>
  <c r="BT44" i="2"/>
  <c r="BT14" i="2"/>
  <c r="BT42" i="2"/>
  <c r="BT9" i="2"/>
  <c r="E8" i="2" s="1"/>
  <c r="BT37" i="2"/>
  <c r="BT8" i="2"/>
  <c r="F9" i="2" s="1"/>
  <c r="BT18" i="2"/>
  <c r="BT11" i="2"/>
  <c r="BT25" i="2"/>
  <c r="BT39" i="2"/>
  <c r="BT52" i="2"/>
  <c r="BT16" i="2"/>
  <c r="BT32" i="2"/>
  <c r="BT17" i="2"/>
  <c r="BT35" i="2"/>
  <c r="BT26" i="2"/>
  <c r="BT50" i="2"/>
  <c r="BT30" i="2"/>
  <c r="BT34" i="2"/>
  <c r="BT7" i="2"/>
  <c r="E9" i="2" s="1"/>
  <c r="BT27" i="2"/>
  <c r="BT28" i="2"/>
  <c r="BT48" i="2"/>
  <c r="BT20" i="2"/>
  <c r="BT24" i="2"/>
  <c r="BT13" i="2"/>
  <c r="BT23" i="2"/>
  <c r="BT22" i="2"/>
  <c r="BT31" i="2"/>
  <c r="BT49" i="2"/>
  <c r="BT21" i="2"/>
  <c r="BT15" i="2"/>
  <c r="BT45" i="2"/>
  <c r="BT33" i="2"/>
  <c r="BT12" i="2"/>
  <c r="BT6" i="2"/>
  <c r="F8" i="2" s="1"/>
  <c r="BT10" i="2"/>
  <c r="BT46" i="2"/>
  <c r="BT19" i="2"/>
  <c r="BT29" i="2"/>
  <c r="BT53" i="2"/>
  <c r="BT36" i="2"/>
  <c r="F85" i="2" l="1"/>
  <c r="E87" i="2"/>
  <c r="F84" i="2"/>
  <c r="F87" i="2"/>
  <c r="F93" i="2"/>
  <c r="E95" i="2"/>
  <c r="F92" i="2"/>
  <c r="F95" i="2"/>
  <c r="E93" i="2"/>
  <c r="F94" i="2"/>
  <c r="E92" i="2"/>
  <c r="E94" i="2"/>
  <c r="E85" i="2"/>
  <c r="F86" i="2"/>
  <c r="E84" i="2"/>
  <c r="E86" i="2"/>
  <c r="F77" i="2"/>
  <c r="E79" i="2"/>
  <c r="F76" i="2"/>
  <c r="F79" i="2"/>
  <c r="F69" i="2"/>
  <c r="BW40" i="2" s="1"/>
  <c r="E71" i="2"/>
  <c r="F68" i="2"/>
  <c r="F71" i="2"/>
  <c r="E68" i="2"/>
  <c r="E70" i="2"/>
  <c r="E76" i="2"/>
  <c r="E78" i="2"/>
  <c r="E77" i="2"/>
  <c r="F78" i="2"/>
  <c r="F52" i="2"/>
  <c r="F55" i="2"/>
  <c r="F53" i="2"/>
  <c r="E55" i="2"/>
  <c r="F61" i="2"/>
  <c r="E63" i="2"/>
  <c r="F60" i="2"/>
  <c r="F63" i="2"/>
  <c r="E52" i="2"/>
  <c r="E54" i="2"/>
  <c r="E53" i="2"/>
  <c r="F54" i="2"/>
  <c r="E61" i="2"/>
  <c r="F62" i="2"/>
  <c r="E60" i="2"/>
  <c r="E62" i="2"/>
  <c r="F45" i="2"/>
  <c r="E47" i="2"/>
  <c r="F44" i="2"/>
  <c r="BV26" i="2" s="1"/>
  <c r="F47" i="2"/>
  <c r="F37" i="2"/>
  <c r="E39" i="2"/>
  <c r="F36" i="2"/>
  <c r="F39" i="2"/>
  <c r="BV25" i="2" s="1"/>
  <c r="E36" i="2"/>
  <c r="E38" i="2"/>
  <c r="E37" i="2"/>
  <c r="F38" i="2"/>
  <c r="E45" i="2"/>
  <c r="F46" i="2"/>
  <c r="BU26" i="2" s="1"/>
  <c r="E44" i="2"/>
  <c r="BV27" i="2" s="1"/>
  <c r="E46" i="2"/>
  <c r="F28" i="2"/>
  <c r="F31" i="2"/>
  <c r="F29" i="2"/>
  <c r="E31" i="2"/>
  <c r="E21" i="2"/>
  <c r="F23" i="2"/>
  <c r="E20" i="2"/>
  <c r="E23" i="2"/>
  <c r="F20" i="2"/>
  <c r="F22" i="2"/>
  <c r="F21" i="2"/>
  <c r="E22" i="2"/>
  <c r="E29" i="2"/>
  <c r="F30" i="2"/>
  <c r="E28" i="2"/>
  <c r="E30" i="2"/>
  <c r="BW20" i="2" s="1"/>
  <c r="E13" i="2"/>
  <c r="F15" i="2"/>
  <c r="E12" i="2"/>
  <c r="E15" i="2"/>
  <c r="F13" i="2"/>
  <c r="E14" i="2"/>
  <c r="F12" i="2"/>
  <c r="BV10" i="2" s="1"/>
  <c r="F14" i="2"/>
  <c r="BV40" i="2"/>
  <c r="E69" i="2"/>
  <c r="BU41" i="2" s="1"/>
  <c r="E5" i="2"/>
  <c r="F7" i="2"/>
  <c r="E4" i="2"/>
  <c r="E7" i="2"/>
  <c r="F5" i="2"/>
  <c r="BU8" i="2" s="1"/>
  <c r="E6" i="2"/>
  <c r="F4" i="2"/>
  <c r="BU6" i="2" s="1"/>
  <c r="F6" i="2"/>
  <c r="BV9" i="2" s="1"/>
  <c r="BU40" i="2"/>
  <c r="BV17" i="2"/>
  <c r="BW17" i="2"/>
  <c r="BU17" i="2"/>
  <c r="BV28" i="2"/>
  <c r="BW28" i="2"/>
  <c r="BU28" i="2"/>
  <c r="BW27" i="2"/>
  <c r="BU27" i="2"/>
  <c r="BW6" i="2"/>
  <c r="BV6" i="2"/>
  <c r="BV12" i="2"/>
  <c r="BW12" i="2"/>
  <c r="BU12" i="2"/>
  <c r="BV53" i="2"/>
  <c r="BU53" i="2"/>
  <c r="BW53" i="2"/>
  <c r="BV24" i="2"/>
  <c r="BW24" i="2"/>
  <c r="BU24" i="2"/>
  <c r="BW26" i="2"/>
  <c r="BU25" i="2"/>
  <c r="BW25" i="2"/>
  <c r="BV20" i="2"/>
  <c r="BU20" i="2"/>
  <c r="BW8" i="2"/>
  <c r="BV8" i="2"/>
  <c r="BW46" i="2"/>
  <c r="BV46" i="2"/>
  <c r="BU46" i="2"/>
  <c r="BV31" i="2"/>
  <c r="BW31" i="2"/>
  <c r="BU31" i="2"/>
  <c r="BW14" i="2"/>
  <c r="BV14" i="2"/>
  <c r="BU14" i="2"/>
  <c r="BW23" i="2"/>
  <c r="BV23" i="2"/>
  <c r="BU23" i="2"/>
  <c r="BU45" i="2"/>
  <c r="BV45" i="2"/>
  <c r="BW45" i="2"/>
  <c r="BV35" i="2"/>
  <c r="BU35" i="2"/>
  <c r="BW35" i="2"/>
  <c r="BV11" i="2"/>
  <c r="BU11" i="2"/>
  <c r="BW11" i="2"/>
  <c r="BV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U34" i="2"/>
  <c r="BW34" i="2"/>
  <c r="BV34" i="2"/>
  <c r="BU52" i="2"/>
  <c r="BV52" i="2"/>
  <c r="BW52" i="2"/>
  <c r="BW19" i="2"/>
  <c r="BV19" i="2"/>
  <c r="BU19" i="2"/>
  <c r="BV21" i="2"/>
  <c r="BU21" i="2"/>
  <c r="BW21" i="2"/>
  <c r="BW9" i="2"/>
  <c r="BU9" i="2"/>
  <c r="BV22" i="2"/>
  <c r="BU22" i="2"/>
  <c r="BW22" i="2"/>
  <c r="BW33" i="2"/>
  <c r="BV33" i="2"/>
  <c r="BU33" i="2"/>
  <c r="BW44" i="2"/>
  <c r="BV44" i="2"/>
  <c r="BU44" i="2"/>
  <c r="BU15" i="2"/>
  <c r="BW15" i="2"/>
  <c r="BV15" i="2"/>
  <c r="BW43" i="2"/>
  <c r="BV43" i="2"/>
  <c r="BU43" i="2"/>
  <c r="BW49" i="2"/>
  <c r="BV49" i="2"/>
  <c r="BU49" i="2"/>
  <c r="BW7" i="2"/>
  <c r="BV7" i="2"/>
  <c r="BU7" i="2"/>
  <c r="BU30" i="2"/>
  <c r="BV30" i="2"/>
  <c r="BW30" i="2"/>
  <c r="BU39" i="2"/>
  <c r="BV39" i="2"/>
  <c r="BW39" i="2"/>
  <c r="BU36" i="2"/>
  <c r="BW36" i="2"/>
  <c r="BV36" i="2"/>
  <c r="BW13" i="2"/>
  <c r="BV13" i="2"/>
  <c r="BU13" i="2"/>
  <c r="BW50" i="2"/>
  <c r="BV50" i="2"/>
  <c r="BU50" i="2"/>
  <c r="BW38" i="2"/>
  <c r="BV38" i="2"/>
  <c r="BU38" i="2"/>
  <c r="BX40" i="2" l="1"/>
  <c r="BX32" i="2"/>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BZ40" i="2"/>
  <c r="BZ42" i="2"/>
  <c r="H78" i="2" s="1"/>
  <c r="BZ45" i="2"/>
  <c r="H79" i="2" s="1"/>
  <c r="BZ24" i="2"/>
  <c r="I38" i="2" s="1"/>
  <c r="BZ36" i="2"/>
  <c r="I62" i="2" s="1"/>
  <c r="BZ39" i="2"/>
  <c r="I71" i="2" s="1"/>
  <c r="BZ31" i="2"/>
  <c r="I55" i="2" s="1"/>
  <c r="BZ22" i="2"/>
  <c r="H38" i="2" s="1"/>
  <c r="BZ23" i="2"/>
  <c r="I39" i="2" s="1"/>
  <c r="BZ33" i="2"/>
  <c r="H55" i="2" s="1"/>
  <c r="BZ21" i="2"/>
  <c r="H31" i="2" s="1"/>
  <c r="BZ27" i="2"/>
  <c r="I47" i="2" s="1"/>
  <c r="BZ12" i="2"/>
  <c r="BZ53" i="2"/>
  <c r="H95" i="2" s="1"/>
  <c r="BZ25" i="2"/>
  <c r="H39" i="2" s="1"/>
  <c r="BZ51" i="2"/>
  <c r="I95" i="2" s="1"/>
  <c r="BZ16" i="2"/>
  <c r="I23" i="2" s="1"/>
  <c r="BZ50" i="2"/>
  <c r="H94" i="2" s="1"/>
  <c r="BZ34" i="2"/>
  <c r="H62" i="2" s="1"/>
  <c r="BZ41" i="2"/>
  <c r="H71" i="2" s="1"/>
  <c r="BZ30" i="2"/>
  <c r="H54" i="2" s="1"/>
  <c r="BZ9" i="2"/>
  <c r="H8" i="2" s="1"/>
  <c r="BZ32" i="2"/>
  <c r="I54" i="2" s="1"/>
  <c r="BZ17" i="2"/>
  <c r="H22" i="2" s="1"/>
  <c r="BZ47" i="2"/>
  <c r="I87" i="2" s="1"/>
  <c r="BZ6" i="2"/>
  <c r="BZ38" i="2"/>
  <c r="H70" i="2" s="1"/>
  <c r="BZ46" i="2"/>
  <c r="H86" i="2" s="1"/>
  <c r="BZ15" i="2"/>
  <c r="I22" i="2" s="1"/>
  <c r="BZ44" i="2"/>
  <c r="I78" i="2" s="1"/>
  <c r="BZ48" i="2"/>
  <c r="I86" i="2" s="1"/>
  <c r="BZ26" i="2"/>
  <c r="H46" i="2" s="1"/>
  <c r="BZ19" i="2"/>
  <c r="I31" i="2" s="1"/>
  <c r="BZ20" i="2"/>
  <c r="I30" i="2" s="1"/>
  <c r="BZ29" i="2"/>
  <c r="H47" i="2" s="1"/>
  <c r="BZ10" i="2"/>
  <c r="H15" i="2" s="1"/>
  <c r="BZ8" i="2"/>
  <c r="BZ28" i="2"/>
  <c r="I46" i="2" s="1"/>
  <c r="BZ37" i="2"/>
  <c r="H63" i="2" s="1"/>
  <c r="BZ52" i="2"/>
  <c r="I94" i="2" s="1"/>
  <c r="BZ13" i="2"/>
  <c r="H14" i="2" s="1"/>
  <c r="BZ35" i="2"/>
  <c r="I63" i="2" s="1"/>
  <c r="BZ18" i="2"/>
  <c r="H30" i="2" s="1"/>
  <c r="BZ43" i="2"/>
  <c r="I79" i="2" s="1"/>
  <c r="BZ11" i="2"/>
  <c r="I14" i="2" s="1"/>
  <c r="BZ14" i="2"/>
  <c r="H23" i="2" s="1"/>
  <c r="BZ7" i="2"/>
  <c r="H9" i="2" s="1"/>
  <c r="I85" i="2" l="1"/>
  <c r="H87" i="2"/>
  <c r="H69" i="2"/>
  <c r="I70" i="2"/>
  <c r="CA49" i="2"/>
  <c r="CB49" i="2"/>
  <c r="H13" i="2"/>
  <c r="I15" i="2"/>
  <c r="CA48" i="2"/>
  <c r="H85" i="2"/>
  <c r="H93" i="2"/>
  <c r="CA53" i="2"/>
  <c r="I93" i="2"/>
  <c r="CB52" i="2" s="1"/>
  <c r="H92" i="2"/>
  <c r="CA51" i="2" s="1"/>
  <c r="I92" i="2"/>
  <c r="CA50" i="2" s="1"/>
  <c r="I84" i="2"/>
  <c r="CA46" i="2" s="1"/>
  <c r="H84" i="2"/>
  <c r="CA47" i="2" s="1"/>
  <c r="H77" i="2"/>
  <c r="CA45" i="2" s="1"/>
  <c r="I77" i="2"/>
  <c r="CB44" i="2" s="1"/>
  <c r="I76" i="2"/>
  <c r="CB42" i="2" s="1"/>
  <c r="CB45" i="2"/>
  <c r="H76" i="2"/>
  <c r="CB43" i="2" s="1"/>
  <c r="CB41" i="2"/>
  <c r="I69" i="2"/>
  <c r="I68" i="2"/>
  <c r="CB38" i="2" s="1"/>
  <c r="H68" i="2"/>
  <c r="CB39" i="2" s="1"/>
  <c r="H53" i="2"/>
  <c r="CB33" i="2" s="1"/>
  <c r="I53" i="2"/>
  <c r="CB32" i="2" s="1"/>
  <c r="H61" i="2"/>
  <c r="CA37" i="2" s="1"/>
  <c r="I61" i="2"/>
  <c r="CB36" i="2" s="1"/>
  <c r="H52" i="2"/>
  <c r="CA31" i="2" s="1"/>
  <c r="I52" i="2"/>
  <c r="CB30" i="2" s="1"/>
  <c r="H60" i="2"/>
  <c r="CB35" i="2" s="1"/>
  <c r="I60" i="2"/>
  <c r="CA34" i="2" s="1"/>
  <c r="CB29" i="2"/>
  <c r="I45" i="2"/>
  <c r="CA28" i="2"/>
  <c r="H45" i="2"/>
  <c r="H37" i="2"/>
  <c r="CB25" i="2" s="1"/>
  <c r="I37" i="2"/>
  <c r="CA24" i="2" s="1"/>
  <c r="H44" i="2"/>
  <c r="CA27" i="2" s="1"/>
  <c r="I44" i="2"/>
  <c r="CB26" i="2" s="1"/>
  <c r="I36" i="2"/>
  <c r="CB22" i="2" s="1"/>
  <c r="H36" i="2"/>
  <c r="CB23" i="2" s="1"/>
  <c r="I29" i="2"/>
  <c r="CB20" i="2" s="1"/>
  <c r="H29" i="2"/>
  <c r="CA21" i="2" s="1"/>
  <c r="CA16" i="2"/>
  <c r="H21" i="2"/>
  <c r="CB17" i="2"/>
  <c r="I21" i="2"/>
  <c r="I20" i="2"/>
  <c r="CB14" i="2" s="1"/>
  <c r="H20" i="2"/>
  <c r="CB15" i="2" s="1"/>
  <c r="CA13" i="2"/>
  <c r="I13" i="2"/>
  <c r="I28" i="2"/>
  <c r="CB18" i="2" s="1"/>
  <c r="H28" i="2"/>
  <c r="CA19" i="2" s="1"/>
  <c r="I12" i="2"/>
  <c r="CB10" i="2" s="1"/>
  <c r="H12" i="2"/>
  <c r="CA11" i="2" s="1"/>
  <c r="CB28" i="2"/>
  <c r="CC28" i="2" s="1"/>
  <c r="CA17" i="2"/>
  <c r="CC17" i="2" s="1"/>
  <c r="CA29" i="2"/>
  <c r="CC29" i="2" s="1"/>
  <c r="CB53" i="2"/>
  <c r="I7" i="2"/>
  <c r="I9" i="2"/>
  <c r="CB16" i="2"/>
  <c r="CC16" i="2" s="1"/>
  <c r="H7" i="2"/>
  <c r="I8" i="2"/>
  <c r="CB47" i="2"/>
  <c r="I4" i="2"/>
  <c r="CB6" i="2" s="1"/>
  <c r="I6" i="2"/>
  <c r="I5" i="2"/>
  <c r="H6" i="2"/>
  <c r="CA44" i="2"/>
  <c r="H5" i="2"/>
  <c r="CA52" i="2"/>
  <c r="CB13" i="2"/>
  <c r="CB37" i="2"/>
  <c r="CB51" i="2"/>
  <c r="CB48" i="2"/>
  <c r="CC48" i="2" s="1"/>
  <c r="H4" i="2"/>
  <c r="CA41" i="2"/>
  <c r="CC49" i="2"/>
  <c r="CA38" i="2" l="1"/>
  <c r="CC38" i="2" s="1"/>
  <c r="CC53" i="2"/>
  <c r="CB8" i="2"/>
  <c r="CA43" i="2"/>
  <c r="CC43" i="2" s="1"/>
  <c r="CB50" i="2"/>
  <c r="CC50" i="2" s="1"/>
  <c r="CC41" i="2"/>
  <c r="CB46" i="2"/>
  <c r="CC46" i="2" s="1"/>
  <c r="CA36" i="2"/>
  <c r="CC36" i="2" s="1"/>
  <c r="CA42" i="2"/>
  <c r="CC42" i="2" s="1"/>
  <c r="CC51" i="2"/>
  <c r="CA39" i="2"/>
  <c r="CC39" i="2" s="1"/>
  <c r="CC52" i="2"/>
  <c r="CC47" i="2"/>
  <c r="CA35" i="2"/>
  <c r="CC35" i="2" s="1"/>
  <c r="CC45" i="2"/>
  <c r="CA25" i="2"/>
  <c r="CC25" i="2" s="1"/>
  <c r="CA33" i="2"/>
  <c r="CC33" i="2" s="1"/>
  <c r="CA32" i="2"/>
  <c r="CC32" i="2" s="1"/>
  <c r="CC44" i="2"/>
  <c r="CB31" i="2"/>
  <c r="CC31" i="2" s="1"/>
  <c r="CC37" i="2"/>
  <c r="CA20" i="2"/>
  <c r="CC20" i="2" s="1"/>
  <c r="CB19" i="2"/>
  <c r="CC19" i="2" s="1"/>
  <c r="CB24" i="2"/>
  <c r="CC24" i="2" s="1"/>
  <c r="CA26" i="2"/>
  <c r="CC26" i="2" s="1"/>
  <c r="CB34" i="2"/>
  <c r="CC34" i="2" s="1"/>
  <c r="CA30" i="2"/>
  <c r="CC30" i="2" s="1"/>
  <c r="CA22" i="2"/>
  <c r="CC22" i="2" s="1"/>
  <c r="CA40" i="2"/>
  <c r="CB40" i="2"/>
  <c r="CA23" i="2"/>
  <c r="CC23" i="2" s="1"/>
  <c r="CA14" i="2"/>
  <c r="CC14" i="2" s="1"/>
  <c r="CB27" i="2"/>
  <c r="CC27" i="2" s="1"/>
  <c r="CB21" i="2"/>
  <c r="CC21" i="2" s="1"/>
  <c r="CA15" i="2"/>
  <c r="CC15" i="2" s="1"/>
  <c r="CA18" i="2"/>
  <c r="CC18" i="2" s="1"/>
  <c r="CC13" i="2"/>
  <c r="CB11" i="2"/>
  <c r="CC11" i="2" s="1"/>
  <c r="CA6" i="2"/>
  <c r="CC6" i="2" s="1"/>
  <c r="CA8" i="2"/>
  <c r="CC8" i="2" s="1"/>
  <c r="CA10" i="2"/>
  <c r="CC10" i="2" s="1"/>
  <c r="CB12" i="2"/>
  <c r="CA12" i="2"/>
  <c r="CA9" i="2"/>
  <c r="CB9" i="2"/>
  <c r="CB7" i="2"/>
  <c r="CA7" i="2"/>
  <c r="CC40" i="2" l="1"/>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K22" i="2" s="1"/>
  <c r="CE29" i="2"/>
  <c r="K47" i="2" s="1"/>
  <c r="CE23" i="2"/>
  <c r="L39" i="2" s="1"/>
  <c r="CE30" i="2"/>
  <c r="K54" i="2" s="1"/>
  <c r="CE51" i="2"/>
  <c r="L95" i="2" s="1"/>
  <c r="CE53" i="2"/>
  <c r="K95" i="2" s="1"/>
  <c r="CE44" i="2"/>
  <c r="L78" i="2" s="1"/>
  <c r="CE52" i="2"/>
  <c r="L94" i="2" s="1"/>
  <c r="CE24" i="2"/>
  <c r="L38" i="2" s="1"/>
  <c r="CE50" i="2"/>
  <c r="K94" i="2" s="1"/>
  <c r="CE27" i="2"/>
  <c r="L47" i="2" s="1"/>
  <c r="CE39" i="2"/>
  <c r="L71" i="2" s="1"/>
  <c r="CE36" i="2"/>
  <c r="L62" i="2" s="1"/>
  <c r="CE42" i="2"/>
  <c r="K78" i="2" s="1"/>
  <c r="CE7" i="2"/>
  <c r="CE25" i="2"/>
  <c r="K39" i="2" s="1"/>
  <c r="CE20" i="2"/>
  <c r="L30" i="2" s="1"/>
  <c r="CE47" i="2"/>
  <c r="L87" i="2" s="1"/>
  <c r="CE34" i="2"/>
  <c r="K62" i="2" s="1"/>
  <c r="CE6" i="2"/>
  <c r="L8" i="2" s="1"/>
  <c r="CE33" i="2"/>
  <c r="K55" i="2" s="1"/>
  <c r="CE11" i="2"/>
  <c r="L14" i="2" s="1"/>
  <c r="CE15" i="2"/>
  <c r="L22" i="2" s="1"/>
  <c r="CE32" i="2"/>
  <c r="L54" i="2" s="1"/>
  <c r="CE8" i="2"/>
  <c r="L9" i="2" s="1"/>
  <c r="CE31" i="2"/>
  <c r="L55" i="2" s="1"/>
  <c r="CE45" i="2"/>
  <c r="K79" i="2" s="1"/>
  <c r="CE12" i="2"/>
  <c r="L15" i="2" s="1"/>
  <c r="CE22" i="2"/>
  <c r="K38" i="2" s="1"/>
  <c r="CE37" i="2"/>
  <c r="K63" i="2" s="1"/>
  <c r="CE9" i="2"/>
  <c r="CE49" i="2"/>
  <c r="K87" i="2" s="1"/>
  <c r="CE28" i="2"/>
  <c r="L46" i="2" s="1"/>
  <c r="CE21" i="2"/>
  <c r="K31" i="2" s="1"/>
  <c r="CE48" i="2"/>
  <c r="L86" i="2" s="1"/>
  <c r="CE10" i="2"/>
  <c r="K15" i="2" s="1"/>
  <c r="CE13" i="2"/>
  <c r="K14" i="2" s="1"/>
  <c r="CE40" i="2"/>
  <c r="L70" i="2" s="1"/>
  <c r="CE38" i="2"/>
  <c r="K70" i="2" s="1"/>
  <c r="CE35" i="2"/>
  <c r="L63" i="2" s="1"/>
  <c r="CE16" i="2"/>
  <c r="L23" i="2" s="1"/>
  <c r="CE26" i="2"/>
  <c r="K46" i="2" s="1"/>
  <c r="CE19" i="2"/>
  <c r="L31" i="2" s="1"/>
  <c r="CE18" i="2"/>
  <c r="K30" i="2" s="1"/>
  <c r="CE41" i="2"/>
  <c r="K71" i="2" s="1"/>
  <c r="CE43" i="2"/>
  <c r="L79" i="2" s="1"/>
  <c r="CE14" i="2"/>
  <c r="K23" i="2" s="1"/>
  <c r="CE46" i="2"/>
  <c r="K86" i="2" s="1"/>
  <c r="CF48" i="2" l="1"/>
  <c r="K85" i="2"/>
  <c r="CF49" i="2"/>
  <c r="L85" i="2"/>
  <c r="K93" i="2"/>
  <c r="CF53" i="2"/>
  <c r="L93" i="2"/>
  <c r="CF52" i="2" s="1"/>
  <c r="L92" i="2"/>
  <c r="CF50" i="2" s="1"/>
  <c r="K92" i="2"/>
  <c r="CF51" i="2" s="1"/>
  <c r="L84" i="2"/>
  <c r="CF46" i="2" s="1"/>
  <c r="K84" i="2"/>
  <c r="CF47" i="2" s="1"/>
  <c r="K77" i="2"/>
  <c r="CF45" i="2" s="1"/>
  <c r="L77" i="2"/>
  <c r="CF44" i="2" s="1"/>
  <c r="L76" i="2"/>
  <c r="CF42" i="2" s="1"/>
  <c r="K76" i="2"/>
  <c r="CF43" i="2" s="1"/>
  <c r="L69" i="2"/>
  <c r="CF40" i="2" s="1"/>
  <c r="K69" i="2"/>
  <c r="CF41" i="2" s="1"/>
  <c r="L68" i="2"/>
  <c r="CF38" i="2" s="1"/>
  <c r="K68" i="2"/>
  <c r="CF39" i="2" s="1"/>
  <c r="K53" i="2"/>
  <c r="CF33" i="2" s="1"/>
  <c r="L53" i="2"/>
  <c r="CF32" i="2" s="1"/>
  <c r="L61" i="2"/>
  <c r="CF36" i="2" s="1"/>
  <c r="K61" i="2"/>
  <c r="CF37" i="2" s="1"/>
  <c r="K52" i="2"/>
  <c r="CF31" i="2" s="1"/>
  <c r="L52" i="2"/>
  <c r="CF30" i="2" s="1"/>
  <c r="K60" i="2"/>
  <c r="CF35" i="2" s="1"/>
  <c r="L60" i="2"/>
  <c r="CF34" i="2" s="1"/>
  <c r="CF28" i="2"/>
  <c r="K45" i="2"/>
  <c r="CF29" i="2"/>
  <c r="L45" i="2"/>
  <c r="K37" i="2"/>
  <c r="CF25" i="2" s="1"/>
  <c r="L37" i="2"/>
  <c r="CF24" i="2" s="1"/>
  <c r="L44" i="2"/>
  <c r="CF26" i="2" s="1"/>
  <c r="K44" i="2"/>
  <c r="CF27" i="2" s="1"/>
  <c r="K36" i="2"/>
  <c r="CF23" i="2" s="1"/>
  <c r="L36" i="2"/>
  <c r="CF22" i="2" s="1"/>
  <c r="L29" i="2"/>
  <c r="CF20" i="2" s="1"/>
  <c r="K29" i="2"/>
  <c r="CF21" i="2" s="1"/>
  <c r="CF16" i="2"/>
  <c r="K21" i="2"/>
  <c r="CF17" i="2"/>
  <c r="L21" i="2"/>
  <c r="K20" i="2"/>
  <c r="CF15" i="2" s="1"/>
  <c r="L20" i="2"/>
  <c r="CF14" i="2" s="1"/>
  <c r="K13" i="2"/>
  <c r="CF13" i="2" s="1"/>
  <c r="L13" i="2"/>
  <c r="CF12" i="2" s="1"/>
  <c r="K28" i="2"/>
  <c r="CF19" i="2" s="1"/>
  <c r="L28" i="2"/>
  <c r="CF18" i="2" s="1"/>
  <c r="K12" i="2"/>
  <c r="CF11" i="2" s="1"/>
  <c r="L12" i="2"/>
  <c r="CF10" i="2" s="1"/>
  <c r="L6" i="2"/>
  <c r="K9" i="2"/>
  <c r="K6" i="2"/>
  <c r="K8" i="2"/>
  <c r="L4" i="2"/>
  <c r="L7" i="2"/>
  <c r="K4" i="2"/>
  <c r="K7" i="2"/>
  <c r="L5" i="2"/>
  <c r="CF8" i="2" s="1"/>
  <c r="K5" i="2"/>
  <c r="CF7" i="2" l="1"/>
  <c r="CF9" i="2"/>
  <c r="CF6" i="2"/>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N71" i="2" s="1"/>
  <c r="CH7" i="2"/>
  <c r="O4" i="2" s="1"/>
  <c r="CH28" i="2"/>
  <c r="CH6" i="2"/>
  <c r="N4" i="2" s="1"/>
  <c r="CH34" i="2"/>
  <c r="N62" i="2" s="1"/>
  <c r="CH16" i="2"/>
  <c r="CH44" i="2"/>
  <c r="O78" i="2" s="1"/>
  <c r="CH25" i="2"/>
  <c r="N39" i="2" s="1"/>
  <c r="CH8" i="2"/>
  <c r="O9" i="2" s="1"/>
  <c r="CH45" i="2"/>
  <c r="N79" i="2" s="1"/>
  <c r="CH18" i="2"/>
  <c r="CH23" i="2"/>
  <c r="CH47" i="2"/>
  <c r="O87" i="2" s="1"/>
  <c r="CH32" i="2"/>
  <c r="O54" i="2" s="1"/>
  <c r="CH43" i="2"/>
  <c r="O79" i="2" s="1"/>
  <c r="CH49" i="2"/>
  <c r="N87" i="2" s="1"/>
  <c r="CH14" i="2"/>
  <c r="N23" i="2" s="1"/>
  <c r="CH38" i="2"/>
  <c r="CH36" i="2"/>
  <c r="O62" i="2" s="1"/>
  <c r="CH46" i="2"/>
  <c r="N86" i="2" s="1"/>
  <c r="CH48" i="2"/>
  <c r="O86" i="2" s="1"/>
  <c r="CH24" i="2"/>
  <c r="O38" i="2" s="1"/>
  <c r="CH31" i="2"/>
  <c r="O55" i="2" s="1"/>
  <c r="CH12" i="2"/>
  <c r="O15" i="2" s="1"/>
  <c r="CH37" i="2"/>
  <c r="N63" i="2" s="1"/>
  <c r="CH35" i="2"/>
  <c r="O63" i="2" s="1"/>
  <c r="CH53" i="2"/>
  <c r="N95" i="2" s="1"/>
  <c r="CH17" i="2"/>
  <c r="N22" i="2" s="1"/>
  <c r="CH19" i="2"/>
  <c r="O31" i="2" s="1"/>
  <c r="CH52" i="2"/>
  <c r="CH51" i="2"/>
  <c r="O95" i="2" s="1"/>
  <c r="CH9" i="2"/>
  <c r="O5" i="2" s="1"/>
  <c r="CH30" i="2"/>
  <c r="N54" i="2" s="1"/>
  <c r="CH13" i="2"/>
  <c r="N14" i="2" s="1"/>
  <c r="CH42" i="2"/>
  <c r="N78" i="2" s="1"/>
  <c r="CH27" i="2"/>
  <c r="O47" i="2" s="1"/>
  <c r="CH40" i="2"/>
  <c r="N9" i="2"/>
  <c r="CH26" i="2"/>
  <c r="CH11" i="2"/>
  <c r="CH33" i="2"/>
  <c r="CH22" i="2"/>
  <c r="CH21" i="2"/>
  <c r="CH15" i="2"/>
  <c r="O22" i="2" s="1"/>
  <c r="CH10" i="2"/>
  <c r="CH39" i="2"/>
  <c r="CH29" i="2"/>
  <c r="CH20" i="2"/>
  <c r="O30" i="2" s="1"/>
  <c r="CH50" i="2"/>
  <c r="O8" i="2"/>
  <c r="CJ28" i="2"/>
  <c r="N93" i="2" l="1"/>
  <c r="O94" i="2"/>
  <c r="N92" i="2"/>
  <c r="N94" i="2"/>
  <c r="CK41" i="2"/>
  <c r="O68" i="2"/>
  <c r="O71" i="2"/>
  <c r="N68" i="2"/>
  <c r="N70" i="2"/>
  <c r="N69" i="2"/>
  <c r="O70" i="2"/>
  <c r="O53" i="2"/>
  <c r="N55" i="2"/>
  <c r="O45" i="2"/>
  <c r="N47" i="2"/>
  <c r="O36" i="2"/>
  <c r="O39" i="2"/>
  <c r="CJ25" i="2" s="1"/>
  <c r="N36" i="2"/>
  <c r="N38" i="2"/>
  <c r="N44" i="2"/>
  <c r="N46" i="2"/>
  <c r="N45" i="2"/>
  <c r="O46" i="2"/>
  <c r="N7" i="2"/>
  <c r="O29" i="2"/>
  <c r="N31" i="2"/>
  <c r="CI16" i="2"/>
  <c r="O23" i="2"/>
  <c r="CK18" i="2"/>
  <c r="N30" i="2"/>
  <c r="O7" i="2"/>
  <c r="N12" i="2"/>
  <c r="N15" i="2"/>
  <c r="O12" i="2"/>
  <c r="O14" i="2"/>
  <c r="CI41" i="2"/>
  <c r="CK28" i="2"/>
  <c r="O6" i="2"/>
  <c r="CJ48" i="2"/>
  <c r="N85" i="2"/>
  <c r="CI49" i="2"/>
  <c r="O85" i="2"/>
  <c r="CI28" i="2"/>
  <c r="CJ53" i="2"/>
  <c r="O93" i="2"/>
  <c r="CI52" i="2" s="1"/>
  <c r="CK51" i="2"/>
  <c r="O92" i="2"/>
  <c r="CK46" i="2"/>
  <c r="N84" i="2"/>
  <c r="CI47" i="2"/>
  <c r="O84" i="2"/>
  <c r="CJ45" i="2"/>
  <c r="O77" i="2"/>
  <c r="CI44" i="2" s="1"/>
  <c r="N77" i="2"/>
  <c r="CJ43" i="2"/>
  <c r="O76" i="2"/>
  <c r="CI42" i="2" s="1"/>
  <c r="N76" i="2"/>
  <c r="CK43" i="2" s="1"/>
  <c r="N5" i="2"/>
  <c r="CJ41" i="2"/>
  <c r="O69" i="2"/>
  <c r="CK40" i="2" s="1"/>
  <c r="CI32" i="2"/>
  <c r="N53" i="2"/>
  <c r="CI36" i="2"/>
  <c r="N61" i="2"/>
  <c r="CJ37" i="2" s="1"/>
  <c r="CK37" i="2"/>
  <c r="O61" i="2"/>
  <c r="O52" i="2"/>
  <c r="CJ30" i="2" s="1"/>
  <c r="N52" i="2"/>
  <c r="CJ31" i="2" s="1"/>
  <c r="O60" i="2"/>
  <c r="CJ34" i="2" s="1"/>
  <c r="N60" i="2"/>
  <c r="CJ35" i="2" s="1"/>
  <c r="CJ24" i="2"/>
  <c r="N37" i="2"/>
  <c r="CK25" i="2" s="1"/>
  <c r="O37" i="2"/>
  <c r="CI24" i="2" s="1"/>
  <c r="CI27" i="2"/>
  <c r="O44" i="2"/>
  <c r="CJ26" i="2" s="1"/>
  <c r="CI45" i="2"/>
  <c r="CK20" i="2"/>
  <c r="N29" i="2"/>
  <c r="CK45" i="2"/>
  <c r="CI8" i="2"/>
  <c r="CK17" i="2"/>
  <c r="O21" i="2"/>
  <c r="CJ16" i="2"/>
  <c r="N21" i="2"/>
  <c r="CI15" i="2"/>
  <c r="O20" i="2"/>
  <c r="CJ14" i="2" s="1"/>
  <c r="CI14" i="2"/>
  <c r="N20" i="2"/>
  <c r="CJ15" i="2" s="1"/>
  <c r="CI34" i="2"/>
  <c r="CJ32" i="2"/>
  <c r="CI43" i="2"/>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J36" i="2"/>
  <c r="CK42" i="2"/>
  <c r="CJ44" i="2"/>
  <c r="CK34" i="2"/>
  <c r="CK7" i="2"/>
  <c r="CI9" i="2"/>
  <c r="CJ47" i="2"/>
  <c r="CL16" i="2"/>
  <c r="CJ46" i="2"/>
  <c r="CK36" i="2"/>
  <c r="CK48" i="2"/>
  <c r="CK24" i="2"/>
  <c r="CI17" i="2"/>
  <c r="CK15" i="2"/>
  <c r="CJ27" i="2"/>
  <c r="CK13" i="2"/>
  <c r="CK27" i="2"/>
  <c r="CK16" i="2"/>
  <c r="CI46" i="2"/>
  <c r="CJ19" i="2"/>
  <c r="CI51" i="2"/>
  <c r="CI48" i="2"/>
  <c r="CL48" i="2" s="1"/>
  <c r="CJ17" i="2"/>
  <c r="CJ51" i="2"/>
  <c r="CK35" i="2"/>
  <c r="CJ9" i="2"/>
  <c r="CJ42" i="2"/>
  <c r="CI19" i="2"/>
  <c r="CK31" i="2"/>
  <c r="CI31" i="2"/>
  <c r="CK44" i="2"/>
  <c r="CK9" i="2"/>
  <c r="CI30" i="2"/>
  <c r="CK14" i="2"/>
  <c r="CI23" i="2"/>
  <c r="CJ23" i="2"/>
  <c r="CK23" i="2"/>
  <c r="CI37" i="2"/>
  <c r="CI38" i="2"/>
  <c r="CJ38" i="2"/>
  <c r="CK38" i="2"/>
  <c r="CJ40" i="2"/>
  <c r="CI40" i="2"/>
  <c r="CJ52" i="2"/>
  <c r="CK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I26" i="2"/>
  <c r="CK26" i="2"/>
  <c r="CL28" i="2"/>
  <c r="CL43" i="2" l="1"/>
  <c r="CL41" i="2"/>
  <c r="CJ7" i="2"/>
  <c r="CL7" i="2" s="1"/>
  <c r="CL47" i="2"/>
  <c r="CL42" i="2"/>
  <c r="CL36" i="2"/>
  <c r="CL30" i="2"/>
  <c r="CL44" i="2"/>
  <c r="CL45" i="2"/>
  <c r="CL24" i="2"/>
  <c r="CL25" i="2"/>
  <c r="CL27" i="2"/>
  <c r="CL32" i="2"/>
  <c r="CL31" i="2"/>
  <c r="CL35" i="2"/>
  <c r="CL34" i="2"/>
  <c r="CL14" i="2"/>
  <c r="CL8" i="2"/>
  <c r="CL18" i="2"/>
  <c r="CL6" i="2"/>
  <c r="CL15" i="2"/>
  <c r="CL13" i="2"/>
  <c r="CL46" i="2"/>
  <c r="CL12" i="2"/>
  <c r="CL9" i="2"/>
  <c r="CL19" i="2"/>
  <c r="CL17" i="2"/>
  <c r="CL51" i="2"/>
  <c r="CL26" i="2"/>
  <c r="CL39" i="2"/>
  <c r="CL23" i="2"/>
  <c r="CL33" i="2"/>
  <c r="CL20" i="2"/>
  <c r="CL38" i="2"/>
  <c r="CL37"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Q47" i="2" s="1"/>
  <c r="CN27" i="2"/>
  <c r="R47" i="2" s="1"/>
  <c r="CN42" i="2"/>
  <c r="Q78" i="2" s="1"/>
  <c r="CN37" i="2"/>
  <c r="CN32" i="2"/>
  <c r="CN45" i="2"/>
  <c r="CN53" i="2"/>
  <c r="CN18" i="2"/>
  <c r="CN33" i="2"/>
  <c r="CN30" i="2"/>
  <c r="CN28" i="2"/>
  <c r="CN36" i="2"/>
  <c r="CN24" i="2"/>
  <c r="CN48" i="2"/>
  <c r="CN34" i="2"/>
  <c r="CN13" i="2"/>
  <c r="CN51" i="2"/>
  <c r="CN43" i="2"/>
  <c r="CN15" i="2"/>
  <c r="CN14" i="2"/>
  <c r="CN40" i="2"/>
  <c r="CN26" i="2"/>
  <c r="CN31" i="2"/>
  <c r="CN38" i="2"/>
  <c r="CN21" i="2"/>
  <c r="CN23" i="2"/>
  <c r="CN17" i="2"/>
  <c r="CN20" i="2"/>
  <c r="CN35" i="2"/>
  <c r="CN44" i="2"/>
  <c r="CN25" i="2"/>
  <c r="CN39" i="2"/>
  <c r="CN52" i="2"/>
  <c r="CN47" i="2"/>
  <c r="CN50" i="2"/>
  <c r="CN16" i="2"/>
  <c r="CN12" i="2"/>
  <c r="CN22" i="2"/>
  <c r="CN19" i="2"/>
  <c r="CN49" i="2"/>
  <c r="CN41" i="2"/>
  <c r="CN8" i="2"/>
  <c r="CN9" i="2"/>
  <c r="CN10" i="2"/>
  <c r="CN6" i="2"/>
  <c r="Q4" i="2" s="1"/>
  <c r="CN7" i="2"/>
  <c r="R4" i="2" s="1"/>
  <c r="CN46" i="2"/>
  <c r="CN11" i="2"/>
  <c r="R84" i="2" l="1"/>
  <c r="R87" i="2"/>
  <c r="R85" i="2"/>
  <c r="Q87" i="2"/>
  <c r="R93" i="2"/>
  <c r="Q95" i="2"/>
  <c r="R92" i="2"/>
  <c r="R95" i="2"/>
  <c r="Q92" i="2"/>
  <c r="Q94" i="2"/>
  <c r="Q93" i="2"/>
  <c r="R94" i="2"/>
  <c r="Q84" i="2"/>
  <c r="Q86" i="2"/>
  <c r="Q85" i="2"/>
  <c r="R86" i="2"/>
  <c r="R77" i="2"/>
  <c r="CO44" i="2" s="1"/>
  <c r="Q79" i="2"/>
  <c r="R76" i="2"/>
  <c r="R79" i="2"/>
  <c r="R68" i="2"/>
  <c r="R71" i="2"/>
  <c r="R69" i="2"/>
  <c r="Q71" i="2"/>
  <c r="Q68" i="2"/>
  <c r="Q70" i="2"/>
  <c r="Q69" i="2"/>
  <c r="R70" i="2"/>
  <c r="Q77" i="2"/>
  <c r="R78" i="2"/>
  <c r="R52" i="2"/>
  <c r="R55" i="2"/>
  <c r="R53" i="2"/>
  <c r="Q55" i="2"/>
  <c r="R60" i="2"/>
  <c r="R63" i="2"/>
  <c r="R61" i="2"/>
  <c r="Q63" i="2"/>
  <c r="Q53" i="2"/>
  <c r="R54" i="2"/>
  <c r="Q52" i="2"/>
  <c r="Q54" i="2"/>
  <c r="Q61" i="2"/>
  <c r="R62" i="2"/>
  <c r="Q60" i="2"/>
  <c r="Q62" i="2"/>
  <c r="R37" i="2"/>
  <c r="Q39" i="2"/>
  <c r="R36" i="2"/>
  <c r="R39" i="2"/>
  <c r="Q36" i="2"/>
  <c r="Q38" i="2"/>
  <c r="Q37" i="2"/>
  <c r="CP25" i="2" s="1"/>
  <c r="R38" i="2"/>
  <c r="Q45" i="2"/>
  <c r="R46" i="2"/>
  <c r="Q44" i="2"/>
  <c r="Q46" i="2"/>
  <c r="R28" i="2"/>
  <c r="R31" i="2"/>
  <c r="R29" i="2"/>
  <c r="Q31" i="2"/>
  <c r="Q21" i="2"/>
  <c r="R23" i="2"/>
  <c r="CP14" i="2" s="1"/>
  <c r="Q20" i="2"/>
  <c r="CP15" i="2" s="1"/>
  <c r="Q23" i="2"/>
  <c r="R21" i="2"/>
  <c r="Q22" i="2"/>
  <c r="R20" i="2"/>
  <c r="R22" i="2"/>
  <c r="Q28" i="2"/>
  <c r="Q30" i="2"/>
  <c r="Q29" i="2"/>
  <c r="R30" i="2"/>
  <c r="Q12" i="2"/>
  <c r="Q15" i="2"/>
  <c r="CO12" i="2" s="1"/>
  <c r="Q13" i="2"/>
  <c r="R15" i="2"/>
  <c r="R12" i="2"/>
  <c r="R14" i="2"/>
  <c r="R13" i="2"/>
  <c r="Q14" i="2"/>
  <c r="CP42" i="2"/>
  <c r="Q76" i="2"/>
  <c r="CP29" i="2"/>
  <c r="R45" i="2"/>
  <c r="CP27" i="2"/>
  <c r="R44" i="2"/>
  <c r="CP26" i="2" s="1"/>
  <c r="CO42" i="2"/>
  <c r="CO29" i="2"/>
  <c r="CQ29" i="2" s="1"/>
  <c r="CO27" i="2"/>
  <c r="CP38" i="2"/>
  <c r="R8" i="2"/>
  <c r="Q7" i="2"/>
  <c r="CP40" i="2"/>
  <c r="CO40" i="2"/>
  <c r="Q8" i="2"/>
  <c r="R5" i="2"/>
  <c r="CO8" i="2" s="1"/>
  <c r="Q6" i="2"/>
  <c r="CP7" i="2" s="1"/>
  <c r="CP39" i="2"/>
  <c r="CO33" i="2"/>
  <c r="CP33" i="2"/>
  <c r="CP16" i="2"/>
  <c r="CO16" i="2"/>
  <c r="CO36" i="2"/>
  <c r="CP36" i="2"/>
  <c r="CO25" i="2"/>
  <c r="R6" i="2"/>
  <c r="Q9" i="2"/>
  <c r="CO47" i="2"/>
  <c r="CP47" i="2"/>
  <c r="CO52" i="2"/>
  <c r="CP52" i="2"/>
  <c r="R9" i="2"/>
  <c r="Q5" i="2"/>
  <c r="R7" i="2"/>
  <c r="CP41" i="2"/>
  <c r="CO41" i="2"/>
  <c r="CP44" i="2"/>
  <c r="CO43" i="2"/>
  <c r="CP43" i="2"/>
  <c r="CO18" i="2"/>
  <c r="CP18" i="2"/>
  <c r="CO53" i="2"/>
  <c r="CP53" i="2"/>
  <c r="CP24" i="2"/>
  <c r="CO24" i="2"/>
  <c r="CP31" i="2"/>
  <c r="CO31" i="2"/>
  <c r="CP49" i="2"/>
  <c r="CO49" i="2"/>
  <c r="CO35" i="2"/>
  <c r="CP35" i="2"/>
  <c r="CO19" i="2"/>
  <c r="CP19" i="2"/>
  <c r="CO13" i="2"/>
  <c r="CP13" i="2"/>
  <c r="CO45" i="2"/>
  <c r="CP45" i="2"/>
  <c r="CP46" i="2"/>
  <c r="CO46" i="2"/>
  <c r="CO50" i="2"/>
  <c r="CP50" i="2"/>
  <c r="CP28" i="2"/>
  <c r="CO28" i="2"/>
  <c r="CP51" i="2"/>
  <c r="CO51" i="2"/>
  <c r="CP20" i="2"/>
  <c r="CO20" i="2"/>
  <c r="CO22" i="2"/>
  <c r="CP22" i="2"/>
  <c r="CP17" i="2"/>
  <c r="CO17" i="2"/>
  <c r="CP34" i="2"/>
  <c r="CO34" i="2"/>
  <c r="CP32" i="2"/>
  <c r="CO32" i="2"/>
  <c r="CP37" i="2"/>
  <c r="CO37" i="2"/>
  <c r="CP12" i="2"/>
  <c r="CO23" i="2"/>
  <c r="CP23" i="2"/>
  <c r="CP48" i="2"/>
  <c r="CO48" i="2"/>
  <c r="CP11" i="2"/>
  <c r="CO11" i="2"/>
  <c r="CO21" i="2"/>
  <c r="CP21" i="2"/>
  <c r="CO6" i="2"/>
  <c r="CP30" i="2" l="1"/>
  <c r="CO15" i="2"/>
  <c r="CQ15" i="2" s="1"/>
  <c r="CO39" i="2"/>
  <c r="CQ39" i="2" s="1"/>
  <c r="CO38" i="2"/>
  <c r="CQ38" i="2" s="1"/>
  <c r="CO30" i="2"/>
  <c r="CP10" i="2"/>
  <c r="CO10" i="2"/>
  <c r="CO14" i="2"/>
  <c r="CQ14" i="2" s="1"/>
  <c r="CO7" i="2"/>
  <c r="CQ7" i="2" s="1"/>
  <c r="CO26" i="2"/>
  <c r="CQ26" i="2" s="1"/>
  <c r="CQ42" i="2"/>
  <c r="CQ27" i="2"/>
  <c r="CP8" i="2"/>
  <c r="CQ8" i="2" s="1"/>
  <c r="CP6" i="2"/>
  <c r="CQ6" i="2" s="1"/>
  <c r="CQ16" i="2"/>
  <c r="CQ36" i="2"/>
  <c r="CQ31" i="2"/>
  <c r="CQ37" i="2"/>
  <c r="CQ11" i="2"/>
  <c r="CQ49" i="2"/>
  <c r="CQ53" i="2"/>
  <c r="CQ48" i="2"/>
  <c r="CQ17" i="2"/>
  <c r="CQ52" i="2"/>
  <c r="CQ20" i="2"/>
  <c r="CQ28" i="2"/>
  <c r="CQ18" i="2"/>
  <c r="CO9" i="2"/>
  <c r="CQ35" i="2"/>
  <c r="CQ40" i="2"/>
  <c r="CQ24" i="2"/>
  <c r="CQ47" i="2"/>
  <c r="CQ32" i="2"/>
  <c r="CP9" i="2"/>
  <c r="CQ25" i="2"/>
  <c r="CQ19" i="2"/>
  <c r="CQ43" i="2"/>
  <c r="CQ12" i="2"/>
  <c r="CQ50" i="2"/>
  <c r="CQ22" i="2"/>
  <c r="CQ13" i="2"/>
  <c r="CQ21" i="2"/>
  <c r="CQ44" i="2"/>
  <c r="CQ34" i="2"/>
  <c r="CQ51" i="2"/>
  <c r="CQ46" i="2"/>
  <c r="CQ41" i="2"/>
  <c r="CQ23" i="2"/>
  <c r="CQ45" i="2"/>
  <c r="CQ33" i="2"/>
  <c r="CQ30" i="2" l="1"/>
  <c r="CQ10" i="2"/>
  <c r="CR46" i="2"/>
  <c r="CR44" i="2"/>
  <c r="CQ9" i="2"/>
  <c r="CR9" i="2" s="1"/>
  <c r="CR21" i="2"/>
  <c r="CR13" i="2"/>
  <c r="CR39" i="2"/>
  <c r="CR16" i="2"/>
  <c r="CR22" i="2"/>
  <c r="CR33" i="2"/>
  <c r="CR45" i="2"/>
  <c r="CR17" i="2"/>
  <c r="CR19" i="2"/>
  <c r="CR37" i="2"/>
  <c r="CR42" i="2"/>
  <c r="CR20" i="2"/>
  <c r="CR25" i="2"/>
  <c r="CR32" i="2"/>
  <c r="CR28" i="2"/>
  <c r="CR12" i="2"/>
  <c r="CR51" i="2"/>
  <c r="CR34" i="2"/>
  <c r="CR43" i="2"/>
  <c r="CR24" i="2"/>
  <c r="CR40" i="2"/>
  <c r="CR50" i="2"/>
  <c r="CR47" i="2"/>
  <c r="CR27" i="2"/>
  <c r="CR35" i="2"/>
  <c r="CR10" i="2"/>
  <c r="CR36" i="2"/>
  <c r="CR48" i="2"/>
  <c r="CR38" i="2" l="1"/>
  <c r="CR23" i="2"/>
  <c r="CR31" i="2"/>
  <c r="CR29" i="2"/>
  <c r="CR7" i="2"/>
  <c r="CR41" i="2"/>
  <c r="CR52" i="2"/>
  <c r="CR26" i="2"/>
  <c r="CR11" i="2"/>
  <c r="CR30" i="2"/>
  <c r="CR49" i="2"/>
  <c r="CR18" i="2"/>
  <c r="CR15" i="2"/>
  <c r="CR14" i="2"/>
  <c r="CR6" i="2"/>
  <c r="CR8" i="2"/>
  <c r="CR53" i="2"/>
  <c r="CS14" i="2" l="1"/>
  <c r="T23" i="2" s="1"/>
  <c r="CS15" i="2"/>
  <c r="U22" i="2" s="1"/>
  <c r="CS18" i="2"/>
  <c r="T30" i="2" s="1"/>
  <c r="CS49" i="2"/>
  <c r="T87" i="2" s="1"/>
  <c r="CS26" i="2"/>
  <c r="T46" i="2" s="1"/>
  <c r="CS52" i="2"/>
  <c r="U94" i="2" s="1"/>
  <c r="CS53" i="2"/>
  <c r="T95" i="2" s="1"/>
  <c r="CS41" i="2"/>
  <c r="T71" i="2" s="1"/>
  <c r="CS29" i="2"/>
  <c r="T47" i="2" s="1"/>
  <c r="CS8" i="2"/>
  <c r="U7" i="2" s="1"/>
  <c r="CS31" i="2"/>
  <c r="U55" i="2" s="1"/>
  <c r="CS39" i="2"/>
  <c r="U71" i="2" s="1"/>
  <c r="CS28" i="2"/>
  <c r="U46" i="2" s="1"/>
  <c r="CS44" i="2"/>
  <c r="U78" i="2" s="1"/>
  <c r="CS20" i="2"/>
  <c r="U30" i="2" s="1"/>
  <c r="CS21" i="2"/>
  <c r="T31" i="2" s="1"/>
  <c r="CS38" i="2"/>
  <c r="T70" i="2" s="1"/>
  <c r="CS30" i="2"/>
  <c r="T54" i="2" s="1"/>
  <c r="CS32" i="2"/>
  <c r="U54" i="2" s="1"/>
  <c r="CS17" i="2"/>
  <c r="T22" i="2" s="1"/>
  <c r="CS7" i="2"/>
  <c r="U4" i="2" s="1"/>
  <c r="CS23" i="2"/>
  <c r="U39" i="2" s="1"/>
  <c r="CS48" i="2"/>
  <c r="U86" i="2" s="1"/>
  <c r="CS12" i="2"/>
  <c r="U15" i="2" s="1"/>
  <c r="CS34" i="2"/>
  <c r="T62" i="2" s="1"/>
  <c r="CS16" i="2"/>
  <c r="U23" i="2" s="1"/>
  <c r="CS10" i="2"/>
  <c r="T15" i="2" s="1"/>
  <c r="CS9" i="2"/>
  <c r="T6" i="2" s="1"/>
  <c r="CS40" i="2"/>
  <c r="U70" i="2" s="1"/>
  <c r="CS6" i="2"/>
  <c r="T7" i="2" s="1"/>
  <c r="CS11" i="2"/>
  <c r="U14" i="2" s="1"/>
  <c r="CS27" i="2"/>
  <c r="U47" i="2" s="1"/>
  <c r="CS46" i="2"/>
  <c r="T86" i="2" s="1"/>
  <c r="CS42" i="2"/>
  <c r="T78" i="2" s="1"/>
  <c r="CS25" i="2"/>
  <c r="T39" i="2" s="1"/>
  <c r="CS19" i="2"/>
  <c r="U31" i="2" s="1"/>
  <c r="CS33" i="2"/>
  <c r="T55" i="2" s="1"/>
  <c r="CS13" i="2"/>
  <c r="T14" i="2" s="1"/>
  <c r="CS37" i="2"/>
  <c r="T63" i="2" s="1"/>
  <c r="CS36" i="2"/>
  <c r="U62" i="2" s="1"/>
  <c r="CS51" i="2"/>
  <c r="U95" i="2" s="1"/>
  <c r="CS50" i="2"/>
  <c r="T94" i="2" s="1"/>
  <c r="CS45" i="2"/>
  <c r="T79" i="2" s="1"/>
  <c r="CS24" i="2"/>
  <c r="U38" i="2" s="1"/>
  <c r="CS47" i="2"/>
  <c r="U87" i="2" s="1"/>
  <c r="CS43" i="2"/>
  <c r="U79" i="2" s="1"/>
  <c r="CS35" i="2"/>
  <c r="U63" i="2" s="1"/>
  <c r="CS22" i="2"/>
  <c r="T38" i="2" s="1"/>
  <c r="CT48" i="2" l="1"/>
  <c r="T85" i="2"/>
  <c r="CT49" i="2"/>
  <c r="U85" i="2"/>
  <c r="U93" i="2"/>
  <c r="CT52" i="2" s="1"/>
  <c r="T93" i="2"/>
  <c r="CT53" i="2" s="1"/>
  <c r="T92" i="2"/>
  <c r="CT51" i="2" s="1"/>
  <c r="U92" i="2"/>
  <c r="CT50" i="2" s="1"/>
  <c r="U84" i="2"/>
  <c r="CT46" i="2" s="1"/>
  <c r="T84" i="2"/>
  <c r="CT47" i="2" s="1"/>
  <c r="T77" i="2"/>
  <c r="CT45" i="2" s="1"/>
  <c r="U77" i="2"/>
  <c r="CT44" i="2" s="1"/>
  <c r="U76" i="2"/>
  <c r="CT42" i="2" s="1"/>
  <c r="T76" i="2"/>
  <c r="CT43" i="2" s="1"/>
  <c r="U69" i="2"/>
  <c r="CT40" i="2" s="1"/>
  <c r="T69" i="2"/>
  <c r="CT41" i="2" s="1"/>
  <c r="U68" i="2"/>
  <c r="CT38" i="2" s="1"/>
  <c r="T68" i="2"/>
  <c r="CT39" i="2" s="1"/>
  <c r="T53" i="2"/>
  <c r="CT33" i="2" s="1"/>
  <c r="U53" i="2"/>
  <c r="CT32" i="2" s="1"/>
  <c r="T61" i="2"/>
  <c r="CT37" i="2" s="1"/>
  <c r="U61" i="2"/>
  <c r="CT36" i="2" s="1"/>
  <c r="U52" i="2"/>
  <c r="CT30" i="2" s="1"/>
  <c r="T52" i="2"/>
  <c r="CT31" i="2" s="1"/>
  <c r="U60" i="2"/>
  <c r="CT34" i="2" s="1"/>
  <c r="T60" i="2"/>
  <c r="CT35" i="2" s="1"/>
  <c r="CT29" i="2"/>
  <c r="U45" i="2"/>
  <c r="CT28" i="2"/>
  <c r="T45" i="2"/>
  <c r="U37" i="2"/>
  <c r="CT24" i="2" s="1"/>
  <c r="T37" i="2"/>
  <c r="CT25" i="2" s="1"/>
  <c r="U44" i="2"/>
  <c r="CT26" i="2" s="1"/>
  <c r="T44" i="2"/>
  <c r="CT27" i="2" s="1"/>
  <c r="T36" i="2"/>
  <c r="CT23" i="2" s="1"/>
  <c r="U36" i="2"/>
  <c r="CT22" i="2" s="1"/>
  <c r="U29" i="2"/>
  <c r="CT20" i="2" s="1"/>
  <c r="T29" i="2"/>
  <c r="CT21" i="2" s="1"/>
  <c r="CT17" i="2"/>
  <c r="U21" i="2"/>
  <c r="CT16" i="2"/>
  <c r="T21" i="2"/>
  <c r="U20" i="2"/>
  <c r="CT14" i="2" s="1"/>
  <c r="T20" i="2"/>
  <c r="CT15" i="2" s="1"/>
  <c r="T13" i="2"/>
  <c r="CT13" i="2" s="1"/>
  <c r="U5" i="2"/>
  <c r="CT8" i="2" s="1"/>
  <c r="U13" i="2"/>
  <c r="CT12" i="2" s="1"/>
  <c r="U28" i="2"/>
  <c r="CT18" i="2" s="1"/>
  <c r="T28" i="2"/>
  <c r="CT19" i="2" s="1"/>
  <c r="U12" i="2"/>
  <c r="CT10" i="2" s="1"/>
  <c r="T12" i="2"/>
  <c r="CT11" i="2" s="1"/>
  <c r="T9" i="2"/>
  <c r="U8" i="2"/>
  <c r="T8" i="2"/>
  <c r="U6" i="2"/>
  <c r="U9" i="2"/>
  <c r="T5" i="2"/>
  <c r="CT6" i="2"/>
  <c r="T4" i="2"/>
  <c r="CT7" i="2" s="1"/>
  <c r="CT9" i="2" l="1"/>
  <c r="CU34" i="2" s="1"/>
  <c r="CU22" i="2"/>
  <c r="CU17" i="2"/>
  <c r="CU49" i="2"/>
  <c r="CU15" i="2"/>
  <c r="CU32" i="2"/>
  <c r="CU37" i="2"/>
  <c r="CU42" i="2"/>
  <c r="CU44" i="2"/>
  <c r="CU47" i="2"/>
  <c r="CU24" i="2"/>
  <c r="CU46" i="2"/>
  <c r="CU36" i="2"/>
  <c r="CU41" i="2"/>
  <c r="CU28" i="2"/>
  <c r="CU50" i="2"/>
  <c r="CU14" i="2"/>
  <c r="CU16" i="2"/>
  <c r="CU6" i="2"/>
  <c r="CU26" i="2"/>
  <c r="CU52" i="2"/>
  <c r="CU13" i="2"/>
  <c r="CU38" i="2"/>
  <c r="CU48" i="2"/>
  <c r="CU27" i="2"/>
  <c r="CU29" i="2"/>
  <c r="CU20" i="2"/>
  <c r="CU18" i="2"/>
  <c r="CU10" i="2"/>
  <c r="CU8" i="2"/>
  <c r="CU33" i="2" l="1"/>
  <c r="CU11" i="2"/>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W9" i="2"/>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F9" i="2" l="1"/>
  <c r="DL9" i="2"/>
  <c r="AU9" i="2" s="1"/>
  <c r="DL6" i="2"/>
  <c r="AU6" i="2" s="1"/>
  <c r="DL8" i="2"/>
  <c r="DL7" i="2"/>
  <c r="DF7" i="2"/>
  <c r="DF8" i="2"/>
  <c r="DF6" i="2"/>
  <c r="DF11" i="2"/>
  <c r="DF13" i="2"/>
  <c r="DF10" i="2"/>
  <c r="DF32" i="2"/>
  <c r="DF30" i="2"/>
  <c r="DF21" i="2"/>
  <c r="DM31" i="2"/>
  <c r="DF35" i="2"/>
  <c r="DF18" i="2"/>
  <c r="DF22" i="2"/>
  <c r="DN26" i="2" a="1"/>
  <c r="DN26" i="2" s="1"/>
  <c r="DM26" i="2"/>
  <c r="DF40" i="2"/>
  <c r="DN20" i="2" a="1"/>
  <c r="DN20" i="2" s="1"/>
  <c r="DM20" i="2"/>
  <c r="DF38" i="2"/>
  <c r="DM28" i="2"/>
  <c r="DN28" i="2" a="1"/>
  <c r="DN28" i="2" s="1"/>
  <c r="DF25" i="2"/>
  <c r="DF44" i="2"/>
  <c r="DF16" i="2"/>
  <c r="DF53" i="2"/>
  <c r="DN12" i="2" a="1"/>
  <c r="DN12" i="2" s="1"/>
  <c r="DM12" i="2"/>
  <c r="DN32" i="2" a="1"/>
  <c r="DN32" i="2" s="1"/>
  <c r="DM32" i="2"/>
  <c r="DM14" i="2"/>
  <c r="DN14" i="2" a="1"/>
  <c r="DN14" i="2" s="1"/>
  <c r="DN43" i="2" a="1"/>
  <c r="DN43" i="2" s="1"/>
  <c r="DM43" i="2"/>
  <c r="DF47" i="2"/>
  <c r="DM22" i="2"/>
  <c r="DN22" i="2" a="1"/>
  <c r="DN22" i="2" s="1"/>
  <c r="DF15" i="2"/>
  <c r="DN39" i="2" a="1"/>
  <c r="DN39" i="2" s="1"/>
  <c r="DM39" i="2"/>
  <c r="DM21" i="2"/>
  <c r="DN21" i="2" a="1"/>
  <c r="DN21" i="2" s="1"/>
  <c r="DN11" i="2" a="1"/>
  <c r="DN11" i="2" s="1"/>
  <c r="DM11" i="2"/>
  <c r="DF51" i="2"/>
  <c r="DN23" i="2" a="1"/>
  <c r="DN23" i="2" s="1"/>
  <c r="DM23" i="2"/>
  <c r="DF17" i="2"/>
  <c r="DN44" i="2" a="1"/>
  <c r="DN44" i="2" s="1"/>
  <c r="DM44" i="2"/>
  <c r="DF49" i="2"/>
  <c r="DF20" i="2"/>
  <c r="DF41" i="2"/>
  <c r="DF24" i="2"/>
  <c r="DM51" i="2"/>
  <c r="DN51" i="2" a="1"/>
  <c r="DN51" i="2" s="1"/>
  <c r="DM38" i="2"/>
  <c r="DN38" i="2" a="1"/>
  <c r="DN38" i="2" s="1"/>
  <c r="DN35" i="2" a="1"/>
  <c r="DN35" i="2" s="1"/>
  <c r="DM35" i="2"/>
  <c r="DN36" i="2" a="1"/>
  <c r="DN36" i="2" s="1"/>
  <c r="DM36" i="2"/>
  <c r="DN41" i="2" a="1"/>
  <c r="DN41" i="2" s="1"/>
  <c r="DM41" i="2"/>
  <c r="DF52" i="2"/>
  <c r="DF34" i="2"/>
  <c r="DM10" i="2"/>
  <c r="DN10" i="2" a="1"/>
  <c r="DN10" i="2" s="1"/>
  <c r="DN16" i="2" a="1"/>
  <c r="DN16" i="2" s="1"/>
  <c r="DM16" i="2"/>
  <c r="DF33" i="2"/>
  <c r="DF37" i="2"/>
  <c r="DN13" i="2" a="1"/>
  <c r="DN13" i="2" s="1"/>
  <c r="DM13" i="2"/>
  <c r="DF50" i="2"/>
  <c r="DM18" i="2"/>
  <c r="DN18" i="2" a="1"/>
  <c r="DN18" i="2" s="1"/>
  <c r="DN47" i="2" a="1"/>
  <c r="DN47" i="2" s="1"/>
  <c r="DM47" i="2"/>
  <c r="DF36" i="2"/>
  <c r="DF31" i="2"/>
  <c r="DF45"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F12" i="2"/>
  <c r="DF28" i="2"/>
  <c r="DF43" i="2"/>
  <c r="DM34" i="2"/>
  <c r="DN34" i="2" a="1"/>
  <c r="DN34" i="2" s="1"/>
  <c r="DM42" i="2"/>
  <c r="DN42" i="2" a="1"/>
  <c r="DN42" i="2" s="1"/>
  <c r="DF48" i="2"/>
  <c r="DF26" i="2"/>
  <c r="DF14" i="2"/>
  <c r="DN17" i="2" a="1"/>
  <c r="DN17" i="2" s="1"/>
  <c r="DM17" i="2"/>
  <c r="DM53" i="2"/>
  <c r="DN53" i="2" a="1"/>
  <c r="DN53" i="2" s="1"/>
  <c r="DM50" i="2"/>
  <c r="DN50" i="2" a="1"/>
  <c r="DN50" i="2" s="1"/>
  <c r="DM52" i="2"/>
  <c r="DN52" i="2" a="1"/>
  <c r="DN52" i="2" s="1"/>
  <c r="DF23" i="2"/>
  <c r="DN49" i="2" a="1"/>
  <c r="DN49" i="2" s="1"/>
  <c r="DM49" i="2"/>
  <c r="DF42" i="2"/>
  <c r="DF46" i="2"/>
  <c r="DF27" i="2"/>
  <c r="DF39" i="2"/>
  <c r="DN30" i="2" a="1"/>
  <c r="DN30" i="2" s="1"/>
  <c r="DM30" i="2"/>
  <c r="DF29" i="2"/>
  <c r="DF19" i="2"/>
  <c r="DN46" i="2" a="1"/>
  <c r="DN46" i="2" s="1"/>
  <c r="DM46" i="2"/>
  <c r="DM9" i="2" l="1"/>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AU5" i="2" l="1"/>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AL87" i="2"/>
  <c r="BJ66" i="2"/>
  <c r="BJ63" i="2"/>
  <c r="BJ62" i="2"/>
  <c r="AL17" i="2"/>
  <c r="AL73" i="2"/>
  <c r="BK67" i="2"/>
  <c r="AL79" i="2"/>
  <c r="BJ68" i="2"/>
  <c r="AL70" i="2"/>
  <c r="AL71" i="2"/>
  <c r="AL14" i="2"/>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AT6" i="2" l="1"/>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4" i="4" l="1"/>
  <c r="K5" i="4"/>
  <c r="C130" i="3"/>
  <c r="BI28" i="4" s="1"/>
  <c r="BH28" i="4" s="1"/>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I6" i="4" l="1"/>
  <c r="BH6" i="4" s="1"/>
  <c r="BI26" i="4"/>
  <c r="BH26" i="4" s="1"/>
  <c r="BI51" i="4"/>
  <c r="BH51" i="4" s="1"/>
  <c r="BI16" i="4"/>
  <c r="BH16" i="4" s="1"/>
  <c r="BI40" i="4"/>
  <c r="BH40" i="4" s="1"/>
  <c r="BI27" i="4"/>
  <c r="BH27" i="4" s="1"/>
  <c r="BI5" i="4"/>
  <c r="BH5" i="4" s="1"/>
  <c r="BI4" i="4"/>
  <c r="BH4" i="4" s="1"/>
  <c r="BI25" i="4"/>
  <c r="BH25" i="4" s="1"/>
  <c r="BI20" i="4"/>
  <c r="BH20" i="4" s="1"/>
  <c r="BI17" i="4"/>
  <c r="BH17" i="4" s="1"/>
  <c r="BI33" i="4"/>
  <c r="BH33" i="4" s="1"/>
  <c r="BI24" i="4"/>
  <c r="BH24" i="4" s="1"/>
  <c r="BI39" i="4"/>
  <c r="BH39" i="4" s="1"/>
  <c r="BI10" i="4"/>
  <c r="BH10" i="4" s="1"/>
  <c r="BI43" i="4"/>
  <c r="BH43" i="4" s="1"/>
  <c r="BI8" i="4"/>
  <c r="BH8" i="4" s="1"/>
  <c r="BI37" i="4"/>
  <c r="BH37" i="4" s="1"/>
  <c r="BI19" i="4"/>
  <c r="BH19" i="4" s="1"/>
  <c r="BI14" i="4"/>
  <c r="BH14" i="4" s="1"/>
  <c r="BI46" i="4"/>
  <c r="BH46" i="4" s="1"/>
  <c r="BI15" i="4"/>
  <c r="BH15" i="4" s="1"/>
  <c r="BI13" i="4"/>
  <c r="BH13" i="4" s="1"/>
  <c r="BI36" i="4"/>
  <c r="BH36" i="4" s="1"/>
  <c r="BI18" i="4"/>
  <c r="BH18" i="4" s="1"/>
  <c r="BI42" i="4"/>
  <c r="BH42" i="4" s="1"/>
  <c r="BI34" i="4"/>
  <c r="BH34" i="4" s="1"/>
  <c r="BI47" i="4"/>
  <c r="BH47" i="4" s="1"/>
  <c r="BI45" i="4"/>
  <c r="BH45" i="4" s="1"/>
  <c r="BI22" i="4"/>
  <c r="BH22" i="4" s="1"/>
  <c r="BI11" i="4"/>
  <c r="BH11" i="4" s="1"/>
  <c r="BI30" i="4"/>
  <c r="BH30" i="4" s="1"/>
  <c r="BI29" i="4"/>
  <c r="BH29" i="4" s="1"/>
  <c r="BI41" i="4"/>
  <c r="BH41" i="4" s="1"/>
  <c r="BI21" i="4"/>
  <c r="BH21" i="4" s="1"/>
  <c r="BI44" i="4"/>
  <c r="BH44" i="4" s="1"/>
  <c r="BI23" i="4"/>
  <c r="BH23" i="4" s="1"/>
  <c r="BI49" i="4"/>
  <c r="BH49" i="4" s="1"/>
  <c r="BI9" i="4"/>
  <c r="BH9" i="4" s="1"/>
  <c r="BI35" i="4"/>
  <c r="BH35" i="4" s="1"/>
  <c r="BI38" i="4"/>
  <c r="BH38" i="4" s="1"/>
  <c r="BI48" i="4"/>
  <c r="BH48" i="4" s="1"/>
  <c r="BI32" i="4"/>
  <c r="BH32" i="4" s="1"/>
  <c r="BI12" i="4"/>
  <c r="BH12" i="4" s="1"/>
  <c r="BI50" i="4"/>
  <c r="BH50" i="4" s="1"/>
  <c r="BI31" i="4"/>
  <c r="BH31" i="4" s="1"/>
  <c r="BI7" i="4"/>
  <c r="BH7" i="4" s="1"/>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s="1"/>
  <c r="BY69" i="2" l="1"/>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65" i="2" l="1"/>
  <c r="CD58" i="2"/>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B497" i="6" l="1"/>
  <c r="BG122" i="2" s="1"/>
  <c r="AZ108" i="2" s="1"/>
  <c r="BG121" i="2"/>
  <c r="AZ107" i="2" s="1"/>
  <c r="BG124" i="2"/>
  <c r="AZ110" i="2" s="1"/>
  <c r="BG119" i="2"/>
  <c r="AZ105" i="2" s="1"/>
  <c r="BG117" i="2"/>
  <c r="AZ103" i="2" s="1"/>
  <c r="BG120" i="2"/>
  <c r="AZ106" i="2" s="1"/>
  <c r="BG123" i="2"/>
  <c r="AZ109" i="2" s="1"/>
  <c r="BG118" i="2"/>
  <c r="AZ104"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<sst xmlns="http://schemas.openxmlformats.org/spreadsheetml/2006/main" count="6754" uniqueCount="1516">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</sst>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14" fillId="19"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5"/>
  <sheetViews>
    <sheetView showGridLines="0" showRowColHeaders="0" tabSelected="1" zoomScaleNormal="100" workbookViewId="0">
      <selection activeCell="AX81" sqref="AX81"/>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9"/>
      <c r="D3" s="629"/>
      <c r="E3" s="629"/>
      <c r="F3" s="629"/>
      <c r="G3" s="629"/>
      <c r="H3" s="629"/>
      <c r="I3" s="629"/>
      <c r="J3" s="629"/>
      <c r="K3" s="629"/>
      <c r="L3" s="629"/>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9"/>
      <c r="G16" s="629"/>
      <c r="H16" s="629"/>
      <c r="I16" s="629"/>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9"/>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0</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5</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4</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54" spans="1:31" x14ac:dyDescent="0.2">
      <c r="AC54" s="292">
        <v>0</v>
      </c>
      <c r="AD54" s="292">
        <v>0</v>
      </c>
    </row>
    <row r="55" spans="1:31" x14ac:dyDescent="0.2">
      <c r="AC55" s="292">
        <v>1</v>
      </c>
      <c r="AD55" s="292">
        <v>3</v>
      </c>
    </row>
    <row r="60" spans="1:31" x14ac:dyDescent="0.2">
      <c r="AC60" s="292">
        <v>0</v>
      </c>
      <c r="AD60" s="292">
        <v>0</v>
      </c>
    </row>
    <row r="61" spans="1:31" x14ac:dyDescent="0.2">
      <c r="AC61" s="292">
        <v>1</v>
      </c>
      <c r="AD61" s="292">
        <v>1</v>
      </c>
    </row>
    <row r="62" spans="1:31" x14ac:dyDescent="0.2">
      <c r="AC62" s="292">
        <v>4</v>
      </c>
      <c r="AD62" s="292">
        <v>0</v>
      </c>
    </row>
    <row r="63" spans="1:31" x14ac:dyDescent="0.2">
      <c r="AC63" s="292">
        <v>2</v>
      </c>
      <c r="AD63" s="292">
        <v>2</v>
      </c>
    </row>
    <row r="68" spans="29:30" x14ac:dyDescent="0.2">
      <c r="AC68" s="292">
        <v>3</v>
      </c>
      <c r="AD68" s="292">
        <v>1</v>
      </c>
    </row>
    <row r="69" spans="29:30" x14ac:dyDescent="0.2">
      <c r="AC69" s="292">
        <v>1</v>
      </c>
      <c r="AD69" s="292">
        <v>4</v>
      </c>
    </row>
    <row r="70" spans="29:30" x14ac:dyDescent="0.2">
      <c r="AC70" s="292">
        <v>3</v>
      </c>
      <c r="AD70" s="292">
        <v>0</v>
      </c>
    </row>
    <row r="71" spans="29:30" x14ac:dyDescent="0.2">
      <c r="AC71" s="292">
        <v>3</v>
      </c>
      <c r="AD71" s="292">
        <v>2</v>
      </c>
    </row>
    <row r="76" spans="29:30" x14ac:dyDescent="0.2">
      <c r="AC76" s="292">
        <v>3</v>
      </c>
      <c r="AD76" s="292">
        <v>0</v>
      </c>
    </row>
    <row r="77" spans="29:30" x14ac:dyDescent="0.2">
      <c r="AC77" s="292">
        <v>3</v>
      </c>
      <c r="AD77" s="292">
        <v>1</v>
      </c>
    </row>
    <row r="78" spans="29:30" x14ac:dyDescent="0.2">
      <c r="AC78" s="292">
        <v>2</v>
      </c>
      <c r="AD78" s="292">
        <v>0</v>
      </c>
    </row>
    <row r="79" spans="29:30" x14ac:dyDescent="0.2">
      <c r="AC79" s="292">
        <v>1</v>
      </c>
      <c r="AD79" s="292">
        <v>2</v>
      </c>
    </row>
    <row r="84" spans="29:30" x14ac:dyDescent="0.2">
      <c r="AC84" s="292">
        <v>1</v>
      </c>
      <c r="AD84" s="292">
        <v>1</v>
      </c>
    </row>
    <row r="85" spans="29:30" x14ac:dyDescent="0.2">
      <c r="AC85" s="292">
        <v>1</v>
      </c>
      <c r="AD85" s="292">
        <v>3</v>
      </c>
    </row>
    <row r="86" spans="29:30" x14ac:dyDescent="0.2">
      <c r="AC86" s="292">
        <v>5</v>
      </c>
      <c r="AD86" s="292">
        <v>0</v>
      </c>
    </row>
    <row r="87" spans="29:30" x14ac:dyDescent="0.2">
      <c r="AC87" s="292">
        <v>1</v>
      </c>
      <c r="AD87" s="292">
        <v>0</v>
      </c>
    </row>
    <row r="92" spans="29:30" x14ac:dyDescent="0.2">
      <c r="AC92" s="292">
        <v>4</v>
      </c>
      <c r="AD92" s="292">
        <v>2</v>
      </c>
    </row>
    <row r="93" spans="29:30" x14ac:dyDescent="0.2">
      <c r="AC93" s="292">
        <v>1</v>
      </c>
      <c r="AD93" s="292">
        <v>0</v>
      </c>
    </row>
    <row r="94" spans="29:30" x14ac:dyDescent="0.2">
      <c r="AC94" s="292">
        <v>0</v>
      </c>
      <c r="AD94" s="292">
        <v>0</v>
      </c>
    </row>
    <row r="95" spans="29:30" x14ac:dyDescent="0.2">
      <c r="AC95" s="292">
        <v>0</v>
      </c>
      <c r="AD95"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66" zoomScaleNormal="100" workbookViewId="0">
      <selection activeCell="AX81" sqref="AX81"/>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8" t="str">
        <f>Idiomas!D8</f>
        <v>XXIII Mundial USA/MEX/CAN 2026</v>
      </c>
      <c r="X1" s="629"/>
      <c r="Y1" s="629"/>
      <c r="Z1" s="629"/>
      <c r="AA1" s="629"/>
      <c r="AB1" s="629"/>
      <c r="AC1" s="629"/>
      <c r="AD1" s="629"/>
      <c r="AE1" s="629"/>
      <c r="AF1" s="629"/>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P.3 (2)</v>
      </c>
      <c r="G4" s="16"/>
      <c r="H4" s="16" t="str">
        <f t="shared" ref="H4:H9" ca="1" si="3">IF(D4="Pendiente","-",INDEX($BZ$6:$BZ$53,MATCH($AA4,$BD$6:$BD$53,0)))</f>
        <v>-</v>
      </c>
      <c r="I4" s="16" t="str">
        <f t="shared" ref="I4:I9" ca="1" si="4">IF(D4="Pendiente","-",INDEX($BZ$6:$BZ$53,MATCH($AF4,$BD$6:$BD$53,0)))</f>
        <v>P.3 (2)</v>
      </c>
      <c r="J4" s="16"/>
      <c r="K4" s="16" t="str">
        <f t="shared" ref="K4:K9" ca="1" si="5">IF(D4="Pendiente","-",INDEX($CE$6:$CE$53,MATCH($AA4,$BD$6:$BD$53,0)))</f>
        <v>-</v>
      </c>
      <c r="L4" s="16" t="str">
        <f t="shared" ref="L4:L9" ca="1" si="6">IF(D4="Pendiente","-",INDEX($CE$6:$CE$53,MATCH($AF4,$BD$6:$BD$53,0)))</f>
        <v>P.3 (2)</v>
      </c>
      <c r="M4" s="16"/>
      <c r="N4" s="16" t="str">
        <f t="shared" ref="N4:N9" ca="1" si="7">IF(D4="Pendiente","-",INDEX($CH$6:$CH$53,MATCH($AA4,$BD$6:$BD$53,0)))</f>
        <v>-</v>
      </c>
      <c r="O4" s="16" t="str">
        <f t="shared" ref="O4:O9" ca="1" si="8">IF(D4="Pendiente","-",INDEX($CH$6:$CH$53,MATCH($AF4,$BD$6:$BD$53,0)))</f>
        <v>P.3 (2)</v>
      </c>
      <c r="P4" s="16"/>
      <c r="Q4" s="16" t="str">
        <f t="shared" ref="Q4:Q9" ca="1" si="9">IF(D4="Pendiente","-",INDEX($CN$6:$CN$53,MATCH($AA4,$BD$6:$BD$53,0)))</f>
        <v>-</v>
      </c>
      <c r="R4" s="16" t="str">
        <f t="shared" ref="R4:R9" ca="1" si="10">IF(D4="Pendiente","-",INDEX($CN$6:$CN$53,MATCH($AF4,$BD$6:$BD$53,0)))</f>
        <v>P.3 (2)</v>
      </c>
      <c r="S4" s="16"/>
      <c r="T4" s="16" t="str">
        <f t="shared" ref="T4:T9" ca="1" si="11">IF(D4="Pendiente","-",INDEX($CS$6:$CS$53,MATCH($AA4,$BD$6:$BD$53,0)))</f>
        <v>-</v>
      </c>
      <c r="U4" s="16" t="str">
        <f t="shared" ref="U4:U9" ca="1" si="12">IF(D4="Pendiente","-",INDEX($CS$6:$CS$53,MATCH($AF4,$BD$6:$BD$53,0)))</f>
        <v>P.3 (2)</v>
      </c>
      <c r="V4" s="17"/>
      <c r="W4" s="633"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P.3 (2)</v>
      </c>
      <c r="G5" s="16"/>
      <c r="H5" s="16" t="str">
        <f t="shared" ca="1" si="3"/>
        <v>-</v>
      </c>
      <c r="I5" s="16" t="str">
        <f t="shared" ca="1" si="4"/>
        <v>P.3 (2)</v>
      </c>
      <c r="J5" s="16"/>
      <c r="K5" s="16" t="str">
        <f t="shared" ca="1" si="5"/>
        <v>-</v>
      </c>
      <c r="L5" s="16" t="str">
        <f t="shared" ca="1" si="6"/>
        <v>P.3 (2)</v>
      </c>
      <c r="M5" s="16"/>
      <c r="N5" s="16" t="str">
        <f t="shared" ca="1" si="7"/>
        <v>-</v>
      </c>
      <c r="O5" s="16" t="str">
        <f t="shared" ca="1" si="8"/>
        <v>P.3 (2)</v>
      </c>
      <c r="P5" s="16"/>
      <c r="Q5" s="16" t="str">
        <f t="shared" ca="1" si="9"/>
        <v>-</v>
      </c>
      <c r="R5" s="16" t="str">
        <f t="shared" ca="1" si="10"/>
        <v>P.3 (2)</v>
      </c>
      <c r="S5" s="16"/>
      <c r="T5" s="16" t="str">
        <f t="shared" ca="1" si="11"/>
        <v>-</v>
      </c>
      <c r="U5" s="16" t="str">
        <f t="shared" ca="1" si="12"/>
        <v>P.3 (2)</v>
      </c>
      <c r="V5" s="17"/>
      <c r="W5" s="620"/>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P.3 (2)</v>
      </c>
      <c r="F6" s="16" t="str">
        <f t="shared" ca="1" si="2"/>
        <v>P.3 (2)</v>
      </c>
      <c r="G6" s="16"/>
      <c r="H6" s="16" t="str">
        <f t="shared" ca="1" si="3"/>
        <v>P.3 (2)</v>
      </c>
      <c r="I6" s="16" t="str">
        <f t="shared" ca="1" si="4"/>
        <v>P.3 (2)</v>
      </c>
      <c r="J6" s="16"/>
      <c r="K6" s="16" t="str">
        <f t="shared" ca="1" si="5"/>
        <v>P.3 (2)</v>
      </c>
      <c r="L6" s="16" t="str">
        <f t="shared" ca="1" si="6"/>
        <v>P.3 (2)</v>
      </c>
      <c r="M6" s="16"/>
      <c r="N6" s="16" t="str">
        <f t="shared" ca="1" si="7"/>
        <v>P.3 (2)</v>
      </c>
      <c r="O6" s="16" t="str">
        <f t="shared" ca="1" si="8"/>
        <v>P.3 (2)</v>
      </c>
      <c r="P6" s="16"/>
      <c r="Q6" s="16" t="str">
        <f t="shared" ca="1" si="9"/>
        <v>P.3 (2)</v>
      </c>
      <c r="R6" s="16" t="str">
        <f t="shared" ca="1" si="10"/>
        <v>P.3 (2)</v>
      </c>
      <c r="S6" s="16"/>
      <c r="T6" s="16" t="str">
        <f t="shared" ca="1" si="11"/>
        <v>P.3 (2)</v>
      </c>
      <c r="U6" s="16" t="str">
        <f t="shared" ca="1" si="12"/>
        <v>P.3 (2)</v>
      </c>
      <c r="V6" s="17"/>
      <c r="W6" s="620"/>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6</v>
      </c>
      <c r="AN6" s="36">
        <f t="shared" ca="1" si="15"/>
        <v>2</v>
      </c>
      <c r="AO6" s="36">
        <f t="shared" ca="1" si="15"/>
        <v>2</v>
      </c>
      <c r="AP6" s="36">
        <f t="shared" ca="1" si="15"/>
        <v>0</v>
      </c>
      <c r="AQ6" s="36">
        <f t="shared" ca="1" si="15"/>
        <v>0</v>
      </c>
      <c r="AR6" s="36">
        <f t="shared" ca="1" si="15"/>
        <v>3</v>
      </c>
      <c r="AS6" s="36">
        <f t="shared" ca="1" si="15"/>
        <v>0</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6</v>
      </c>
      <c r="BF6" s="16">
        <f t="shared" ref="BF6:BF53" ca="1" si="17">+BG6+BH6+BI6</f>
        <v>2</v>
      </c>
      <c r="BG6" s="16">
        <f t="shared" ref="BG6:BG53" ca="1" si="18">+COUNTIFS(FGLocal,BD6,Ganador,"Local")+COUNTIFS(FGVisitante,BD6,Ganador,"Visitante")</f>
        <v>2</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3</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6</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8</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0"/>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3</v>
      </c>
      <c r="AN7" s="39">
        <f t="shared" ca="1" si="15"/>
        <v>2</v>
      </c>
      <c r="AO7" s="39">
        <f t="shared" ca="1" si="15"/>
        <v>1</v>
      </c>
      <c r="AP7" s="39">
        <f t="shared" ca="1" si="15"/>
        <v>0</v>
      </c>
      <c r="AQ7" s="39">
        <f t="shared" ca="1" si="15"/>
        <v>1</v>
      </c>
      <c r="AR7" s="39">
        <f t="shared" ca="1" si="15"/>
        <v>2</v>
      </c>
      <c r="AS7" s="39">
        <f t="shared" ca="1" si="15"/>
        <v>2</v>
      </c>
      <c r="AT7" s="43">
        <f t="shared" ca="1" si="15"/>
        <v>0</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1</v>
      </c>
      <c r="BF7" s="16">
        <f t="shared" ca="1" si="17"/>
        <v>2</v>
      </c>
      <c r="BG7" s="16">
        <f t="shared" ca="1" si="18"/>
        <v>0</v>
      </c>
      <c r="BH7" s="16">
        <f t="shared" ca="1" si="19"/>
        <v>1</v>
      </c>
      <c r="BI7" s="16">
        <f t="shared" ca="1" si="20"/>
        <v>1</v>
      </c>
      <c r="BJ7" s="16">
        <f t="shared" ca="1" si="21"/>
        <v>1</v>
      </c>
      <c r="BK7" s="16">
        <f t="shared" ca="1" si="22"/>
        <v>3</v>
      </c>
      <c r="BL7" s="16">
        <f t="shared" ca="1" si="23"/>
        <v>-2</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1</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1</v>
      </c>
      <c r="BW7" s="16">
        <f t="shared" ca="1" si="30"/>
        <v>0</v>
      </c>
      <c r="BX7" s="16">
        <f t="shared" ca="1" si="31"/>
        <v>1</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1</v>
      </c>
      <c r="CB7" s="16">
        <f t="shared" ca="1" si="33"/>
        <v>1</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1</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1</v>
      </c>
      <c r="CK7" s="16">
        <f t="shared" ca="1" si="38"/>
        <v>0</v>
      </c>
      <c r="CL7" s="16">
        <f t="shared" ca="1" si="39"/>
        <v>1</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1</v>
      </c>
      <c r="CP7" s="16">
        <f t="shared" ca="1" si="41"/>
        <v>1</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1</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8</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0"/>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República Checa</v>
      </c>
      <c r="AM8" s="38">
        <f t="shared" ca="1" si="15"/>
        <v>1</v>
      </c>
      <c r="AN8" s="39">
        <f t="shared" ca="1" si="15"/>
        <v>2</v>
      </c>
      <c r="AO8" s="39">
        <f t="shared" ca="1" si="15"/>
        <v>0</v>
      </c>
      <c r="AP8" s="39">
        <f t="shared" ca="1" si="15"/>
        <v>1</v>
      </c>
      <c r="AQ8" s="39">
        <f t="shared" ca="1" si="15"/>
        <v>1</v>
      </c>
      <c r="AR8" s="39">
        <f t="shared" ca="1" si="15"/>
        <v>2</v>
      </c>
      <c r="AS8" s="39">
        <f t="shared" ca="1" si="15"/>
        <v>3</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2</v>
      </c>
      <c r="BG8" s="16">
        <f t="shared" ca="1" si="18"/>
        <v>1</v>
      </c>
      <c r="BH8" s="16">
        <f t="shared" ca="1" si="19"/>
        <v>0</v>
      </c>
      <c r="BI8" s="16">
        <f t="shared" ca="1" si="20"/>
        <v>1</v>
      </c>
      <c r="BJ8" s="16">
        <f t="shared" ca="1" si="21"/>
        <v>2</v>
      </c>
      <c r="BK8" s="16">
        <f t="shared" ca="1" si="22"/>
        <v>2</v>
      </c>
      <c r="BL8" s="16">
        <f t="shared" ca="1" si="23"/>
        <v>0</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8</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1"/>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Sudáfrica</v>
      </c>
      <c r="AM9" s="46">
        <f t="shared" ca="1" si="15"/>
        <v>1</v>
      </c>
      <c r="AN9" s="47">
        <f t="shared" ca="1" si="15"/>
        <v>2</v>
      </c>
      <c r="AO9" s="47">
        <f t="shared" ca="1" si="15"/>
        <v>0</v>
      </c>
      <c r="AP9" s="47">
        <f t="shared" ca="1" si="15"/>
        <v>1</v>
      </c>
      <c r="AQ9" s="47">
        <f t="shared" ca="1" si="15"/>
        <v>1</v>
      </c>
      <c r="AR9" s="47">
        <f t="shared" ca="1" si="15"/>
        <v>1</v>
      </c>
      <c r="AS9" s="47">
        <f t="shared" ca="1" si="15"/>
        <v>3</v>
      </c>
      <c r="AT9" s="48">
        <f t="shared" ca="1" si="15"/>
        <v>-2</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2</v>
      </c>
      <c r="BG9" s="16">
        <f t="shared" ca="1" si="18"/>
        <v>0</v>
      </c>
      <c r="BH9" s="16">
        <f t="shared" ca="1" si="19"/>
        <v>1</v>
      </c>
      <c r="BI9" s="16">
        <f t="shared" ca="1" si="20"/>
        <v>1</v>
      </c>
      <c r="BJ9" s="16">
        <f t="shared" ca="1" si="21"/>
        <v>2</v>
      </c>
      <c r="BK9" s="16">
        <f t="shared" ca="1" si="22"/>
        <v>3</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1</v>
      </c>
      <c r="BW9" s="16">
        <f t="shared" ca="1" si="30"/>
        <v>0</v>
      </c>
      <c r="BX9" s="16">
        <f t="shared" ca="1" si="31"/>
        <v>1</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1</v>
      </c>
      <c r="CB9" s="16">
        <f t="shared" ca="1" si="33"/>
        <v>1</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1</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1</v>
      </c>
      <c r="CK9" s="16">
        <f t="shared" ca="1" si="38"/>
        <v>0</v>
      </c>
      <c r="CL9" s="16">
        <f t="shared" ca="1" si="39"/>
        <v>1</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1</v>
      </c>
      <c r="CP9" s="16">
        <f t="shared" ca="1" si="41"/>
        <v>1</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1</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8</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2</v>
      </c>
      <c r="BG10" s="16">
        <f t="shared" ca="1" si="18"/>
        <v>1</v>
      </c>
      <c r="BH10" s="16">
        <f t="shared" ca="1" si="19"/>
        <v>1</v>
      </c>
      <c r="BI10" s="16">
        <f t="shared" ca="1" si="20"/>
        <v>0</v>
      </c>
      <c r="BJ10" s="16">
        <f t="shared" ca="1" si="21"/>
        <v>7</v>
      </c>
      <c r="BK10" s="16">
        <f t="shared" ca="1" si="22"/>
        <v>1</v>
      </c>
      <c r="BL10" s="16">
        <f t="shared" ca="1" si="23"/>
        <v>6</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(2)</v>
      </c>
      <c r="BU10" s="16">
        <f t="shared" ca="1" si="28"/>
        <v>0</v>
      </c>
      <c r="BV10" s="16">
        <f t="shared" ca="1" si="29"/>
        <v>0</v>
      </c>
      <c r="BW10" s="16">
        <f t="shared" ca="1" si="30"/>
        <v>0</v>
      </c>
      <c r="BX10" s="16">
        <f t="shared" ca="1" si="31"/>
        <v>0</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(2)</v>
      </c>
      <c r="CA10" s="16">
        <f t="shared" ca="1" si="32"/>
        <v>0</v>
      </c>
      <c r="CB10" s="16">
        <f t="shared" ca="1" si="33"/>
        <v>0</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(2)</v>
      </c>
      <c r="CF10" s="16">
        <f t="shared" ca="1" si="35"/>
        <v>0</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(2)</v>
      </c>
      <c r="CI10" s="16">
        <f t="shared" ca="1" si="36"/>
        <v>0</v>
      </c>
      <c r="CJ10" s="16">
        <f t="shared" ca="1" si="37"/>
        <v>0</v>
      </c>
      <c r="CK10" s="16">
        <f t="shared" ca="1" si="38"/>
        <v>0</v>
      </c>
      <c r="CL10" s="16">
        <f t="shared" ca="1" si="39"/>
        <v>0</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(2)</v>
      </c>
      <c r="CO10" s="16">
        <f t="shared" ca="1" si="40"/>
        <v>0</v>
      </c>
      <c r="CP10" s="16">
        <f t="shared" ca="1" si="41"/>
        <v>0</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(2)</v>
      </c>
      <c r="CT10" s="16">
        <f t="shared" ca="1" si="43"/>
        <v>0</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(2)</v>
      </c>
      <c r="CW10" s="16">
        <f t="shared" ca="1" si="44"/>
        <v>6</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1</v>
      </c>
      <c r="DE10" s="16"/>
      <c r="DF10" s="16">
        <f t="shared" ca="1" si="46"/>
        <v>1</v>
      </c>
      <c r="DG10" s="16" t="str">
        <f ca="1">IF(DB10="-","-",COUNTIFS(DF$6:DF$53,"&lt;"&amp;DF10,$BC$6:$BC$53,INDEX(T_Equipos[Grupo],MATCH(BD10,T_Equipos[NombreEquipo],0))))</f>
        <v>-</v>
      </c>
      <c r="DH10" s="16">
        <f ca="1">DA10+COUNTIFS(DB$6:DB$53,DB10,DG$6:DG$53,"&lt;"&amp;DG10,$BC$6:$BC$53,INDEX(T_Equipos[Grupo],MATCH(BD10,T_Equipos[NombreEquipo],0)))</f>
        <v>1</v>
      </c>
      <c r="DI10" s="16"/>
      <c r="DJ10" s="16">
        <f t="shared" ca="1" si="47"/>
        <v>1</v>
      </c>
      <c r="DK10" s="16">
        <f t="shared" ca="1" si="48"/>
        <v>8</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2</v>
      </c>
      <c r="BG11" s="16">
        <f t="shared" ca="1" si="18"/>
        <v>0</v>
      </c>
      <c r="BH11" s="16">
        <f t="shared" ca="1" si="19"/>
        <v>1</v>
      </c>
      <c r="BI11" s="16">
        <f t="shared" ca="1" si="20"/>
        <v>1</v>
      </c>
      <c r="BJ11" s="16">
        <f t="shared" ca="1" si="21"/>
        <v>2</v>
      </c>
      <c r="BK11" s="16">
        <f t="shared" ca="1" si="22"/>
        <v>5</v>
      </c>
      <c r="BL11" s="16">
        <f t="shared" ca="1" si="23"/>
        <v>-3</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P.3 (2)</v>
      </c>
      <c r="BU11" s="16">
        <f t="shared" ca="1" si="28"/>
        <v>0</v>
      </c>
      <c r="BV11" s="16">
        <f t="shared" ca="1" si="29"/>
        <v>0</v>
      </c>
      <c r="BW11" s="16">
        <f t="shared" ca="1" si="30"/>
        <v>0</v>
      </c>
      <c r="BX11" s="16">
        <f t="shared" ca="1" si="31"/>
        <v>0</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P.3 (2)</v>
      </c>
      <c r="CA11" s="16">
        <f t="shared" ca="1" si="32"/>
        <v>0</v>
      </c>
      <c r="CB11" s="16">
        <f t="shared" ca="1" si="33"/>
        <v>0</v>
      </c>
      <c r="CC11" s="16">
        <f t="shared" ca="1" si="34"/>
        <v>0</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P.3 (2)</v>
      </c>
      <c r="CF11" s="16">
        <f t="shared" ca="1" si="35"/>
        <v>0</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P.3 (2)</v>
      </c>
      <c r="CI11" s="16">
        <f t="shared" ca="1" si="36"/>
        <v>0</v>
      </c>
      <c r="CJ11" s="16">
        <f t="shared" ca="1" si="37"/>
        <v>0</v>
      </c>
      <c r="CK11" s="16">
        <f t="shared" ca="1" si="38"/>
        <v>0</v>
      </c>
      <c r="CL11" s="16">
        <f t="shared" ca="1" si="39"/>
        <v>0</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P.3 (2)</v>
      </c>
      <c r="CO11" s="16">
        <f t="shared" ca="1" si="40"/>
        <v>0</v>
      </c>
      <c r="CP11" s="16">
        <f t="shared" ca="1" si="41"/>
        <v>0</v>
      </c>
      <c r="CQ11" s="16">
        <f t="shared" ca="1" si="42"/>
        <v>0</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P.3 (2)</v>
      </c>
      <c r="CT11" s="16">
        <f t="shared" ca="1" si="43"/>
        <v>0</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P.3 (2)</v>
      </c>
      <c r="CW11" s="16">
        <f t="shared" ca="1" si="44"/>
        <v>-3</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8</v>
      </c>
      <c r="DL11" s="16">
        <f t="shared" ca="1" si="49"/>
        <v>1</v>
      </c>
      <c r="DM11" s="16" t="str">
        <f t="shared" ca="1" si="50"/>
        <v>2.1</v>
      </c>
      <c r="DN11" s="16">
        <f t="array" aca="1" ref="DN11" ca="1">OFFSET(Horarios!$P$3,DJ11-1,0,DL11,1)</f>
        <v>2</v>
      </c>
      <c r="DO11" s="16"/>
      <c r="DP11" s="16" t="s">
        <v>75</v>
      </c>
      <c r="DQ11" s="16" t="str">
        <f t="shared" ca="1" si="51"/>
        <v>Suiza</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P.1 (2)</v>
      </c>
      <c r="F12" s="16" t="str">
        <f t="shared" ref="F12:F17" ca="1" si="54">IF(D12="Pendiente","-",INDEX($BT$6:$BT$53,MATCH($AF12,$BD$6:$BD$53,0)))</f>
        <v>P.3 (2)</v>
      </c>
      <c r="G12" s="16"/>
      <c r="H12" s="16" t="str">
        <f t="shared" ref="H12:H17" ca="1" si="55">IF(D12="Pendiente","-",INDEX($BZ$6:$BZ$53,MATCH($AA12,$BD$6:$BD$53,0)))</f>
        <v>P.1 (2)</v>
      </c>
      <c r="I12" s="16" t="str">
        <f t="shared" ref="I12:I17" ca="1" si="56">IF(D12="Pendiente","-",INDEX($BZ$6:$BZ$53,MATCH($AF12,$BD$6:$BD$53,0)))</f>
        <v>P.3 (2)</v>
      </c>
      <c r="J12" s="16"/>
      <c r="K12" s="16" t="str">
        <f t="shared" ref="K12:K17" ca="1" si="57">IF(D12="Pendiente","-",INDEX($CE$6:$CE$53,MATCH($AA12,$BD$6:$BD$53,0)))</f>
        <v>P.1 (2)</v>
      </c>
      <c r="L12" s="16" t="str">
        <f t="shared" ref="L12:L17" ca="1" si="58">IF(D12="Pendiente","-",INDEX($CE$6:$CE$53,MATCH($AF12,$BD$6:$BD$53,0)))</f>
        <v>P.3 (2)</v>
      </c>
      <c r="M12" s="16"/>
      <c r="N12" s="16" t="str">
        <f t="shared" ref="N12:N17" ca="1" si="59">IF(D12="Pendiente","-",INDEX($CH$6:$CH$53,MATCH($AA12,$BD$6:$BD$53,0)))</f>
        <v>P.1 (2)</v>
      </c>
      <c r="O12" s="16" t="str">
        <f t="shared" ref="O12:O17" ca="1" si="60">IF(D12="Pendiente","-",INDEX($CH$6:$CH$53,MATCH($AF12,$BD$6:$BD$53,0)))</f>
        <v>P.3 (2)</v>
      </c>
      <c r="P12" s="16"/>
      <c r="Q12" s="16" t="str">
        <f t="shared" ref="Q12:Q17" ca="1" si="61">IF(D12="Pendiente","-",INDEX($CN$6:$CN$53,MATCH($AA12,$BD$6:$BD$53,0)))</f>
        <v>P.1 (2)</v>
      </c>
      <c r="R12" s="16" t="str">
        <f t="shared" ref="R12:R17" ca="1" si="62">IF(D12="Pendiente","-",INDEX($CN$6:$CN$53,MATCH($AF12,$BD$6:$BD$53,0)))</f>
        <v>P.3 (2)</v>
      </c>
      <c r="S12" s="16"/>
      <c r="T12" s="16" t="str">
        <f t="shared" ref="T12:T17" ca="1" si="63">IF(D12="Pendiente","-",INDEX($CS$6:$CS$53,MATCH($AA12,$BD$6:$BD$53,0)))</f>
        <v>P.1 (2)</v>
      </c>
      <c r="U12" s="16" t="str">
        <f t="shared" ref="U12:U17" ca="1" si="64">IF(D12="Pendiente","-",INDEX($CS$6:$CS$53,MATCH($AF12,$BD$6:$BD$53,0)))</f>
        <v>P.3 (2)</v>
      </c>
      <c r="V12" s="17"/>
      <c r="W12" s="619"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2</v>
      </c>
      <c r="BG12" s="16">
        <f t="shared" ca="1" si="18"/>
        <v>0</v>
      </c>
      <c r="BH12" s="16">
        <f t="shared" ca="1" si="19"/>
        <v>1</v>
      </c>
      <c r="BI12" s="16">
        <f t="shared" ca="1" si="20"/>
        <v>1</v>
      </c>
      <c r="BJ12" s="16">
        <f t="shared" ca="1" si="21"/>
        <v>1</v>
      </c>
      <c r="BK12" s="16">
        <f t="shared" ca="1" si="22"/>
        <v>7</v>
      </c>
      <c r="BL12" s="16">
        <f t="shared" ca="1" si="23"/>
        <v>-6</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P.3 (2)</v>
      </c>
      <c r="BU12" s="16">
        <f t="shared" ca="1" si="28"/>
        <v>0</v>
      </c>
      <c r="BV12" s="16">
        <f t="shared" ca="1" si="29"/>
        <v>0</v>
      </c>
      <c r="BW12" s="16">
        <f t="shared" ca="1" si="30"/>
        <v>0</v>
      </c>
      <c r="BX12" s="16">
        <f t="shared" ca="1" si="31"/>
        <v>0</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P.3 (2)</v>
      </c>
      <c r="CA12" s="16">
        <f t="shared" ca="1" si="32"/>
        <v>0</v>
      </c>
      <c r="CB12" s="16">
        <f t="shared" ca="1" si="33"/>
        <v>0</v>
      </c>
      <c r="CC12" s="16">
        <f t="shared" ca="1" si="34"/>
        <v>0</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P.3 (2)</v>
      </c>
      <c r="CF12" s="16">
        <f t="shared" ca="1" si="35"/>
        <v>0</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P.3 (2)</v>
      </c>
      <c r="CI12" s="16">
        <f t="shared" ca="1" si="36"/>
        <v>0</v>
      </c>
      <c r="CJ12" s="16">
        <f t="shared" ca="1" si="37"/>
        <v>0</v>
      </c>
      <c r="CK12" s="16">
        <f t="shared" ca="1" si="38"/>
        <v>0</v>
      </c>
      <c r="CL12" s="16">
        <f t="shared" ca="1" si="39"/>
        <v>0</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P.3 (2)</v>
      </c>
      <c r="CO12" s="16">
        <f t="shared" ca="1" si="40"/>
        <v>0</v>
      </c>
      <c r="CP12" s="16">
        <f t="shared" ca="1" si="41"/>
        <v>0</v>
      </c>
      <c r="CQ12" s="16">
        <f t="shared" ca="1" si="42"/>
        <v>0</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P.3 (2)</v>
      </c>
      <c r="CT12" s="16">
        <f t="shared" ca="1" si="43"/>
        <v>0</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P.3 (2)</v>
      </c>
      <c r="CW12" s="16">
        <f t="shared" ca="1" si="44"/>
        <v>-6</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8</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P.3 (2)</v>
      </c>
      <c r="F13" s="16" t="str">
        <f t="shared" ca="1" si="54"/>
        <v>P.1 (2)</v>
      </c>
      <c r="G13" s="16"/>
      <c r="H13" s="16" t="str">
        <f t="shared" ca="1" si="55"/>
        <v>P.3 (2)</v>
      </c>
      <c r="I13" s="16" t="str">
        <f t="shared" ca="1" si="56"/>
        <v>P.1 (2)</v>
      </c>
      <c r="J13" s="16"/>
      <c r="K13" s="16" t="str">
        <f t="shared" ca="1" si="57"/>
        <v>P.3 (2)</v>
      </c>
      <c r="L13" s="16" t="str">
        <f t="shared" ca="1" si="58"/>
        <v>P.1 (2)</v>
      </c>
      <c r="M13" s="16"/>
      <c r="N13" s="16" t="str">
        <f t="shared" ca="1" si="59"/>
        <v>P.3 (2)</v>
      </c>
      <c r="O13" s="16" t="str">
        <f t="shared" ca="1" si="60"/>
        <v>P.1 (2)</v>
      </c>
      <c r="P13" s="16"/>
      <c r="Q13" s="16" t="str">
        <f t="shared" ca="1" si="61"/>
        <v>P.3 (2)</v>
      </c>
      <c r="R13" s="16" t="str">
        <f t="shared" ca="1" si="62"/>
        <v>P.1 (2)</v>
      </c>
      <c r="S13" s="16"/>
      <c r="T13" s="16" t="str">
        <f t="shared" ca="1" si="63"/>
        <v>P.3 (2)</v>
      </c>
      <c r="U13" s="16" t="str">
        <f t="shared" ca="1" si="64"/>
        <v>P.1 (2)</v>
      </c>
      <c r="V13" s="17"/>
      <c r="W13" s="620"/>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4</v>
      </c>
      <c r="BF13" s="16">
        <f t="shared" ca="1" si="17"/>
        <v>2</v>
      </c>
      <c r="BG13" s="16">
        <f t="shared" ca="1" si="18"/>
        <v>1</v>
      </c>
      <c r="BH13" s="16">
        <f t="shared" ca="1" si="19"/>
        <v>1</v>
      </c>
      <c r="BI13" s="16">
        <f t="shared" ca="1" si="20"/>
        <v>0</v>
      </c>
      <c r="BJ13" s="16">
        <f t="shared" ca="1" si="21"/>
        <v>5</v>
      </c>
      <c r="BK13" s="16">
        <f t="shared" ca="1" si="22"/>
        <v>2</v>
      </c>
      <c r="BL13" s="16">
        <f t="shared" ca="1" si="23"/>
        <v>3</v>
      </c>
      <c r="BM13" s="16" t="str">
        <f t="shared" ca="1" si="24"/>
        <v>2B</v>
      </c>
      <c r="BN13" s="16" t="str">
        <f t="shared" ca="1" si="25"/>
        <v>2B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4</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(2)</v>
      </c>
      <c r="BU13" s="16">
        <f t="shared" ca="1" si="28"/>
        <v>0</v>
      </c>
      <c r="BV13" s="16">
        <f t="shared" ca="1" si="29"/>
        <v>0</v>
      </c>
      <c r="BW13" s="16">
        <f t="shared" ca="1" si="30"/>
        <v>0</v>
      </c>
      <c r="BX13" s="16">
        <f t="shared" ca="1" si="31"/>
        <v>0</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(2)</v>
      </c>
      <c r="CA13" s="16">
        <f t="shared" ca="1" si="32"/>
        <v>0</v>
      </c>
      <c r="CB13" s="16">
        <f t="shared" ca="1" si="33"/>
        <v>0</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(2)</v>
      </c>
      <c r="CF13" s="16">
        <f t="shared" ca="1" si="35"/>
        <v>0</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(2)</v>
      </c>
      <c r="CI13" s="16">
        <f t="shared" ca="1" si="36"/>
        <v>0</v>
      </c>
      <c r="CJ13" s="16">
        <f t="shared" ca="1" si="37"/>
        <v>0</v>
      </c>
      <c r="CK13" s="16">
        <f t="shared" ca="1" si="38"/>
        <v>0</v>
      </c>
      <c r="CL13" s="16">
        <f t="shared" ca="1" si="39"/>
        <v>0</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(2)</v>
      </c>
      <c r="CO13" s="16">
        <f t="shared" ca="1" si="40"/>
        <v>0</v>
      </c>
      <c r="CP13" s="16">
        <f t="shared" ca="1" si="41"/>
        <v>0</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(2)</v>
      </c>
      <c r="CT13" s="16">
        <f t="shared" ca="1" si="43"/>
        <v>0</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(2)</v>
      </c>
      <c r="CW13" s="16">
        <f t="shared" ca="1" si="44"/>
        <v>3</v>
      </c>
      <c r="CX13" s="16">
        <f ca="1">CU13+COUNTIFS($CV$6:$CV$53,CV13,$CW$6:CW$53,"&gt;"&amp;CW13,$BC$6:$BC$53,INDEX(T_Equipos[Grupo],MATCH(BD13,T_Equipos[NombreEquipo],0)))</f>
        <v>2</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2</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2</v>
      </c>
      <c r="DE13" s="16"/>
      <c r="DF13" s="16">
        <f t="shared" ca="1" si="46"/>
        <v>2</v>
      </c>
      <c r="DG13" s="16" t="str">
        <f ca="1">IF(DB13="-","-",COUNTIFS(DF$6:DF$53,"&lt;"&amp;DF13,$BC$6:$BC$53,INDEX(T_Equipos[Grupo],MATCH(BD13,T_Equipos[NombreEquipo],0))))</f>
        <v>-</v>
      </c>
      <c r="DH13" s="16">
        <f ca="1">DA13+COUNTIFS(DB$6:DB$53,DB13,DG$6:DG$53,"&lt;"&amp;DG13,$BC$6:$BC$53,INDEX(T_Equipos[Grupo],MATCH(BD13,T_Equipos[NombreEquipo],0)))</f>
        <v>2</v>
      </c>
      <c r="DI13" s="16"/>
      <c r="DJ13" s="16">
        <f t="shared" ca="1" si="47"/>
        <v>4</v>
      </c>
      <c r="DK13" s="16">
        <f t="shared" ca="1" si="48"/>
        <v>8</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P.1 (2)</v>
      </c>
      <c r="F14" s="16" t="str">
        <f t="shared" ca="1" si="54"/>
        <v>P.3 (2)</v>
      </c>
      <c r="G14" s="16"/>
      <c r="H14" s="16" t="str">
        <f t="shared" ca="1" si="55"/>
        <v>P.1 (2)</v>
      </c>
      <c r="I14" s="16" t="str">
        <f t="shared" ca="1" si="56"/>
        <v>P.3 (2)</v>
      </c>
      <c r="J14" s="16"/>
      <c r="K14" s="16" t="str">
        <f t="shared" ca="1" si="57"/>
        <v>P.1 (2)</v>
      </c>
      <c r="L14" s="16" t="str">
        <f t="shared" ca="1" si="58"/>
        <v>P.3 (2)</v>
      </c>
      <c r="M14" s="16"/>
      <c r="N14" s="16" t="str">
        <f t="shared" ca="1" si="59"/>
        <v>P.1 (2)</v>
      </c>
      <c r="O14" s="16" t="str">
        <f t="shared" ca="1" si="60"/>
        <v>P.3 (2)</v>
      </c>
      <c r="P14" s="16"/>
      <c r="Q14" s="16" t="str">
        <f t="shared" ca="1" si="61"/>
        <v>P.1 (2)</v>
      </c>
      <c r="R14" s="16" t="str">
        <f t="shared" ca="1" si="62"/>
        <v>P.3 (2)</v>
      </c>
      <c r="S14" s="16"/>
      <c r="T14" s="16" t="str">
        <f t="shared" ca="1" si="63"/>
        <v>P.1 (2)</v>
      </c>
      <c r="U14" s="16" t="str">
        <f t="shared" ca="1" si="64"/>
        <v>P.3 (2)</v>
      </c>
      <c r="V14" s="17"/>
      <c r="W14" s="620"/>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4</v>
      </c>
      <c r="AN14" s="36">
        <f t="shared" ca="1" si="67"/>
        <v>2</v>
      </c>
      <c r="AO14" s="36">
        <f t="shared" ca="1" si="67"/>
        <v>1</v>
      </c>
      <c r="AP14" s="36">
        <f t="shared" ca="1" si="67"/>
        <v>1</v>
      </c>
      <c r="AQ14" s="36">
        <f t="shared" ca="1" si="67"/>
        <v>0</v>
      </c>
      <c r="AR14" s="36">
        <f t="shared" ca="1" si="67"/>
        <v>7</v>
      </c>
      <c r="AS14" s="36">
        <f t="shared" ca="1" si="67"/>
        <v>1</v>
      </c>
      <c r="AT14" s="72">
        <f t="shared" ca="1" si="67"/>
        <v>6</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4</v>
      </c>
      <c r="BF14" s="16">
        <f t="shared" ca="1" si="17"/>
        <v>2</v>
      </c>
      <c r="BG14" s="16">
        <f t="shared" ca="1" si="18"/>
        <v>1</v>
      </c>
      <c r="BH14" s="16">
        <f t="shared" ca="1" si="19"/>
        <v>1</v>
      </c>
      <c r="BI14" s="16">
        <f t="shared" ca="1" si="20"/>
        <v>0</v>
      </c>
      <c r="BJ14" s="16">
        <f t="shared" ca="1" si="21"/>
        <v>4</v>
      </c>
      <c r="BK14" s="16">
        <f t="shared" ca="1" si="22"/>
        <v>1</v>
      </c>
      <c r="BL14" s="16">
        <f t="shared" ca="1" si="23"/>
        <v>3</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4</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3</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8</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P.1 (2)</v>
      </c>
      <c r="F15" s="16" t="str">
        <f t="shared" ca="1" si="54"/>
        <v>P.3 (2)</v>
      </c>
      <c r="G15" s="16"/>
      <c r="H15" s="16" t="str">
        <f t="shared" ca="1" si="55"/>
        <v>P.1 (2)</v>
      </c>
      <c r="I15" s="16" t="str">
        <f t="shared" ca="1" si="56"/>
        <v>P.3 (2)</v>
      </c>
      <c r="J15" s="16"/>
      <c r="K15" s="16" t="str">
        <f t="shared" ca="1" si="57"/>
        <v>P.1 (2)</v>
      </c>
      <c r="L15" s="16" t="str">
        <f t="shared" ca="1" si="58"/>
        <v>P.3 (2)</v>
      </c>
      <c r="M15" s="16"/>
      <c r="N15" s="16" t="str">
        <f t="shared" ca="1" si="59"/>
        <v>P.1 (2)</v>
      </c>
      <c r="O15" s="16" t="str">
        <f t="shared" ca="1" si="60"/>
        <v>P.3 (2)</v>
      </c>
      <c r="P15" s="16"/>
      <c r="Q15" s="16" t="str">
        <f t="shared" ca="1" si="61"/>
        <v>P.1 (2)</v>
      </c>
      <c r="R15" s="16" t="str">
        <f t="shared" ca="1" si="62"/>
        <v>P.3 (2)</v>
      </c>
      <c r="S15" s="16"/>
      <c r="T15" s="16" t="str">
        <f t="shared" ca="1" si="63"/>
        <v>P.1 (2)</v>
      </c>
      <c r="U15" s="16" t="str">
        <f t="shared" ca="1" si="64"/>
        <v>P.3 (2)</v>
      </c>
      <c r="V15" s="17"/>
      <c r="W15" s="620"/>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Suiza</v>
      </c>
      <c r="AM15" s="38">
        <f t="shared" ca="1" si="67"/>
        <v>4</v>
      </c>
      <c r="AN15" s="39">
        <f t="shared" ca="1" si="67"/>
        <v>2</v>
      </c>
      <c r="AO15" s="39">
        <f t="shared" ca="1" si="67"/>
        <v>1</v>
      </c>
      <c r="AP15" s="39">
        <f t="shared" ca="1" si="67"/>
        <v>1</v>
      </c>
      <c r="AQ15" s="39">
        <f t="shared" ca="1" si="67"/>
        <v>0</v>
      </c>
      <c r="AR15" s="39">
        <f t="shared" ca="1" si="67"/>
        <v>5</v>
      </c>
      <c r="AS15" s="39">
        <f t="shared" ca="1" si="67"/>
        <v>2</v>
      </c>
      <c r="AT15" s="74">
        <f t="shared" ca="1" si="67"/>
        <v>3</v>
      </c>
      <c r="AU15" s="323">
        <f ca="1">INDEX($DL$6:$DL$53,MATCH(AI15,$DP$6:$DP$53,0))</f>
        <v>1</v>
      </c>
      <c r="AV15" s="182" t="str">
        <f ca="1">INDEX($BD$6:$BD$53,MATCH(AI15,$BM$6:$BM$53,0))</f>
        <v>Suiza</v>
      </c>
      <c r="AW15" s="210"/>
      <c r="AX15" s="171"/>
      <c r="AY15" s="203" t="str">
        <f ca="1">+A14</f>
        <v>Bosnia y Herzegovina</v>
      </c>
      <c r="AZ15" s="204"/>
      <c r="BA15" s="176"/>
      <c r="BC15" s="16" t="str">
        <f ca="1">+INDEX(T_Equipos[Grupo],MATCH(WORLDCUP!BD15,T_Equipos[NombreEquipo],0))</f>
        <v>C</v>
      </c>
      <c r="BD15" s="16" t="str">
        <f ca="1">+Equipos!B11</f>
        <v>Marruecos</v>
      </c>
      <c r="BE15" s="16">
        <f t="shared" ca="1" si="16"/>
        <v>4</v>
      </c>
      <c r="BF15" s="16">
        <f t="shared" ca="1" si="17"/>
        <v>2</v>
      </c>
      <c r="BG15" s="16">
        <f t="shared" ca="1" si="18"/>
        <v>1</v>
      </c>
      <c r="BH15" s="16">
        <f t="shared" ca="1" si="19"/>
        <v>1</v>
      </c>
      <c r="BI15" s="16">
        <f t="shared" ca="1" si="20"/>
        <v>0</v>
      </c>
      <c r="BJ15" s="16">
        <f t="shared" ca="1" si="21"/>
        <v>2</v>
      </c>
      <c r="BK15" s="16">
        <f t="shared" ca="1" si="22"/>
        <v>1</v>
      </c>
      <c r="BL15" s="16">
        <f t="shared" ca="1" si="23"/>
        <v>1</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4</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1</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8</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0"/>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Bosnia y Herzegovina</v>
      </c>
      <c r="AM16" s="38">
        <f t="shared" ca="1" si="67"/>
        <v>1</v>
      </c>
      <c r="AN16" s="39">
        <f t="shared" ca="1" si="67"/>
        <v>2</v>
      </c>
      <c r="AO16" s="39">
        <f t="shared" ca="1" si="67"/>
        <v>0</v>
      </c>
      <c r="AP16" s="39">
        <f t="shared" ca="1" si="67"/>
        <v>1</v>
      </c>
      <c r="AQ16" s="39">
        <f t="shared" ca="1" si="67"/>
        <v>1</v>
      </c>
      <c r="AR16" s="39">
        <f t="shared" ca="1" si="67"/>
        <v>2</v>
      </c>
      <c r="AS16" s="39">
        <f t="shared" ca="1" si="67"/>
        <v>5</v>
      </c>
      <c r="AT16" s="74">
        <f t="shared" ca="1" si="67"/>
        <v>-3</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2</v>
      </c>
      <c r="BG16" s="16">
        <f t="shared" ca="1" si="18"/>
        <v>0</v>
      </c>
      <c r="BH16" s="16">
        <f t="shared" ca="1" si="19"/>
        <v>0</v>
      </c>
      <c r="BI16" s="16">
        <f t="shared" ca="1" si="20"/>
        <v>2</v>
      </c>
      <c r="BJ16" s="16">
        <f t="shared" ca="1" si="21"/>
        <v>0</v>
      </c>
      <c r="BK16" s="16">
        <f t="shared" ca="1" si="22"/>
        <v>4</v>
      </c>
      <c r="BL16" s="16">
        <f t="shared" ca="1" si="23"/>
        <v>-4</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8</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1"/>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2</v>
      </c>
      <c r="AO17" s="78">
        <f t="shared" ca="1" si="67"/>
        <v>0</v>
      </c>
      <c r="AP17" s="78">
        <f t="shared" ca="1" si="67"/>
        <v>1</v>
      </c>
      <c r="AQ17" s="78">
        <f t="shared" ca="1" si="67"/>
        <v>1</v>
      </c>
      <c r="AR17" s="78">
        <f t="shared" ca="1" si="67"/>
        <v>1</v>
      </c>
      <c r="AS17" s="78">
        <f t="shared" ca="1" si="67"/>
        <v>7</v>
      </c>
      <c r="AT17" s="79">
        <f t="shared" ca="1" si="67"/>
        <v>-6</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2</v>
      </c>
      <c r="BG17" s="16">
        <f t="shared" ca="1" si="18"/>
        <v>1</v>
      </c>
      <c r="BH17" s="16">
        <f t="shared" ca="1" si="19"/>
        <v>0</v>
      </c>
      <c r="BI17" s="16">
        <f t="shared" ca="1" si="20"/>
        <v>1</v>
      </c>
      <c r="BJ17" s="16">
        <f t="shared" ca="1" si="21"/>
        <v>1</v>
      </c>
      <c r="BK17" s="16">
        <f t="shared" ca="1" si="22"/>
        <v>1</v>
      </c>
      <c r="BL17" s="16">
        <f t="shared" ca="1" si="23"/>
        <v>0</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8</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2</v>
      </c>
      <c r="BG18" s="16">
        <f t="shared" ca="1" si="18"/>
        <v>2</v>
      </c>
      <c r="BH18" s="16">
        <f t="shared" ca="1" si="19"/>
        <v>0</v>
      </c>
      <c r="BI18" s="16">
        <f t="shared" ca="1" si="20"/>
        <v>0</v>
      </c>
      <c r="BJ18" s="16">
        <f t="shared" ca="1" si="21"/>
        <v>6</v>
      </c>
      <c r="BK18" s="16">
        <f t="shared" ca="1" si="22"/>
        <v>1</v>
      </c>
      <c r="BL18" s="16">
        <f t="shared" ca="1" si="23"/>
        <v>5</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8</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3</v>
      </c>
      <c r="BF19" s="16">
        <f t="shared" ca="1" si="17"/>
        <v>2</v>
      </c>
      <c r="BG19" s="16">
        <f t="shared" ca="1" si="18"/>
        <v>1</v>
      </c>
      <c r="BH19" s="16">
        <f t="shared" ca="1" si="19"/>
        <v>0</v>
      </c>
      <c r="BI19" s="16">
        <f t="shared" ca="1" si="20"/>
        <v>1</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3</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0</v>
      </c>
      <c r="BW19" s="16">
        <f t="shared" ca="1" si="30"/>
        <v>0</v>
      </c>
      <c r="BX19" s="16">
        <f t="shared" ca="1" si="31"/>
        <v>0</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0</v>
      </c>
      <c r="CK19" s="16">
        <f t="shared" ca="1" si="38"/>
        <v>0</v>
      </c>
      <c r="CL19" s="16">
        <f t="shared" ca="1" si="39"/>
        <v>0</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8</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41"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3</v>
      </c>
      <c r="BF20" s="16">
        <f t="shared" ca="1" si="17"/>
        <v>2</v>
      </c>
      <c r="BG20" s="16">
        <f t="shared" ca="1" si="18"/>
        <v>1</v>
      </c>
      <c r="BH20" s="16">
        <f t="shared" ca="1" si="19"/>
        <v>0</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3</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8"/>
        <v>0</v>
      </c>
      <c r="BV20" s="16">
        <f t="shared" ca="1" si="29"/>
        <v>0</v>
      </c>
      <c r="BW20" s="16">
        <f t="shared" ca="1" si="30"/>
        <v>0</v>
      </c>
      <c r="BX20" s="16">
        <f t="shared" ca="1" si="31"/>
        <v>0</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6"/>
        <v>0</v>
      </c>
      <c r="CJ20" s="16">
        <f t="shared" ca="1" si="37"/>
        <v>0</v>
      </c>
      <c r="CK20" s="16">
        <f t="shared" ca="1" si="38"/>
        <v>0</v>
      </c>
      <c r="CL20" s="16">
        <f t="shared" ca="1" si="39"/>
        <v>0</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8</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0"/>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2</v>
      </c>
      <c r="BG21" s="16">
        <f t="shared" ca="1" si="18"/>
        <v>0</v>
      </c>
      <c r="BH21" s="16">
        <f t="shared" ca="1" si="19"/>
        <v>0</v>
      </c>
      <c r="BI21" s="16">
        <f t="shared" ca="1" si="20"/>
        <v>2</v>
      </c>
      <c r="BJ21" s="16">
        <f t="shared" ca="1" si="21"/>
        <v>0</v>
      </c>
      <c r="BK21" s="16">
        <f t="shared" ca="1" si="22"/>
        <v>3</v>
      </c>
      <c r="BL21" s="16">
        <f t="shared" ca="1" si="23"/>
        <v>-3</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8</v>
      </c>
      <c r="DL21" s="16">
        <f t="shared" ca="1" si="49"/>
        <v>1</v>
      </c>
      <c r="DM21" s="16" t="str">
        <f t="shared" ca="1" si="50"/>
        <v>4.1</v>
      </c>
      <c r="DN21" s="16">
        <f t="array" aca="1" ref="DN21" ca="1">OFFSET(Horarios!$P$3,DJ21-1,0,DL21,1)</f>
        <v>4</v>
      </c>
      <c r="DO21" s="16"/>
      <c r="DP21" s="16" t="s">
        <v>87</v>
      </c>
      <c r="DQ21" s="16" t="str">
        <f t="shared" ca="1" si="51"/>
        <v>Turquía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0"/>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4</v>
      </c>
      <c r="AN22" s="36">
        <f t="shared" ca="1" si="83"/>
        <v>2</v>
      </c>
      <c r="AO22" s="36">
        <f t="shared" ca="1" si="83"/>
        <v>1</v>
      </c>
      <c r="AP22" s="36">
        <f t="shared" ca="1" si="83"/>
        <v>1</v>
      </c>
      <c r="AQ22" s="36">
        <f t="shared" ca="1" si="83"/>
        <v>0</v>
      </c>
      <c r="AR22" s="36">
        <f t="shared" ca="1" si="83"/>
        <v>4</v>
      </c>
      <c r="AS22" s="36">
        <f t="shared" ca="1" si="83"/>
        <v>1</v>
      </c>
      <c r="AT22" s="41">
        <f t="shared" ca="1" si="83"/>
        <v>3</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6</v>
      </c>
      <c r="BF22" s="16">
        <f t="shared" ca="1" si="17"/>
        <v>2</v>
      </c>
      <c r="BG22" s="16">
        <f t="shared" ca="1" si="18"/>
        <v>2</v>
      </c>
      <c r="BH22" s="16">
        <f t="shared" ca="1" si="19"/>
        <v>0</v>
      </c>
      <c r="BI22" s="16">
        <f t="shared" ca="1" si="20"/>
        <v>0</v>
      </c>
      <c r="BJ22" s="16">
        <f t="shared" ca="1" si="21"/>
        <v>9</v>
      </c>
      <c r="BK22" s="16">
        <f t="shared" ca="1" si="22"/>
        <v>2</v>
      </c>
      <c r="BL22" s="16">
        <f t="shared" ca="1" si="23"/>
        <v>7</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8</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0"/>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4</v>
      </c>
      <c r="AN23" s="39">
        <f t="shared" ca="1" si="83"/>
        <v>2</v>
      </c>
      <c r="AO23" s="39">
        <f t="shared" ca="1" si="83"/>
        <v>1</v>
      </c>
      <c r="AP23" s="39">
        <f t="shared" ca="1" si="83"/>
        <v>1</v>
      </c>
      <c r="AQ23" s="39">
        <f t="shared" ca="1" si="83"/>
        <v>0</v>
      </c>
      <c r="AR23" s="39">
        <f t="shared" ca="1" si="83"/>
        <v>2</v>
      </c>
      <c r="AS23" s="39">
        <f t="shared" ca="1" si="83"/>
        <v>1</v>
      </c>
      <c r="AT23" s="43">
        <f t="shared" ca="1" si="83"/>
        <v>1</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2</v>
      </c>
      <c r="BG23" s="16">
        <f t="shared" ca="1" si="18"/>
        <v>0</v>
      </c>
      <c r="BH23" s="16">
        <f t="shared" ca="1" si="19"/>
        <v>1</v>
      </c>
      <c r="BI23" s="16">
        <f t="shared" ca="1" si="20"/>
        <v>1</v>
      </c>
      <c r="BJ23" s="16">
        <f t="shared" ca="1" si="21"/>
        <v>1</v>
      </c>
      <c r="BK23" s="16">
        <f t="shared" ca="1" si="22"/>
        <v>7</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8"/>
        <v>0</v>
      </c>
      <c r="BV23" s="16">
        <f t="shared" ca="1" si="29"/>
        <v>1</v>
      </c>
      <c r="BW23" s="16">
        <f t="shared" ca="1" si="30"/>
        <v>0</v>
      </c>
      <c r="BX23" s="16">
        <f t="shared" ca="1" si="31"/>
        <v>1</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32"/>
        <v>0</v>
      </c>
      <c r="CB23" s="16">
        <f t="shared" ca="1" si="33"/>
        <v>0</v>
      </c>
      <c r="CC23" s="16">
        <f t="shared" ca="1" si="34"/>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35"/>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6"/>
        <v>0</v>
      </c>
      <c r="CJ23" s="16">
        <f t="shared" ca="1" si="37"/>
        <v>1</v>
      </c>
      <c r="CK23" s="16">
        <f t="shared" ca="1" si="38"/>
        <v>0</v>
      </c>
      <c r="CL23" s="16">
        <f t="shared" ca="1" si="39"/>
        <v>1</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40"/>
        <v>0</v>
      </c>
      <c r="CP23" s="16">
        <f t="shared" ca="1" si="41"/>
        <v>0</v>
      </c>
      <c r="CQ23" s="16">
        <f t="shared" ca="1" si="42"/>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43"/>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44"/>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8</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0"/>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2</v>
      </c>
      <c r="AO24" s="39">
        <f t="shared" ca="1" si="83"/>
        <v>1</v>
      </c>
      <c r="AP24" s="39">
        <f t="shared" ca="1" si="83"/>
        <v>0</v>
      </c>
      <c r="AQ24" s="39">
        <f t="shared" ca="1" si="83"/>
        <v>1</v>
      </c>
      <c r="AR24" s="39">
        <f t="shared" ca="1" si="83"/>
        <v>1</v>
      </c>
      <c r="AS24" s="39">
        <f t="shared" ca="1" si="83"/>
        <v>1</v>
      </c>
      <c r="AT24" s="43">
        <f t="shared" ca="1" si="83"/>
        <v>0</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2</v>
      </c>
      <c r="BG24" s="16">
        <f t="shared" ca="1" si="18"/>
        <v>1</v>
      </c>
      <c r="BH24" s="16">
        <f t="shared" ca="1" si="19"/>
        <v>0</v>
      </c>
      <c r="BI24" s="16">
        <f t="shared" ca="1" si="20"/>
        <v>1</v>
      </c>
      <c r="BJ24" s="16">
        <f t="shared" ca="1" si="21"/>
        <v>2</v>
      </c>
      <c r="BK24" s="16">
        <f t="shared" ca="1" si="22"/>
        <v>2</v>
      </c>
      <c r="BL24" s="16">
        <f t="shared" ca="1" si="23"/>
        <v>0</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8</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1"/>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2</v>
      </c>
      <c r="AO25" s="47">
        <f t="shared" ca="1" si="83"/>
        <v>0</v>
      </c>
      <c r="AP25" s="47">
        <f t="shared" ca="1" si="83"/>
        <v>0</v>
      </c>
      <c r="AQ25" s="47">
        <f t="shared" ca="1" si="83"/>
        <v>2</v>
      </c>
      <c r="AR25" s="47">
        <f t="shared" ca="1" si="83"/>
        <v>0</v>
      </c>
      <c r="AS25" s="47">
        <f t="shared" ca="1" si="83"/>
        <v>4</v>
      </c>
      <c r="AT25" s="48">
        <f t="shared" ca="1" si="83"/>
        <v>-4</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1</v>
      </c>
      <c r="BF25" s="16">
        <f t="shared" ca="1" si="17"/>
        <v>2</v>
      </c>
      <c r="BG25" s="16">
        <f t="shared" ca="1" si="18"/>
        <v>0</v>
      </c>
      <c r="BH25" s="16">
        <f t="shared" ca="1" si="19"/>
        <v>1</v>
      </c>
      <c r="BI25" s="16">
        <f t="shared" ca="1" si="20"/>
        <v>1</v>
      </c>
      <c r="BJ25" s="16">
        <f t="shared" ca="1" si="21"/>
        <v>0</v>
      </c>
      <c r="BK25" s="16">
        <f t="shared" ca="1" si="22"/>
        <v>1</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1</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8"/>
        <v>0</v>
      </c>
      <c r="BV25" s="16">
        <f t="shared" ca="1" si="29"/>
        <v>1</v>
      </c>
      <c r="BW25" s="16">
        <f t="shared" ca="1" si="30"/>
        <v>0</v>
      </c>
      <c r="BX25" s="16">
        <f t="shared" ca="1" si="31"/>
        <v>1</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32"/>
        <v>0</v>
      </c>
      <c r="CB25" s="16">
        <f t="shared" ca="1" si="33"/>
        <v>0</v>
      </c>
      <c r="CC25" s="16">
        <f t="shared" ca="1" si="34"/>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35"/>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6"/>
        <v>0</v>
      </c>
      <c r="CJ25" s="16">
        <f t="shared" ca="1" si="37"/>
        <v>1</v>
      </c>
      <c r="CK25" s="16">
        <f t="shared" ca="1" si="38"/>
        <v>0</v>
      </c>
      <c r="CL25" s="16">
        <f t="shared" ca="1" si="39"/>
        <v>1</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40"/>
        <v>0</v>
      </c>
      <c r="CP25" s="16">
        <f t="shared" ca="1" si="41"/>
        <v>0</v>
      </c>
      <c r="CQ25" s="16">
        <f t="shared" ca="1" si="42"/>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43"/>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44"/>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8</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4</v>
      </c>
      <c r="BF26" s="16">
        <f t="shared" ca="1" si="17"/>
        <v>2</v>
      </c>
      <c r="BG26" s="16">
        <f t="shared" ca="1" si="18"/>
        <v>1</v>
      </c>
      <c r="BH26" s="16">
        <f t="shared" ca="1" si="19"/>
        <v>1</v>
      </c>
      <c r="BI26" s="16">
        <f t="shared" ca="1" si="20"/>
        <v>0</v>
      </c>
      <c r="BJ26" s="16">
        <f t="shared" ca="1" si="21"/>
        <v>7</v>
      </c>
      <c r="BK26" s="16">
        <f t="shared" ca="1" si="22"/>
        <v>3</v>
      </c>
      <c r="BL26" s="16">
        <f t="shared" ca="1" si="23"/>
        <v>4</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4</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(2)</v>
      </c>
      <c r="BU26" s="16">
        <f t="shared" ca="1" si="28"/>
        <v>0</v>
      </c>
      <c r="BV26" s="16">
        <f t="shared" ca="1" si="29"/>
        <v>1</v>
      </c>
      <c r="BW26" s="16">
        <f t="shared" ca="1" si="30"/>
        <v>0</v>
      </c>
      <c r="BX26" s="16">
        <f t="shared" ca="1" si="31"/>
        <v>1</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(2)</v>
      </c>
      <c r="CA26" s="16">
        <f t="shared" ca="1" si="32"/>
        <v>2</v>
      </c>
      <c r="CB26" s="16">
        <f t="shared" ca="1" si="33"/>
        <v>2</v>
      </c>
      <c r="CC26" s="16">
        <f t="shared" ca="1" si="34"/>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(2)</v>
      </c>
      <c r="CF26" s="16">
        <f t="shared" ca="1" si="35"/>
        <v>2</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(2)</v>
      </c>
      <c r="CI26" s="16">
        <f t="shared" ca="1" si="36"/>
        <v>0</v>
      </c>
      <c r="CJ26" s="16">
        <f t="shared" ca="1" si="37"/>
        <v>1</v>
      </c>
      <c r="CK26" s="16">
        <f t="shared" ca="1" si="38"/>
        <v>0</v>
      </c>
      <c r="CL26" s="16">
        <f t="shared" ca="1" si="39"/>
        <v>1</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(2)</v>
      </c>
      <c r="CO26" s="16">
        <f t="shared" ca="1" si="40"/>
        <v>2</v>
      </c>
      <c r="CP26" s="16">
        <f t="shared" ca="1" si="41"/>
        <v>2</v>
      </c>
      <c r="CQ26" s="16">
        <f t="shared" ca="1" si="42"/>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(2)</v>
      </c>
      <c r="CT26" s="16">
        <f t="shared" ca="1" si="43"/>
        <v>2</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(2)</v>
      </c>
      <c r="CW26" s="16">
        <f t="shared" ca="1" si="44"/>
        <v>4</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(2)</v>
      </c>
      <c r="CZ26" s="16">
        <f t="shared" ca="1" si="45"/>
        <v>7</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8</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4</v>
      </c>
      <c r="BF27" s="16">
        <f t="shared" ca="1" si="17"/>
        <v>2</v>
      </c>
      <c r="BG27" s="16">
        <f t="shared" ca="1" si="18"/>
        <v>1</v>
      </c>
      <c r="BH27" s="16">
        <f t="shared" ca="1" si="19"/>
        <v>1</v>
      </c>
      <c r="BI27" s="16">
        <f t="shared" ca="1" si="20"/>
        <v>0</v>
      </c>
      <c r="BJ27" s="16">
        <f t="shared" ca="1" si="21"/>
        <v>6</v>
      </c>
      <c r="BK27" s="16">
        <f t="shared" ca="1" si="22"/>
        <v>2</v>
      </c>
      <c r="BL27" s="16">
        <f t="shared" ca="1" si="23"/>
        <v>4</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4</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(2)</v>
      </c>
      <c r="BU27" s="16">
        <f t="shared" ca="1" si="28"/>
        <v>0</v>
      </c>
      <c r="BV27" s="16">
        <f t="shared" ca="1" si="29"/>
        <v>1</v>
      </c>
      <c r="BW27" s="16">
        <f t="shared" ca="1" si="30"/>
        <v>0</v>
      </c>
      <c r="BX27" s="16">
        <f t="shared" ca="1" si="31"/>
        <v>1</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(2)</v>
      </c>
      <c r="CA27" s="16">
        <f t="shared" ca="1" si="32"/>
        <v>2</v>
      </c>
      <c r="CB27" s="16">
        <f t="shared" ca="1" si="33"/>
        <v>2</v>
      </c>
      <c r="CC27" s="16">
        <f t="shared" ca="1" si="34"/>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(2)</v>
      </c>
      <c r="CF27" s="16">
        <f t="shared" ca="1" si="35"/>
        <v>2</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(2)</v>
      </c>
      <c r="CI27" s="16">
        <f t="shared" ca="1" si="36"/>
        <v>0</v>
      </c>
      <c r="CJ27" s="16">
        <f t="shared" ca="1" si="37"/>
        <v>1</v>
      </c>
      <c r="CK27" s="16">
        <f t="shared" ca="1" si="38"/>
        <v>0</v>
      </c>
      <c r="CL27" s="16">
        <f t="shared" ca="1" si="39"/>
        <v>1</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(2)</v>
      </c>
      <c r="CO27" s="16">
        <f t="shared" ca="1" si="40"/>
        <v>2</v>
      </c>
      <c r="CP27" s="16">
        <f t="shared" ca="1" si="41"/>
        <v>2</v>
      </c>
      <c r="CQ27" s="16">
        <f t="shared" ca="1" si="42"/>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(2)</v>
      </c>
      <c r="CT27" s="16">
        <f t="shared" ca="1" si="43"/>
        <v>2</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(2)</v>
      </c>
      <c r="CW27" s="16">
        <f t="shared" ca="1" si="44"/>
        <v>4</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(2)</v>
      </c>
      <c r="CZ27" s="16">
        <f t="shared" ca="1" si="45"/>
        <v>6</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8</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32"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2</v>
      </c>
      <c r="BG28" s="16">
        <f t="shared" ca="1" si="18"/>
        <v>1</v>
      </c>
      <c r="BH28" s="16">
        <f t="shared" ca="1" si="19"/>
        <v>0</v>
      </c>
      <c r="BI28" s="16">
        <f t="shared" ca="1" si="20"/>
        <v>1</v>
      </c>
      <c r="BJ28" s="16">
        <f t="shared" ca="1" si="21"/>
        <v>6</v>
      </c>
      <c r="BK28" s="16">
        <f t="shared" ca="1" si="22"/>
        <v>6</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8</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Local</v>
      </c>
      <c r="E29" s="16" t="str">
        <f t="shared" ca="1" si="85"/>
        <v>P.2 (2)</v>
      </c>
      <c r="F29" s="16" t="str">
        <f t="shared" ca="1" si="86"/>
        <v>-</v>
      </c>
      <c r="G29" s="16"/>
      <c r="H29" s="16" t="str">
        <f t="shared" ca="1" si="87"/>
        <v>P.2 (2)</v>
      </c>
      <c r="I29" s="16" t="str">
        <f t="shared" ca="1" si="88"/>
        <v>-</v>
      </c>
      <c r="J29" s="16"/>
      <c r="K29" s="16" t="str">
        <f t="shared" ca="1" si="89"/>
        <v>P.2 (2)</v>
      </c>
      <c r="L29" s="16" t="str">
        <f t="shared" ca="1" si="90"/>
        <v>-</v>
      </c>
      <c r="M29" s="16"/>
      <c r="N29" s="16" t="str">
        <f t="shared" ca="1" si="91"/>
        <v>P.2 (2)</v>
      </c>
      <c r="O29" s="16" t="str">
        <f t="shared" ca="1" si="92"/>
        <v>-</v>
      </c>
      <c r="P29" s="16"/>
      <c r="Q29" s="16" t="str">
        <f t="shared" ca="1" si="93"/>
        <v>P.2 (2)</v>
      </c>
      <c r="R29" s="16" t="str">
        <f t="shared" ca="1" si="94"/>
        <v>-</v>
      </c>
      <c r="S29" s="16"/>
      <c r="T29" s="16" t="str">
        <f t="shared" ca="1" si="95"/>
        <v>P.2 (2)</v>
      </c>
      <c r="U29" s="16" t="str">
        <f t="shared" ca="1" si="96"/>
        <v>-</v>
      </c>
      <c r="V29" s="17"/>
      <c r="W29" s="620"/>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2</v>
      </c>
      <c r="BG29" s="16">
        <f t="shared" ca="1" si="18"/>
        <v>0</v>
      </c>
      <c r="BH29" s="16">
        <f t="shared" ca="1" si="19"/>
        <v>0</v>
      </c>
      <c r="BI29" s="16">
        <f t="shared" ca="1" si="20"/>
        <v>2</v>
      </c>
      <c r="BJ29" s="16">
        <f t="shared" ca="1" si="21"/>
        <v>1</v>
      </c>
      <c r="BK29" s="16">
        <f t="shared" ca="1" si="22"/>
        <v>9</v>
      </c>
      <c r="BL29" s="16">
        <f t="shared" ca="1" si="23"/>
        <v>-8</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8</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P.2 (2)</v>
      </c>
      <c r="G30" s="16"/>
      <c r="H30" s="16" t="str">
        <f t="shared" ca="1" si="87"/>
        <v>-</v>
      </c>
      <c r="I30" s="16" t="str">
        <f t="shared" ca="1" si="88"/>
        <v>P.2 (2)</v>
      </c>
      <c r="J30" s="16"/>
      <c r="K30" s="16" t="str">
        <f t="shared" ca="1" si="89"/>
        <v>-</v>
      </c>
      <c r="L30" s="16" t="str">
        <f t="shared" ca="1" si="90"/>
        <v>P.2 (2)</v>
      </c>
      <c r="M30" s="16"/>
      <c r="N30" s="16" t="str">
        <f t="shared" ca="1" si="91"/>
        <v>-</v>
      </c>
      <c r="O30" s="16" t="str">
        <f t="shared" ca="1" si="92"/>
        <v>P.2 (2)</v>
      </c>
      <c r="P30" s="16"/>
      <c r="Q30" s="16" t="str">
        <f t="shared" ca="1" si="93"/>
        <v>-</v>
      </c>
      <c r="R30" s="16" t="str">
        <f t="shared" ca="1" si="94"/>
        <v>P.2 (2)</v>
      </c>
      <c r="S30" s="16"/>
      <c r="T30" s="16" t="str">
        <f t="shared" ca="1" si="95"/>
        <v>-</v>
      </c>
      <c r="U30" s="16" t="str">
        <f t="shared" ca="1" si="96"/>
        <v>P.2 (2)</v>
      </c>
      <c r="V30" s="17"/>
      <c r="W30" s="620"/>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2</v>
      </c>
      <c r="AO30" s="36">
        <f t="shared" ca="1" si="99"/>
        <v>2</v>
      </c>
      <c r="AP30" s="36">
        <f t="shared" ca="1" si="99"/>
        <v>0</v>
      </c>
      <c r="AQ30" s="36">
        <f t="shared" ca="1" si="99"/>
        <v>0</v>
      </c>
      <c r="AR30" s="36">
        <f t="shared" ca="1" si="99"/>
        <v>6</v>
      </c>
      <c r="AS30" s="36">
        <f t="shared" ca="1" si="99"/>
        <v>1</v>
      </c>
      <c r="AT30" s="41">
        <f t="shared" ca="1" si="99"/>
        <v>5</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2</v>
      </c>
      <c r="BF30" s="16">
        <f t="shared" ca="1" si="17"/>
        <v>2</v>
      </c>
      <c r="BG30" s="16">
        <f t="shared" ca="1" si="18"/>
        <v>0</v>
      </c>
      <c r="BH30" s="16">
        <f t="shared" ca="1" si="19"/>
        <v>2</v>
      </c>
      <c r="BI30" s="16">
        <f t="shared" ca="1" si="20"/>
        <v>0</v>
      </c>
      <c r="BJ30" s="16">
        <f t="shared" ca="1" si="21"/>
        <v>1</v>
      </c>
      <c r="BK30" s="16">
        <f t="shared" ca="1" si="22"/>
        <v>1</v>
      </c>
      <c r="BL30" s="16">
        <f t="shared" ca="1" si="23"/>
        <v>0</v>
      </c>
      <c r="BM30" s="16" t="str">
        <f t="shared" ca="1" si="24"/>
        <v>3G</v>
      </c>
      <c r="BN30" s="16" t="str">
        <f t="shared" ca="1" si="25"/>
        <v>3G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2</v>
      </c>
      <c r="BS30" s="16">
        <f ca="1">BP30+COUNTIFS($BQ$6:$BQ$53,BQ30,$BR$6:BR$53,"&gt;"&amp;BR30,$BC$6:$BC$53,INDEX(T_Equipos[Grupo],MATCH(BD30,T_Equipos[NombreEquipo],0)))</f>
        <v>2</v>
      </c>
      <c r="BT30" s="16" t="str">
        <f ca="1">IF(COUNTIFS($BS$6:$BS$53,BS30,$BC$6:$BC$53,INDEX(T_Equipos[Grupo],MATCH(BD30,T_Equipos[NombreEquipo],0)))=1,"-","P."&amp;BS30&amp;" ("&amp;COUNTIFS($BS$6:$BS$53,BS30,$BC$6:$BC$53,INDEX(T_Equipos[Grupo],MATCH(BD30,T_Equipos[NombreEquipo],0)))&amp;")")</f>
        <v>P.2 (2)</v>
      </c>
      <c r="BU30" s="16">
        <f t="shared" ca="1" si="28"/>
        <v>0</v>
      </c>
      <c r="BV30" s="16">
        <f t="shared" ca="1" si="29"/>
        <v>1</v>
      </c>
      <c r="BW30" s="16">
        <f t="shared" ca="1" si="30"/>
        <v>0</v>
      </c>
      <c r="BX30" s="16">
        <f t="shared" ca="1" si="31"/>
        <v>1</v>
      </c>
      <c r="BY30" s="16">
        <f ca="1">BS30+COUNTIFS($BT$6:$BT$53,BT30,$BX$6:BX$53,"&gt;"&amp;BX30,$BC$6:$BC$53,INDEX(T_Equipos[Grupo],MATCH(BD30,T_Equipos[NombreEquipo],0)))</f>
        <v>2</v>
      </c>
      <c r="BZ30" s="16" t="str">
        <f ca="1">IF(COUNTIFS($BY$6:$BY$53,BY30,$BC$6:$BC$53,INDEX(T_Equipos[Grupo],MATCH(BD30,T_Equipos[NombreEquipo],0)))=1,"-","P."&amp;BY30&amp;" ("&amp;COUNTIFS($BY$6:$BY$53,BY30,$BC$6:$BC$53,INDEX(T_Equipos[Grupo],MATCH(BD30,T_Equipos[NombreEquipo],0)))&amp;")")</f>
        <v>P.2 (2)</v>
      </c>
      <c r="CA30" s="16">
        <f t="shared" ca="1" si="32"/>
        <v>0</v>
      </c>
      <c r="CB30" s="16">
        <f t="shared" ca="1" si="33"/>
        <v>0</v>
      </c>
      <c r="CC30" s="16">
        <f t="shared" ca="1" si="34"/>
        <v>0</v>
      </c>
      <c r="CD30" s="16">
        <f ca="1">BY30+COUNTIFS($BZ$6:$BZ$53,BZ30,$CC$6:CC$53,"&gt;"&amp;CC30,$BC$6:$BC$53,INDEX(T_Equipos[Grupo],MATCH(BD30,T_Equipos[NombreEquipo],0)))</f>
        <v>2</v>
      </c>
      <c r="CE30" s="16" t="str">
        <f ca="1">IF(COUNTIFS($CD$6:$CD$53,CD30,$BC$6:$BC$53,INDEX(T_Equipos[Grupo],MATCH(BD30,T_Equipos[NombreEquipo],0)))=1,"-","P."&amp;CD30&amp;" ("&amp;COUNTIFS($CD$6:$CD$53,CD30,$BC$6:$BC$53,INDEX(T_Equipos[Grupo],MATCH(BD30,T_Equipos[NombreEquipo],0)))&amp;")")</f>
        <v>P.2 (2)</v>
      </c>
      <c r="CF30" s="16">
        <f t="shared" ca="1" si="35"/>
        <v>0</v>
      </c>
      <c r="CG30" s="16">
        <f ca="1">CD30+COUNTIFS($CE$6:$CE$53,CE30,$CF$6:CF$53,"&gt;"&amp;CF30,$BC$6:$BC$53,INDEX(T_Equipos[Grupo],MATCH(BD30,T_Equipos[NombreEquipo],0)))</f>
        <v>2</v>
      </c>
      <c r="CH30" s="16" t="str">
        <f ca="1">IF(COUNTIFS($CG$6:$CG$53,CG30,$BC$6:$BC$53,INDEX(T_Equipos[Grupo],MATCH(BD30,T_Equipos[NombreEquipo],0)))=1,"-","P."&amp;CG30&amp;" ("&amp;COUNTIFS($CG$6:$CG$53,CG30,$BC$6:$BC$53,INDEX(T_Equipos[Grupo],MATCH(BD30,T_Equipos[NombreEquipo],0)))&amp;")")</f>
        <v>P.2 (2)</v>
      </c>
      <c r="CI30" s="16">
        <f t="shared" ca="1" si="36"/>
        <v>0</v>
      </c>
      <c r="CJ30" s="16">
        <f t="shared" ca="1" si="37"/>
        <v>1</v>
      </c>
      <c r="CK30" s="16">
        <f t="shared" ca="1" si="38"/>
        <v>0</v>
      </c>
      <c r="CL30" s="16">
        <f t="shared" ca="1" si="39"/>
        <v>1</v>
      </c>
      <c r="CM30" s="16">
        <f ca="1">CG30+COUNTIFS($CH$6:$CH$53,CH30,$CL$6:CL$53,"&gt;"&amp;CL30,$BC$6:$BC$53,INDEX(T_Equipos[Grupo],MATCH(BD30,T_Equipos[NombreEquipo],0)))</f>
        <v>2</v>
      </c>
      <c r="CN30" s="16" t="str">
        <f ca="1">IF(COUNTIFS($CM$6:$CM$53,CM30,$BC$6:$BC$53,INDEX(T_Equipos[Grupo],MATCH(BD30,T_Equipos[NombreEquipo],0)))=1,"-","P."&amp;CM30&amp;" ("&amp;COUNTIFS($CM$6:$CM$53,CM30,$BC$6:$BC$53,INDEX(T_Equipos[Grupo],MATCH(BD30,T_Equipos[NombreEquipo],0)))&amp;")")</f>
        <v>P.2 (2)</v>
      </c>
      <c r="CO30" s="16">
        <f t="shared" ca="1" si="40"/>
        <v>0</v>
      </c>
      <c r="CP30" s="16">
        <f t="shared" ca="1" si="41"/>
        <v>0</v>
      </c>
      <c r="CQ30" s="16">
        <f t="shared" ca="1" si="42"/>
        <v>0</v>
      </c>
      <c r="CR30" s="16">
        <f ca="1">CM30+COUNTIFS($CN$6:$CN$53,CN30,$CQ$6:CQ$53,"&gt;"&amp;CQ30,$BC$6:$BC$53,INDEX(T_Equipos[Grupo],MATCH(BD30,T_Equipos[NombreEquipo],0)))</f>
        <v>2</v>
      </c>
      <c r="CS30" s="16" t="str">
        <f ca="1">IF(COUNTIFS($CR$6:$CR$53,CR30,$BC$6:$BC$53,INDEX(T_Equipos[Grupo],MATCH(BD30,T_Equipos[NombreEquipo],0)))=1,"-","P."&amp;CR30&amp;" ("&amp;COUNTIFS($CR$6:$CR$53,CR30,$BC$6:$BC$53,INDEX(T_Equipos[Grupo],MATCH(BD30,T_Equipos[NombreEquipo],0)))&amp;")")</f>
        <v>P.2 (2)</v>
      </c>
      <c r="CT30" s="16">
        <f t="shared" ca="1" si="43"/>
        <v>0</v>
      </c>
      <c r="CU30" s="16">
        <f ca="1">CR30+COUNTIFS($CS$6:$CS$53,CS30,$CT$6:CT$53,"&gt;"&amp;CT30,$BC$6:$BC$53,INDEX(T_Equipos[Grupo],MATCH(BD30,T_Equipos[NombreEquipo],0)))</f>
        <v>2</v>
      </c>
      <c r="CV30" s="16" t="str">
        <f ca="1">IF(COUNTIFS($CU$6:$CU$53,CU30,$BC$6:$BC$53,INDEX(T_Equipos[Grupo],MATCH(BD30,T_Equipos[NombreEquipo],0)))=1,"-","P."&amp;CU30&amp;" ("&amp;COUNTIFS($CU$6:$CU$53,CU30,$BC$6:$BC$53,INDEX(T_Equipos[Grupo],MATCH(BD30,T_Equipos[NombreEquipo],0)))&amp;")")</f>
        <v>P.2 (2)</v>
      </c>
      <c r="CW30" s="16">
        <f t="shared" ca="1" si="44"/>
        <v>0</v>
      </c>
      <c r="CX30" s="16">
        <f ca="1">CU30+COUNTIFS($CV$6:$CV$53,CV30,$CW$6:CW$53,"&gt;"&amp;CW30,$BC$6:$BC$53,INDEX(T_Equipos[Grupo],MATCH(BD30,T_Equipos[NombreEquipo],0)))</f>
        <v>2</v>
      </c>
      <c r="CY30" s="16" t="str">
        <f ca="1">IF(COUNTIFS($CX$6:$CX$53,CX30,$BC$6:$BC$53,INDEX(T_Equipos[Grupo],MATCH(BD30,T_Equipos[NombreEquipo],0)))=1,"-","P."&amp;CX30&amp;" ("&amp;COUNTIFS($CX$6:$CX$53,CX30,$BC$6:$BC$53,INDEX(T_Equipos[Grupo],MATCH(BD30,T_Equipos[NombreEquipo],0)))&amp;")")</f>
        <v>P.2 (2)</v>
      </c>
      <c r="CZ30" s="16">
        <f t="shared" ca="1" si="45"/>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3</v>
      </c>
      <c r="DE30" s="16"/>
      <c r="DF30" s="16">
        <f t="shared" ca="1" si="46"/>
        <v>3</v>
      </c>
      <c r="DG30" s="16" t="str">
        <f ca="1">IF(DB30="-","-",COUNTIFS(DF$6:DF$53,"&lt;"&amp;DF30,$BC$6:$BC$53,INDEX(T_Equipos[Grupo],MATCH(BD30,T_Equipos[NombreEquipo],0))))</f>
        <v>-</v>
      </c>
      <c r="DH30" s="16">
        <f ca="1">DA30+COUNTIFS(DB$6:DB$53,DB30,DG$6:DG$53,"&lt;"&amp;DG30,$BC$6:$BC$53,INDEX(T_Equipos[Grupo],MATCH(BD30,T_Equipos[NombreEquipo],0)))</f>
        <v>3</v>
      </c>
      <c r="DI30" s="16"/>
      <c r="DJ30" s="16">
        <f t="shared" ca="1" si="47"/>
        <v>1</v>
      </c>
      <c r="DK30" s="16">
        <f t="shared" ca="1" si="48"/>
        <v>8</v>
      </c>
      <c r="DL30" s="16">
        <f t="shared" ca="1" si="49"/>
        <v>1</v>
      </c>
      <c r="DM30" s="16" t="str">
        <f t="shared" ca="1" si="50"/>
        <v>1.1</v>
      </c>
      <c r="DN30" s="16">
        <f t="array" aca="1" ref="DN30" ca="1">OFFSET(Horarios!$P$3,DJ30-1,0,DL30,1)</f>
        <v>1</v>
      </c>
      <c r="DO30" s="16"/>
      <c r="DP30" s="16" t="s">
        <v>97</v>
      </c>
      <c r="DQ30" s="16" t="str">
        <f t="shared" ca="1" si="51"/>
        <v>Egipto</v>
      </c>
    </row>
    <row r="31" spans="1:121" ht="16" customHeight="1" x14ac:dyDescent="0.2">
      <c r="A31" s="16" t="str">
        <f ca="1">+Equipos!B16</f>
        <v>Australia</v>
      </c>
      <c r="B31" s="16"/>
      <c r="C31" s="16"/>
      <c r="D31" s="16" t="str">
        <f t="shared" si="84"/>
        <v>Visitante</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0"/>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Australia</v>
      </c>
      <c r="AM31" s="38">
        <f t="shared" ca="1" si="99"/>
        <v>3</v>
      </c>
      <c r="AN31" s="39">
        <f t="shared" ca="1" si="99"/>
        <v>2</v>
      </c>
      <c r="AO31" s="39">
        <f t="shared" ca="1" si="99"/>
        <v>1</v>
      </c>
      <c r="AP31" s="39">
        <f t="shared" ca="1" si="99"/>
        <v>0</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4</v>
      </c>
      <c r="BF31" s="16">
        <f t="shared" ca="1" si="17"/>
        <v>2</v>
      </c>
      <c r="BG31" s="16">
        <f t="shared" ca="1" si="18"/>
        <v>1</v>
      </c>
      <c r="BH31" s="16">
        <f t="shared" ca="1" si="19"/>
        <v>1</v>
      </c>
      <c r="BI31" s="16">
        <f t="shared" ca="1" si="20"/>
        <v>0</v>
      </c>
      <c r="BJ31" s="16">
        <f t="shared" ca="1" si="21"/>
        <v>4</v>
      </c>
      <c r="BK31" s="16">
        <f t="shared" ca="1" si="22"/>
        <v>2</v>
      </c>
      <c r="BL31" s="16">
        <f t="shared" ca="1" si="23"/>
        <v>2</v>
      </c>
      <c r="BM31" s="16" t="str">
        <f t="shared" ca="1" si="24"/>
        <v>1G</v>
      </c>
      <c r="BN31" s="16" t="str">
        <f t="shared" ca="1" si="25"/>
        <v>1G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4</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1</v>
      </c>
      <c r="DE31" s="16"/>
      <c r="DF31" s="16">
        <f t="shared" ca="1" si="46"/>
        <v>1</v>
      </c>
      <c r="DG31" s="16" t="str">
        <f ca="1">IF(DB31="-","-",COUNTIFS(DF$6:DF$53,"&lt;"&amp;DF31,$BC$6:$BC$53,INDEX(T_Equipos[Grupo],MATCH(BD31,T_Equipos[NombreEquipo],0))))</f>
        <v>-</v>
      </c>
      <c r="DH31" s="16">
        <f ca="1">DA31+COUNTIFS(DB$6:DB$53,DB31,DG$6:DG$53,"&lt;"&amp;DG31,$BC$6:$BC$53,INDEX(T_Equipos[Grupo],MATCH(BD31,T_Equipos[NombreEquipo],0)))</f>
        <v>1</v>
      </c>
      <c r="DI31" s="16"/>
      <c r="DJ31" s="16">
        <f t="shared" ca="1" si="47"/>
        <v>2</v>
      </c>
      <c r="DK31" s="16">
        <f t="shared" ca="1" si="48"/>
        <v>8</v>
      </c>
      <c r="DL31" s="16">
        <f t="shared" ca="1" si="49"/>
        <v>1</v>
      </c>
      <c r="DM31" s="16" t="str">
        <f t="shared" ca="1" si="50"/>
        <v>2.1</v>
      </c>
      <c r="DN31" s="16">
        <f t="array" aca="1" ref="DN31" ca="1">OFFSET(Horarios!$P$3,DJ31-1,0,DL31,1)</f>
        <v>2</v>
      </c>
      <c r="DO31" s="16"/>
      <c r="DP31" s="16" t="s">
        <v>98</v>
      </c>
      <c r="DQ31" s="16" t="str">
        <f t="shared" ca="1" si="51"/>
        <v>Irán</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0"/>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Paraguay</v>
      </c>
      <c r="AM32" s="38">
        <f t="shared" ca="1" si="99"/>
        <v>3</v>
      </c>
      <c r="AN32" s="39">
        <f t="shared" ca="1" si="99"/>
        <v>2</v>
      </c>
      <c r="AO32" s="39">
        <f t="shared" ca="1" si="99"/>
        <v>1</v>
      </c>
      <c r="AP32" s="39">
        <f t="shared" ca="1" si="99"/>
        <v>0</v>
      </c>
      <c r="AQ32" s="39">
        <f t="shared" ca="1" si="99"/>
        <v>1</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2</v>
      </c>
      <c r="BF32" s="16">
        <f t="shared" ca="1" si="17"/>
        <v>2</v>
      </c>
      <c r="BG32" s="16">
        <f t="shared" ca="1" si="18"/>
        <v>0</v>
      </c>
      <c r="BH32" s="16">
        <f t="shared" ca="1" si="19"/>
        <v>2</v>
      </c>
      <c r="BI32" s="16">
        <f t="shared" ca="1" si="20"/>
        <v>0</v>
      </c>
      <c r="BJ32" s="16">
        <f t="shared" ca="1" si="21"/>
        <v>2</v>
      </c>
      <c r="BK32" s="16">
        <f t="shared" ca="1" si="22"/>
        <v>2</v>
      </c>
      <c r="BL32" s="16">
        <f t="shared" ca="1" si="23"/>
        <v>0</v>
      </c>
      <c r="BM32" s="16" t="str">
        <f t="shared" ca="1" si="24"/>
        <v>2G</v>
      </c>
      <c r="BN32" s="16" t="str">
        <f t="shared" ca="1" si="25"/>
        <v>2G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2</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8"/>
        <v>0</v>
      </c>
      <c r="BV32" s="16">
        <f t="shared" ca="1" si="29"/>
        <v>1</v>
      </c>
      <c r="BW32" s="16">
        <f t="shared" ca="1" si="30"/>
        <v>0</v>
      </c>
      <c r="BX32" s="16">
        <f t="shared" ca="1" si="31"/>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32"/>
        <v>0</v>
      </c>
      <c r="CB32" s="16">
        <f t="shared" ca="1" si="33"/>
        <v>0</v>
      </c>
      <c r="CC32" s="16">
        <f t="shared" ca="1" si="34"/>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35"/>
        <v>0</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6"/>
        <v>0</v>
      </c>
      <c r="CJ32" s="16">
        <f t="shared" ca="1" si="37"/>
        <v>1</v>
      </c>
      <c r="CK32" s="16">
        <f t="shared" ca="1" si="38"/>
        <v>0</v>
      </c>
      <c r="CL32" s="16">
        <f t="shared" ca="1" si="39"/>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40"/>
        <v>0</v>
      </c>
      <c r="CP32" s="16">
        <f t="shared" ca="1" si="41"/>
        <v>0</v>
      </c>
      <c r="CQ32" s="16">
        <f t="shared" ca="1" si="42"/>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43"/>
        <v>0</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44"/>
        <v>0</v>
      </c>
      <c r="CX32" s="16">
        <f ca="1">CU32+COUNTIFS($CV$6:$CV$53,CV32,$CW$6:CW$53,"&gt;"&amp;CW32,$BC$6:$BC$53,INDEX(T_Equipos[Grupo],MATCH(BD32,T_Equipos[NombreEquipo],0)))</f>
        <v>2</v>
      </c>
      <c r="CY32" s="16" t="str">
        <f ca="1">IF(COUNTIFS($CX$6:$CX$53,CX32,$BC$6:$BC$53,INDEX(T_Equipos[Grupo],MATCH(BD32,T_Equipos[NombreEquipo],0)))=1,"-","P."&amp;CX32&amp;" ("&amp;COUNTIFS($CX$6:$CX$53,CX32,$BC$6:$BC$53,INDEX(T_Equipos[Grupo],MATCH(BD32,T_Equipos[NombreEquipo],0)))&amp;")")</f>
        <v>P.2 (2)</v>
      </c>
      <c r="CZ32" s="16">
        <f t="shared" ca="1" si="45"/>
        <v>2</v>
      </c>
      <c r="DA32" s="16">
        <f ca="1">CX32+COUNTIFS($CY$6:$CY$53,CY32,$CZ$6:CZ$53,"&gt;"&amp;CZ32,$BC$6:$BC$53,INDEX(T_Equipos[Grupo],MATCH(BD32,T_Equipos[NombreEquipo],0)))</f>
        <v>2</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2</v>
      </c>
      <c r="DE32" s="16"/>
      <c r="DF32" s="16">
        <f t="shared" ca="1" si="46"/>
        <v>2</v>
      </c>
      <c r="DG32" s="16" t="str">
        <f ca="1">IF(DB32="-","-",COUNTIFS(DF$6:DF$53,"&lt;"&amp;DF32,$BC$6:$BC$53,INDEX(T_Equipos[Grupo],MATCH(BD32,T_Equipos[NombreEquipo],0))))</f>
        <v>-</v>
      </c>
      <c r="DH32" s="16">
        <f ca="1">DA32+COUNTIFS(DB$6:DB$53,DB32,DG$6:DG$53,"&lt;"&amp;DG32,$BC$6:$BC$53,INDEX(T_Equipos[Grupo],MATCH(BD32,T_Equipos[NombreEquipo],0)))</f>
        <v>2</v>
      </c>
      <c r="DI32" s="16"/>
      <c r="DJ32" s="16">
        <f t="shared" ca="1" si="47"/>
        <v>3</v>
      </c>
      <c r="DK32" s="16">
        <f t="shared" ca="1" si="48"/>
        <v>8</v>
      </c>
      <c r="DL32" s="16">
        <f t="shared" ca="1" si="49"/>
        <v>1</v>
      </c>
      <c r="DM32" s="16" t="str">
        <f t="shared" ca="1" si="50"/>
        <v>3.1</v>
      </c>
      <c r="DN32" s="16">
        <f t="array" aca="1" ref="DN32" ca="1">OFFSET(Horarios!$P$3,DJ32-1,0,DL32,1)</f>
        <v>3</v>
      </c>
      <c r="DO32" s="16"/>
      <c r="DP32" s="16" t="s">
        <v>99</v>
      </c>
      <c r="DQ32" s="16" t="str">
        <f t="shared" ca="1" si="51"/>
        <v>Bélgica</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1"/>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Turquía</v>
      </c>
      <c r="AM33" s="46">
        <f t="shared" ca="1" si="99"/>
        <v>0</v>
      </c>
      <c r="AN33" s="47">
        <f t="shared" ca="1" si="99"/>
        <v>2</v>
      </c>
      <c r="AO33" s="47">
        <f t="shared" ca="1" si="99"/>
        <v>0</v>
      </c>
      <c r="AP33" s="47">
        <f t="shared" ca="1" si="99"/>
        <v>0</v>
      </c>
      <c r="AQ33" s="47">
        <f t="shared" ca="1" si="99"/>
        <v>2</v>
      </c>
      <c r="AR33" s="47">
        <f t="shared" ca="1" si="99"/>
        <v>0</v>
      </c>
      <c r="AS33" s="47">
        <f t="shared" ca="1" si="99"/>
        <v>3</v>
      </c>
      <c r="AT33" s="48">
        <f t="shared" ca="1" si="99"/>
        <v>-3</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2</v>
      </c>
      <c r="BG33" s="16">
        <f t="shared" ca="1" si="18"/>
        <v>0</v>
      </c>
      <c r="BH33" s="16">
        <f t="shared" ca="1" si="19"/>
        <v>1</v>
      </c>
      <c r="BI33" s="16">
        <f t="shared" ca="1" si="20"/>
        <v>1</v>
      </c>
      <c r="BJ33" s="16">
        <f t="shared" ca="1" si="21"/>
        <v>3</v>
      </c>
      <c r="BK33" s="16">
        <f t="shared" ca="1" si="22"/>
        <v>5</v>
      </c>
      <c r="BL33" s="16">
        <f t="shared" ca="1" si="23"/>
        <v>-2</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8</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4</v>
      </c>
      <c r="BF34" s="16">
        <f t="shared" ca="1" si="17"/>
        <v>2</v>
      </c>
      <c r="BG34" s="16">
        <f t="shared" ca="1" si="18"/>
        <v>1</v>
      </c>
      <c r="BH34" s="16">
        <f t="shared" ca="1" si="19"/>
        <v>1</v>
      </c>
      <c r="BI34" s="16">
        <f t="shared" ca="1" si="20"/>
        <v>0</v>
      </c>
      <c r="BJ34" s="16">
        <f t="shared" ca="1" si="21"/>
        <v>4</v>
      </c>
      <c r="BK34" s="16">
        <f t="shared" ca="1" si="22"/>
        <v>0</v>
      </c>
      <c r="BL34" s="16">
        <f t="shared" ca="1" si="23"/>
        <v>4</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4</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8</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2</v>
      </c>
      <c r="BF35" s="16">
        <f t="shared" ca="1" si="17"/>
        <v>2</v>
      </c>
      <c r="BG35" s="16">
        <f t="shared" ca="1" si="18"/>
        <v>0</v>
      </c>
      <c r="BH35" s="16">
        <f t="shared" ca="1" si="19"/>
        <v>2</v>
      </c>
      <c r="BI35" s="16">
        <f t="shared" ca="1" si="20"/>
        <v>0</v>
      </c>
      <c r="BJ35" s="16">
        <f t="shared" ca="1" si="21"/>
        <v>2</v>
      </c>
      <c r="BK35" s="16">
        <f t="shared" ca="1" si="22"/>
        <v>2</v>
      </c>
      <c r="BL35" s="16">
        <f t="shared" ca="1" si="23"/>
        <v>0</v>
      </c>
      <c r="BM35" s="16" t="str">
        <f t="shared" ca="1" si="24"/>
        <v>3H</v>
      </c>
      <c r="BN35" s="16" t="str">
        <f t="shared" ca="1" si="25"/>
        <v>3H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2</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P.2 (2)</v>
      </c>
      <c r="BU35" s="16">
        <f t="shared" ca="1" si="28"/>
        <v>0</v>
      </c>
      <c r="BV35" s="16">
        <f t="shared" ca="1" si="29"/>
        <v>1</v>
      </c>
      <c r="BW35" s="16">
        <f t="shared" ca="1" si="30"/>
        <v>0</v>
      </c>
      <c r="BX35" s="16">
        <f t="shared" ca="1" si="31"/>
        <v>1</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P.2 (2)</v>
      </c>
      <c r="CA35" s="16">
        <f t="shared" ca="1" si="32"/>
        <v>2</v>
      </c>
      <c r="CB35" s="16">
        <f t="shared" ca="1" si="33"/>
        <v>2</v>
      </c>
      <c r="CC35" s="16">
        <f t="shared" ca="1" si="34"/>
        <v>0</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P.2 (2)</v>
      </c>
      <c r="CF35" s="16">
        <f t="shared" ca="1" si="35"/>
        <v>2</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P.2 (2)</v>
      </c>
      <c r="CI35" s="16">
        <f t="shared" ca="1" si="36"/>
        <v>0</v>
      </c>
      <c r="CJ35" s="16">
        <f t="shared" ca="1" si="37"/>
        <v>1</v>
      </c>
      <c r="CK35" s="16">
        <f t="shared" ca="1" si="38"/>
        <v>0</v>
      </c>
      <c r="CL35" s="16">
        <f t="shared" ca="1" si="39"/>
        <v>1</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P.2 (2)</v>
      </c>
      <c r="CO35" s="16">
        <f t="shared" ca="1" si="40"/>
        <v>2</v>
      </c>
      <c r="CP35" s="16">
        <f t="shared" ca="1" si="41"/>
        <v>2</v>
      </c>
      <c r="CQ35" s="16">
        <f t="shared" ca="1" si="42"/>
        <v>0</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P.2 (2)</v>
      </c>
      <c r="CT35" s="16">
        <f t="shared" ca="1" si="43"/>
        <v>2</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P.2 (2)</v>
      </c>
      <c r="CW35" s="16">
        <f t="shared" ca="1" si="44"/>
        <v>0</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P.2 (2)</v>
      </c>
      <c r="CZ35" s="16">
        <f t="shared" ca="1" si="45"/>
        <v>2</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3</v>
      </c>
      <c r="DE35" s="16"/>
      <c r="DF35" s="16">
        <f t="shared" ca="1" si="46"/>
        <v>3</v>
      </c>
      <c r="DG35" s="16" t="str">
        <f ca="1">IF(DB35="-","-",COUNTIFS(DF$6:DF$53,"&lt;"&amp;DF35,$BC$6:$BC$53,INDEX(T_Equipos[Grupo],MATCH(BD35,T_Equipos[NombreEquipo],0))))</f>
        <v>-</v>
      </c>
      <c r="DH35" s="16">
        <f ca="1">DA35+COUNTIFS(DB$6:DB$53,DB35,DG$6:DG$53,"&lt;"&amp;DG35,$BC$6:$BC$53,INDEX(T_Equipos[Grupo],MATCH(BD35,T_Equipos[NombreEquipo],0)))</f>
        <v>3</v>
      </c>
      <c r="DI35" s="16"/>
      <c r="DJ35" s="16">
        <f t="shared" ca="1" si="47"/>
        <v>2</v>
      </c>
      <c r="DK35" s="16">
        <f t="shared" ca="1" si="48"/>
        <v>8</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P.3 (2)</v>
      </c>
      <c r="G36" s="16"/>
      <c r="H36" s="16" t="str">
        <f t="shared" ref="H36:H41" ca="1" si="103">IF(D36="Pendiente","-",INDEX($BZ$6:$BZ$53,MATCH($AA36,$BD$6:$BD$53,0)))</f>
        <v>-</v>
      </c>
      <c r="I36" s="16" t="str">
        <f t="shared" ref="I36:I41" ca="1" si="104">IF(D36="Pendiente","-",INDEX($BZ$6:$BZ$53,MATCH($AF36,$BD$6:$BD$53,0)))</f>
        <v>P.3 (2)</v>
      </c>
      <c r="J36" s="16"/>
      <c r="K36" s="16" t="str">
        <f t="shared" ref="K36:K41" ca="1" si="105">IF(D36="Pendiente","-",INDEX($CE$6:$CE$53,MATCH($AA36,$BD$6:$BD$53,0)))</f>
        <v>-</v>
      </c>
      <c r="L36" s="16" t="str">
        <f t="shared" ref="L36:L41" ca="1" si="106">IF(D36="Pendiente","-",INDEX($CE$6:$CE$53,MATCH($AF36,$BD$6:$BD$53,0)))</f>
        <v>P.3 (2)</v>
      </c>
      <c r="M36" s="16"/>
      <c r="N36" s="16" t="str">
        <f t="shared" ref="N36:N41" ca="1" si="107">IF(D36="Pendiente","-",INDEX($CH$6:$CH$53,MATCH($AA36,$BD$6:$BD$53,0)))</f>
        <v>-</v>
      </c>
      <c r="O36" s="16" t="str">
        <f t="shared" ref="O36:O41" ca="1" si="108">IF(D36="Pendiente","-",INDEX($CH$6:$CH$53,MATCH($AF36,$BD$6:$BD$53,0)))</f>
        <v>P.3 (2)</v>
      </c>
      <c r="P36" s="16"/>
      <c r="Q36" s="16" t="str">
        <f t="shared" ref="Q36:Q41" ca="1" si="109">IF(D36="Pendiente","-",INDEX($CN$6:$CN$53,MATCH($AA36,$BD$6:$BD$53,0)))</f>
        <v>-</v>
      </c>
      <c r="R36" s="16" t="str">
        <f t="shared" ref="R36:R41" ca="1" si="110">IF(D36="Pendiente","-",INDEX($CN$6:$CN$53,MATCH($AF36,$BD$6:$BD$53,0)))</f>
        <v>P.3 (2)</v>
      </c>
      <c r="S36" s="16"/>
      <c r="T36" s="16" t="str">
        <f t="shared" ref="T36:T41" ca="1" si="111">IF(D36="Pendiente","-",INDEX($CS$6:$CS$53,MATCH($AA36,$BD$6:$BD$53,0)))</f>
        <v>-</v>
      </c>
      <c r="U36" s="16" t="str">
        <f t="shared" ref="U36:U41" ca="1" si="112">IF(D36="Pendiente","-",INDEX($CS$6:$CS$53,MATCH($AF36,$BD$6:$BD$53,0)))</f>
        <v>P.3 (2)</v>
      </c>
      <c r="V36" s="17"/>
      <c r="W36" s="636"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1</v>
      </c>
      <c r="BF36" s="16">
        <f t="shared" ca="1" si="17"/>
        <v>2</v>
      </c>
      <c r="BG36" s="16">
        <f t="shared" ca="1" si="18"/>
        <v>0</v>
      </c>
      <c r="BH36" s="16">
        <f t="shared" ca="1" si="19"/>
        <v>1</v>
      </c>
      <c r="BI36" s="16">
        <f t="shared" ca="1" si="20"/>
        <v>1</v>
      </c>
      <c r="BJ36" s="16">
        <f t="shared" ca="1" si="21"/>
        <v>1</v>
      </c>
      <c r="BK36" s="16">
        <f t="shared" ca="1" si="22"/>
        <v>5</v>
      </c>
      <c r="BL36" s="16">
        <f t="shared" ca="1" si="23"/>
        <v>-4</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1</v>
      </c>
      <c r="BS36" s="16">
        <f ca="1">BP36+COUNTIFS($BQ$6:$BQ$53,BQ36,$BR$6:BR$53,"&gt;"&amp;BR36,$BC$6:$BC$53,INDEX(T_Equipos[Grupo],MATCH(BD36,T_Equipos[NombreEquipo],0)))</f>
        <v>4</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4</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4</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4</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4</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4</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4</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8</v>
      </c>
      <c r="DL36" s="16">
        <f t="shared" ca="1" si="49"/>
        <v>1</v>
      </c>
      <c r="DM36" s="16" t="str">
        <f t="shared" ca="1" si="50"/>
        <v>3.1</v>
      </c>
      <c r="DN36" s="16">
        <f t="array" aca="1" ref="DN36" ca="1">OFFSET(Horarios!$P$3,DJ36-1,0,DL36,1)</f>
        <v>3</v>
      </c>
      <c r="DO36" s="16"/>
      <c r="DP36" s="16" t="s">
        <v>104</v>
      </c>
      <c r="DQ36" s="16" t="str">
        <f t="shared" ca="1" si="51"/>
        <v>Cabo Verde</v>
      </c>
    </row>
    <row r="37" spans="1:121" ht="16" customHeight="1" x14ac:dyDescent="0.2">
      <c r="A37" s="16" t="str">
        <f ca="1">+Equipos!B18</f>
        <v>Alemania</v>
      </c>
      <c r="B37" s="16"/>
      <c r="C37" s="16"/>
      <c r="D37" s="16" t="str">
        <f t="shared" si="100"/>
        <v>Local</v>
      </c>
      <c r="E37" s="16" t="str">
        <f t="shared" ca="1" si="101"/>
        <v>-</v>
      </c>
      <c r="F37" s="16" t="str">
        <f t="shared" ca="1" si="102"/>
        <v>P.3 (2)</v>
      </c>
      <c r="G37" s="16"/>
      <c r="H37" s="16" t="str">
        <f t="shared" ca="1" si="103"/>
        <v>-</v>
      </c>
      <c r="I37" s="16" t="str">
        <f t="shared" ca="1" si="104"/>
        <v>P.3 (2)</v>
      </c>
      <c r="J37" s="16"/>
      <c r="K37" s="16" t="str">
        <f t="shared" ca="1" si="105"/>
        <v>-</v>
      </c>
      <c r="L37" s="16" t="str">
        <f t="shared" ca="1" si="106"/>
        <v>P.3 (2)</v>
      </c>
      <c r="M37" s="16"/>
      <c r="N37" s="16" t="str">
        <f t="shared" ca="1" si="107"/>
        <v>-</v>
      </c>
      <c r="O37" s="16" t="str">
        <f t="shared" ca="1" si="108"/>
        <v>P.3 (2)</v>
      </c>
      <c r="P37" s="16"/>
      <c r="Q37" s="16" t="str">
        <f t="shared" ca="1" si="109"/>
        <v>-</v>
      </c>
      <c r="R37" s="16" t="str">
        <f t="shared" ca="1" si="110"/>
        <v>P.3 (2)</v>
      </c>
      <c r="S37" s="16"/>
      <c r="T37" s="16" t="str">
        <f t="shared" ca="1" si="111"/>
        <v>-</v>
      </c>
      <c r="U37" s="16" t="str">
        <f t="shared" ca="1" si="112"/>
        <v>P.3 (2)</v>
      </c>
      <c r="V37" s="17"/>
      <c r="W37" s="620"/>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2</v>
      </c>
      <c r="BF37" s="16">
        <f t="shared" ca="1" si="17"/>
        <v>2</v>
      </c>
      <c r="BG37" s="16">
        <f t="shared" ca="1" si="18"/>
        <v>0</v>
      </c>
      <c r="BH37" s="16">
        <f t="shared" ca="1" si="19"/>
        <v>2</v>
      </c>
      <c r="BI37" s="16">
        <f t="shared" ca="1" si="20"/>
        <v>0</v>
      </c>
      <c r="BJ37" s="16">
        <f t="shared" ca="1" si="21"/>
        <v>3</v>
      </c>
      <c r="BK37" s="16">
        <f t="shared" ca="1" si="22"/>
        <v>3</v>
      </c>
      <c r="BL37" s="16">
        <f t="shared" ca="1" si="23"/>
        <v>0</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2</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P.2 (2)</v>
      </c>
      <c r="BU37" s="16">
        <f t="shared" ca="1" si="28"/>
        <v>0</v>
      </c>
      <c r="BV37" s="16">
        <f t="shared" ca="1" si="29"/>
        <v>1</v>
      </c>
      <c r="BW37" s="16">
        <f t="shared" ca="1" si="30"/>
        <v>0</v>
      </c>
      <c r="BX37" s="16">
        <f t="shared" ca="1" si="31"/>
        <v>1</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P.2 (2)</v>
      </c>
      <c r="CA37" s="16">
        <f t="shared" ca="1" si="32"/>
        <v>2</v>
      </c>
      <c r="CB37" s="16">
        <f t="shared" ca="1" si="33"/>
        <v>2</v>
      </c>
      <c r="CC37" s="16">
        <f t="shared" ca="1" si="34"/>
        <v>0</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P.2 (2)</v>
      </c>
      <c r="CF37" s="16">
        <f t="shared" ca="1" si="35"/>
        <v>2</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P.2 (2)</v>
      </c>
      <c r="CI37" s="16">
        <f t="shared" ca="1" si="36"/>
        <v>0</v>
      </c>
      <c r="CJ37" s="16">
        <f t="shared" ca="1" si="37"/>
        <v>1</v>
      </c>
      <c r="CK37" s="16">
        <f t="shared" ca="1" si="38"/>
        <v>0</v>
      </c>
      <c r="CL37" s="16">
        <f t="shared" ca="1" si="39"/>
        <v>1</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P.2 (2)</v>
      </c>
      <c r="CO37" s="16">
        <f t="shared" ca="1" si="40"/>
        <v>2</v>
      </c>
      <c r="CP37" s="16">
        <f t="shared" ca="1" si="41"/>
        <v>2</v>
      </c>
      <c r="CQ37" s="16">
        <f t="shared" ca="1" si="42"/>
        <v>0</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P.2 (2)</v>
      </c>
      <c r="CT37" s="16">
        <f t="shared" ca="1" si="43"/>
        <v>2</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P.2 (2)</v>
      </c>
      <c r="CW37" s="16">
        <f t="shared" ca="1" si="44"/>
        <v>0</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P.2 (2)</v>
      </c>
      <c r="CZ37" s="16">
        <f t="shared" ca="1" si="45"/>
        <v>3</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8</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0"/>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6</v>
      </c>
      <c r="AN38" s="36">
        <f t="shared" ca="1" si="115"/>
        <v>2</v>
      </c>
      <c r="AO38" s="36">
        <f t="shared" ca="1" si="115"/>
        <v>2</v>
      </c>
      <c r="AP38" s="36">
        <f t="shared" ca="1" si="115"/>
        <v>0</v>
      </c>
      <c r="AQ38" s="36">
        <f t="shared" ca="1" si="115"/>
        <v>0</v>
      </c>
      <c r="AR38" s="36">
        <f t="shared" ca="1" si="115"/>
        <v>9</v>
      </c>
      <c r="AS38" s="36">
        <f t="shared" ca="1" si="115"/>
        <v>2</v>
      </c>
      <c r="AT38" s="41">
        <f t="shared" ca="1" si="115"/>
        <v>7</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6</v>
      </c>
      <c r="BF38" s="16">
        <f t="shared" ca="1" si="17"/>
        <v>2</v>
      </c>
      <c r="BG38" s="16">
        <f t="shared" ca="1" si="18"/>
        <v>2</v>
      </c>
      <c r="BH38" s="16">
        <f t="shared" ca="1" si="19"/>
        <v>0</v>
      </c>
      <c r="BI38" s="16">
        <f t="shared" ca="1" si="20"/>
        <v>0</v>
      </c>
      <c r="BJ38" s="16">
        <f t="shared" ca="1" si="21"/>
        <v>6</v>
      </c>
      <c r="BK38" s="16">
        <f t="shared" ca="1" si="22"/>
        <v>1</v>
      </c>
      <c r="BL38" s="16">
        <f t="shared" ca="1" si="23"/>
        <v>5</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6</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44"/>
        <v>5</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8</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Empate</v>
      </c>
      <c r="E39" s="16" t="str">
        <f t="shared" ca="1" si="101"/>
        <v>P.3 (2)</v>
      </c>
      <c r="F39" s="16" t="str">
        <f t="shared" ca="1" si="102"/>
        <v>P.3 (2)</v>
      </c>
      <c r="G39" s="16"/>
      <c r="H39" s="16" t="str">
        <f t="shared" ca="1" si="103"/>
        <v>P.3 (2)</v>
      </c>
      <c r="I39" s="16" t="str">
        <f t="shared" ca="1" si="104"/>
        <v>P.3 (2)</v>
      </c>
      <c r="J39" s="16"/>
      <c r="K39" s="16" t="str">
        <f t="shared" ca="1" si="105"/>
        <v>P.3 (2)</v>
      </c>
      <c r="L39" s="16" t="str">
        <f t="shared" ca="1" si="106"/>
        <v>P.3 (2)</v>
      </c>
      <c r="M39" s="16"/>
      <c r="N39" s="16" t="str">
        <f t="shared" ca="1" si="107"/>
        <v>P.3 (2)</v>
      </c>
      <c r="O39" s="16" t="str">
        <f t="shared" ca="1" si="108"/>
        <v>P.3 (2)</v>
      </c>
      <c r="P39" s="16"/>
      <c r="Q39" s="16" t="str">
        <f t="shared" ca="1" si="109"/>
        <v>P.3 (2)</v>
      </c>
      <c r="R39" s="16" t="str">
        <f t="shared" ca="1" si="110"/>
        <v>P.3 (2)</v>
      </c>
      <c r="S39" s="16"/>
      <c r="T39" s="16" t="str">
        <f t="shared" ca="1" si="111"/>
        <v>P.3 (2)</v>
      </c>
      <c r="U39" s="16" t="str">
        <f t="shared" ca="1" si="112"/>
        <v>P.3 (2)</v>
      </c>
      <c r="V39" s="17"/>
      <c r="W39" s="620"/>
      <c r="X39" s="24">
        <f ca="1">Horarios!C39</f>
        <v>46193.833333333343</v>
      </c>
      <c r="Y39" s="25">
        <f ca="1">Horarios!C39</f>
        <v>46193.833333333343</v>
      </c>
      <c r="Z39" s="26" t="str">
        <f>$Z$6</f>
        <v>J2</v>
      </c>
      <c r="AA39" s="27" t="str">
        <f ca="1">A40</f>
        <v>Ecuador</v>
      </c>
      <c r="AB39" s="49" t="str">
        <f t="array" aca="1" ref="AB39" ca="1">Ver_flag_local</f>
        <v/>
      </c>
      <c r="AC39" s="50">
        <v>0</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3</v>
      </c>
      <c r="AN39" s="39">
        <f t="shared" ca="1" si="115"/>
        <v>2</v>
      </c>
      <c r="AO39" s="39">
        <f t="shared" ca="1" si="115"/>
        <v>1</v>
      </c>
      <c r="AP39" s="39">
        <f t="shared" ca="1" si="115"/>
        <v>0</v>
      </c>
      <c r="AQ39" s="39">
        <f t="shared" ca="1" si="115"/>
        <v>1</v>
      </c>
      <c r="AR39" s="39">
        <f t="shared" ca="1" si="115"/>
        <v>2</v>
      </c>
      <c r="AS39" s="39">
        <f t="shared" ca="1" si="115"/>
        <v>2</v>
      </c>
      <c r="AT39" s="43">
        <f t="shared" ca="1" si="115"/>
        <v>0</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2</v>
      </c>
      <c r="BG39" s="16">
        <f t="shared" ca="1" si="18"/>
        <v>0</v>
      </c>
      <c r="BH39" s="16">
        <f t="shared" ca="1" si="19"/>
        <v>0</v>
      </c>
      <c r="BI39" s="16">
        <f t="shared" ca="1" si="20"/>
        <v>2</v>
      </c>
      <c r="BJ39" s="16">
        <f t="shared" ca="1" si="21"/>
        <v>3</v>
      </c>
      <c r="BK39" s="16">
        <f t="shared" ca="1" si="22"/>
        <v>6</v>
      </c>
      <c r="BL39" s="16">
        <f t="shared" ca="1" si="23"/>
        <v>-3</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8"/>
        <v>0</v>
      </c>
      <c r="BV39" s="16">
        <f t="shared" ca="1" si="29"/>
        <v>0</v>
      </c>
      <c r="BW39" s="16">
        <f t="shared" ca="1" si="30"/>
        <v>0</v>
      </c>
      <c r="BX39" s="16">
        <f t="shared" ca="1" si="31"/>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32"/>
        <v>0</v>
      </c>
      <c r="CB39" s="16">
        <f t="shared" ca="1" si="33"/>
        <v>0</v>
      </c>
      <c r="CC39" s="16">
        <f t="shared" ca="1" si="34"/>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35"/>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6"/>
        <v>0</v>
      </c>
      <c r="CJ39" s="16">
        <f t="shared" ca="1" si="37"/>
        <v>0</v>
      </c>
      <c r="CK39" s="16">
        <f t="shared" ca="1" si="38"/>
        <v>0</v>
      </c>
      <c r="CL39" s="16">
        <f t="shared" ca="1" si="39"/>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40"/>
        <v>0</v>
      </c>
      <c r="CP39" s="16">
        <f t="shared" ca="1" si="41"/>
        <v>0</v>
      </c>
      <c r="CQ39" s="16">
        <f t="shared" ca="1" si="42"/>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43"/>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44"/>
        <v>-3</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8</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0"/>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Ecuador</v>
      </c>
      <c r="AM40" s="38">
        <f t="shared" ca="1" si="115"/>
        <v>1</v>
      </c>
      <c r="AN40" s="39">
        <f t="shared" ca="1" si="115"/>
        <v>2</v>
      </c>
      <c r="AO40" s="39">
        <f t="shared" ca="1" si="115"/>
        <v>0</v>
      </c>
      <c r="AP40" s="39">
        <f t="shared" ca="1" si="115"/>
        <v>1</v>
      </c>
      <c r="AQ40" s="39">
        <f t="shared" ca="1" si="115"/>
        <v>1</v>
      </c>
      <c r="AR40" s="39">
        <f t="shared" ca="1" si="115"/>
        <v>0</v>
      </c>
      <c r="AS40" s="39">
        <f t="shared" ca="1" si="115"/>
        <v>1</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2</v>
      </c>
      <c r="BG40" s="16">
        <f t="shared" ca="1" si="18"/>
        <v>0</v>
      </c>
      <c r="BH40" s="16">
        <f t="shared" ca="1" si="19"/>
        <v>0</v>
      </c>
      <c r="BI40" s="16">
        <f t="shared" ca="1" si="20"/>
        <v>2</v>
      </c>
      <c r="BJ40" s="16">
        <f t="shared" ca="1" si="21"/>
        <v>1</v>
      </c>
      <c r="BK40" s="16">
        <f t="shared" ca="1" si="22"/>
        <v>7</v>
      </c>
      <c r="BL40" s="16">
        <f t="shared" ca="1" si="23"/>
        <v>-6</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8"/>
        <v>0</v>
      </c>
      <c r="BV40" s="16">
        <f t="shared" ca="1" si="29"/>
        <v>0</v>
      </c>
      <c r="BW40" s="16">
        <f t="shared" ca="1" si="30"/>
        <v>0</v>
      </c>
      <c r="BX40" s="16">
        <f t="shared" ca="1" si="31"/>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32"/>
        <v>0</v>
      </c>
      <c r="CB40" s="16">
        <f t="shared" ca="1" si="33"/>
        <v>0</v>
      </c>
      <c r="CC40" s="16">
        <f t="shared" ca="1" si="34"/>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35"/>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6"/>
        <v>0</v>
      </c>
      <c r="CJ40" s="16">
        <f t="shared" ca="1" si="37"/>
        <v>0</v>
      </c>
      <c r="CK40" s="16">
        <f t="shared" ca="1" si="38"/>
        <v>0</v>
      </c>
      <c r="CL40" s="16">
        <f t="shared" ca="1" si="39"/>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40"/>
        <v>0</v>
      </c>
      <c r="CP40" s="16">
        <f t="shared" ca="1" si="41"/>
        <v>0</v>
      </c>
      <c r="CQ40" s="16">
        <f t="shared" ca="1" si="42"/>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43"/>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44"/>
        <v>-6</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8</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1"/>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Curazao</v>
      </c>
      <c r="AM41" s="46">
        <f t="shared" ca="1" si="115"/>
        <v>1</v>
      </c>
      <c r="AN41" s="47">
        <f t="shared" ca="1" si="115"/>
        <v>2</v>
      </c>
      <c r="AO41" s="47">
        <f t="shared" ca="1" si="115"/>
        <v>0</v>
      </c>
      <c r="AP41" s="47">
        <f t="shared" ca="1" si="115"/>
        <v>1</v>
      </c>
      <c r="AQ41" s="47">
        <f t="shared" ca="1" si="115"/>
        <v>1</v>
      </c>
      <c r="AR41" s="47">
        <f t="shared" ca="1" si="115"/>
        <v>1</v>
      </c>
      <c r="AS41" s="47">
        <f t="shared" ca="1" si="115"/>
        <v>7</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17"/>
        <v>2</v>
      </c>
      <c r="BG41" s="16">
        <f t="shared" ca="1" si="18"/>
        <v>2</v>
      </c>
      <c r="BH41" s="16">
        <f t="shared" ca="1" si="19"/>
        <v>0</v>
      </c>
      <c r="BI41" s="16">
        <f t="shared" ca="1" si="20"/>
        <v>0</v>
      </c>
      <c r="BJ41" s="16">
        <f t="shared" ca="1" si="21"/>
        <v>7</v>
      </c>
      <c r="BK41" s="16">
        <f t="shared" ca="1" si="22"/>
        <v>3</v>
      </c>
      <c r="BL41" s="16">
        <f t="shared" ca="1" si="23"/>
        <v>4</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6</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44"/>
        <v>4</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8</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6</v>
      </c>
      <c r="BF42" s="16">
        <f t="shared" ca="1" si="17"/>
        <v>2</v>
      </c>
      <c r="BG42" s="16">
        <f t="shared" ca="1" si="18"/>
        <v>2</v>
      </c>
      <c r="BH42" s="16">
        <f t="shared" ca="1" si="19"/>
        <v>0</v>
      </c>
      <c r="BI42" s="16">
        <f t="shared" ca="1" si="20"/>
        <v>0</v>
      </c>
      <c r="BJ42" s="16">
        <f t="shared" ca="1" si="21"/>
        <v>5</v>
      </c>
      <c r="BK42" s="16">
        <f t="shared" ca="1" si="22"/>
        <v>0</v>
      </c>
      <c r="BL42" s="16">
        <f t="shared" ca="1" si="23"/>
        <v>5</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6</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8</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3</v>
      </c>
      <c r="BF43" s="16">
        <f t="shared" ca="1" si="17"/>
        <v>2</v>
      </c>
      <c r="BG43" s="16">
        <f t="shared" ca="1" si="18"/>
        <v>1</v>
      </c>
      <c r="BH43" s="16">
        <f t="shared" ca="1" si="19"/>
        <v>0</v>
      </c>
      <c r="BI43" s="16">
        <f t="shared" ca="1" si="20"/>
        <v>1</v>
      </c>
      <c r="BJ43" s="16">
        <f t="shared" ca="1" si="21"/>
        <v>2</v>
      </c>
      <c r="BK43" s="16">
        <f t="shared" ca="1" si="22"/>
        <v>4</v>
      </c>
      <c r="BL43" s="16">
        <f t="shared" ca="1" si="23"/>
        <v>-2</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3</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0</v>
      </c>
      <c r="BW43" s="16">
        <f t="shared" ca="1" si="30"/>
        <v>0</v>
      </c>
      <c r="BX43" s="16">
        <f t="shared" ca="1" si="31"/>
        <v>0</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0</v>
      </c>
      <c r="CB43" s="16">
        <f t="shared" ca="1" si="33"/>
        <v>0</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0</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0</v>
      </c>
      <c r="CK43" s="16">
        <f t="shared" ca="1" si="38"/>
        <v>0</v>
      </c>
      <c r="CL43" s="16">
        <f t="shared" ca="1" si="39"/>
        <v>0</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0</v>
      </c>
      <c r="CP43" s="16">
        <f t="shared" ca="1" si="41"/>
        <v>0</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0</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8</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P.1 (2)</v>
      </c>
      <c r="F44" s="16" t="str">
        <f t="shared" ref="F44:F49" ca="1" si="118">IF(D44="Pendiente","-",INDEX($BT$6:$BT$53,MATCH($AF44,$BD$6:$BD$53,0)))</f>
        <v>P.1 (2)</v>
      </c>
      <c r="G44" s="16"/>
      <c r="H44" s="16" t="str">
        <f t="shared" ref="H44:H49" ca="1" si="119">IF(D44="Pendiente","-",INDEX($BZ$6:$BZ$53,MATCH($AA44,$BD$6:$BD$53,0)))</f>
        <v>P.1 (2)</v>
      </c>
      <c r="I44" s="16" t="str">
        <f t="shared" ref="I44:I49" ca="1" si="120">IF(D44="Pendiente","-",INDEX($BZ$6:$BZ$53,MATCH($AF44,$BD$6:$BD$53,0)))</f>
        <v>P.1 (2)</v>
      </c>
      <c r="J44" s="16"/>
      <c r="K44" s="16" t="str">
        <f t="shared" ref="K44:K49" ca="1" si="121">IF(D44="Pendiente","-",INDEX($CE$6:$CE$53,MATCH($AA44,$BD$6:$BD$53,0)))</f>
        <v>P.1 (2)</v>
      </c>
      <c r="L44" s="16" t="str">
        <f t="shared" ref="L44:L49" ca="1" si="122">IF(D44="Pendiente","-",INDEX($CE$6:$CE$53,MATCH($AF44,$BD$6:$BD$53,0)))</f>
        <v>P.1 (2)</v>
      </c>
      <c r="M44" s="16"/>
      <c r="N44" s="16" t="str">
        <f t="shared" ref="N44:N49" ca="1" si="123">IF(D44="Pendiente","-",INDEX($CH$6:$CH$53,MATCH($AA44,$BD$6:$BD$53,0)))</f>
        <v>P.1 (2)</v>
      </c>
      <c r="O44" s="16" t="str">
        <f t="shared" ref="O44:O49" ca="1" si="124">IF(D44="Pendiente","-",INDEX($CH$6:$CH$53,MATCH($AF44,$BD$6:$BD$53,0)))</f>
        <v>P.1 (2)</v>
      </c>
      <c r="P44" s="16"/>
      <c r="Q44" s="16" t="str">
        <f t="shared" ref="Q44:Q49" ca="1" si="125">IF(D44="Pendiente","-",INDEX($CN$6:$CN$53,MATCH($AA44,$BD$6:$BD$53,0)))</f>
        <v>P.1 (2)</v>
      </c>
      <c r="R44" s="16" t="str">
        <f t="shared" ref="R44:R49" ca="1" si="126">IF(D44="Pendiente","-",INDEX($CN$6:$CN$53,MATCH($AF44,$BD$6:$BD$53,0)))</f>
        <v>P.1 (2)</v>
      </c>
      <c r="S44" s="16"/>
      <c r="T44" s="16" t="str">
        <f t="shared" ref="T44:T49" ca="1" si="127">IF(D44="Pendiente","-",INDEX($CS$6:$CS$53,MATCH($AA44,$BD$6:$BD$53,0)))</f>
        <v>P.1 (2)</v>
      </c>
      <c r="U44" s="16" t="str">
        <f t="shared" ref="U44:U49" ca="1" si="128">IF(D44="Pendiente","-",INDEX($CS$6:$CS$53,MATCH($AF44,$BD$6:$BD$53,0)))</f>
        <v>P.1 (2)</v>
      </c>
      <c r="V44" s="17"/>
      <c r="W44" s="639"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3</v>
      </c>
      <c r="BF44" s="16">
        <f t="shared" ca="1" si="17"/>
        <v>2</v>
      </c>
      <c r="BG44" s="16">
        <f t="shared" ca="1" si="18"/>
        <v>1</v>
      </c>
      <c r="BH44" s="16">
        <f t="shared" ca="1" si="19"/>
        <v>0</v>
      </c>
      <c r="BI44" s="16">
        <f t="shared" ca="1" si="20"/>
        <v>1</v>
      </c>
      <c r="BJ44" s="16">
        <f t="shared" ca="1" si="21"/>
        <v>3</v>
      </c>
      <c r="BK44" s="16">
        <f t="shared" ca="1" si="22"/>
        <v>3</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3</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0</v>
      </c>
      <c r="BW44" s="16">
        <f t="shared" ca="1" si="30"/>
        <v>0</v>
      </c>
      <c r="BX44" s="16">
        <f t="shared" ca="1" si="31"/>
        <v>0</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0</v>
      </c>
      <c r="CB44" s="16">
        <f t="shared" ca="1" si="33"/>
        <v>0</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0</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0</v>
      </c>
      <c r="CK44" s="16">
        <f t="shared" ca="1" si="38"/>
        <v>0</v>
      </c>
      <c r="CL44" s="16">
        <f t="shared" ca="1" si="39"/>
        <v>0</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0</v>
      </c>
      <c r="CP44" s="16">
        <f t="shared" ca="1" si="41"/>
        <v>0</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0</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8</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0"/>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2</v>
      </c>
      <c r="BG45" s="16">
        <f t="shared" ca="1" si="18"/>
        <v>0</v>
      </c>
      <c r="BH45" s="16">
        <f t="shared" ca="1" si="19"/>
        <v>0</v>
      </c>
      <c r="BI45" s="16">
        <f t="shared" ca="1" si="20"/>
        <v>2</v>
      </c>
      <c r="BJ45" s="16">
        <f t="shared" ca="1" si="21"/>
        <v>2</v>
      </c>
      <c r="BK45" s="16">
        <f t="shared" ca="1" si="22"/>
        <v>5</v>
      </c>
      <c r="BL45" s="16">
        <f t="shared" ca="1" si="23"/>
        <v>-3</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8</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P.1 (2)</v>
      </c>
      <c r="F46" s="16" t="str">
        <f t="shared" ca="1" si="118"/>
        <v>-</v>
      </c>
      <c r="G46" s="16"/>
      <c r="H46" s="16" t="str">
        <f t="shared" ca="1" si="119"/>
        <v>P.1 (2)</v>
      </c>
      <c r="I46" s="16" t="str">
        <f t="shared" ca="1" si="120"/>
        <v>-</v>
      </c>
      <c r="J46" s="16"/>
      <c r="K46" s="16" t="str">
        <f t="shared" ca="1" si="121"/>
        <v>P.1 (2)</v>
      </c>
      <c r="L46" s="16" t="str">
        <f t="shared" ca="1" si="122"/>
        <v>-</v>
      </c>
      <c r="M46" s="16"/>
      <c r="N46" s="16" t="str">
        <f t="shared" ca="1" si="123"/>
        <v>P.1 (2)</v>
      </c>
      <c r="O46" s="16" t="str">
        <f t="shared" ca="1" si="124"/>
        <v>-</v>
      </c>
      <c r="P46" s="16"/>
      <c r="Q46" s="16" t="str">
        <f t="shared" ca="1" si="125"/>
        <v>P.1 (2)</v>
      </c>
      <c r="R46" s="16" t="str">
        <f t="shared" ca="1" si="126"/>
        <v>-</v>
      </c>
      <c r="S46" s="16"/>
      <c r="T46" s="16" t="str">
        <f t="shared" ca="1" si="127"/>
        <v>P.1 (2)</v>
      </c>
      <c r="U46" s="16" t="str">
        <f t="shared" ca="1" si="128"/>
        <v>-</v>
      </c>
      <c r="V46" s="17"/>
      <c r="W46" s="620"/>
      <c r="X46" s="24">
        <f ca="1">Horarios!C46</f>
        <v>46193.541666666657</v>
      </c>
      <c r="Y46" s="25">
        <f ca="1">Horarios!C46</f>
        <v>46193.541666666657</v>
      </c>
      <c r="Z46" s="26" t="str">
        <f>$Z$6</f>
        <v>J2</v>
      </c>
      <c r="AA46" s="27" t="str">
        <f ca="1">A45</f>
        <v>Países Bajos</v>
      </c>
      <c r="AB46" s="49" t="str">
        <f t="array" aca="1" ref="AB46" ca="1">Ver_flag_local</f>
        <v/>
      </c>
      <c r="AC46" s="50">
        <v>5</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4</v>
      </c>
      <c r="AN46" s="36">
        <f t="shared" ca="1" si="131"/>
        <v>2</v>
      </c>
      <c r="AO46" s="36">
        <f t="shared" ca="1" si="131"/>
        <v>1</v>
      </c>
      <c r="AP46" s="36">
        <f t="shared" ca="1" si="131"/>
        <v>1</v>
      </c>
      <c r="AQ46" s="36">
        <f t="shared" ca="1" si="131"/>
        <v>0</v>
      </c>
      <c r="AR46" s="36">
        <f t="shared" ca="1" si="131"/>
        <v>7</v>
      </c>
      <c r="AS46" s="36">
        <f t="shared" ca="1" si="131"/>
        <v>3</v>
      </c>
      <c r="AT46" s="41">
        <f t="shared" ca="1" si="131"/>
        <v>4</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4</v>
      </c>
      <c r="BF46" s="16">
        <f t="shared" ca="1" si="17"/>
        <v>2</v>
      </c>
      <c r="BG46" s="16">
        <f t="shared" ca="1" si="18"/>
        <v>1</v>
      </c>
      <c r="BH46" s="16">
        <f t="shared" ca="1" si="19"/>
        <v>1</v>
      </c>
      <c r="BI46" s="16">
        <f t="shared" ca="1" si="20"/>
        <v>0</v>
      </c>
      <c r="BJ46" s="16">
        <f t="shared" ca="1" si="21"/>
        <v>6</v>
      </c>
      <c r="BK46" s="16">
        <f t="shared" ca="1" si="22"/>
        <v>1</v>
      </c>
      <c r="BL46" s="16">
        <f t="shared" ca="1" si="23"/>
        <v>5</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4</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46"/>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47"/>
        <v>1</v>
      </c>
      <c r="DK46" s="16">
        <f t="shared" ca="1" si="48"/>
        <v>8</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Visitante</v>
      </c>
      <c r="E47" s="16" t="str">
        <f t="shared" ca="1" si="117"/>
        <v>-</v>
      </c>
      <c r="F47" s="16" t="str">
        <f t="shared" ca="1" si="118"/>
        <v>P.1 (2)</v>
      </c>
      <c r="G47" s="16"/>
      <c r="H47" s="16" t="str">
        <f t="shared" ca="1" si="119"/>
        <v>-</v>
      </c>
      <c r="I47" s="16" t="str">
        <f t="shared" ca="1" si="120"/>
        <v>P.1 (2)</v>
      </c>
      <c r="J47" s="16"/>
      <c r="K47" s="16" t="str">
        <f t="shared" ca="1" si="121"/>
        <v>-</v>
      </c>
      <c r="L47" s="16" t="str">
        <f t="shared" ca="1" si="122"/>
        <v>P.1 (2)</v>
      </c>
      <c r="M47" s="16"/>
      <c r="N47" s="16" t="str">
        <f t="shared" ca="1" si="123"/>
        <v>-</v>
      </c>
      <c r="O47" s="16" t="str">
        <f t="shared" ca="1" si="124"/>
        <v>P.1 (2)</v>
      </c>
      <c r="P47" s="16"/>
      <c r="Q47" s="16" t="str">
        <f t="shared" ca="1" si="125"/>
        <v>-</v>
      </c>
      <c r="R47" s="16" t="str">
        <f t="shared" ca="1" si="126"/>
        <v>P.1 (2)</v>
      </c>
      <c r="S47" s="16"/>
      <c r="T47" s="16" t="str">
        <f t="shared" ca="1" si="127"/>
        <v>-</v>
      </c>
      <c r="U47" s="16" t="str">
        <f t="shared" ca="1" si="128"/>
        <v>P.1 (2)</v>
      </c>
      <c r="V47" s="17"/>
      <c r="W47" s="620"/>
      <c r="X47" s="24">
        <f ca="1">Horarios!C47</f>
        <v>46194</v>
      </c>
      <c r="Y47" s="25">
        <f ca="1">Horarios!C47</f>
        <v>46194</v>
      </c>
      <c r="Z47" s="26" t="str">
        <f>$Z$6</f>
        <v>J2</v>
      </c>
      <c r="AA47" s="27" t="str">
        <f ca="1">A48</f>
        <v>Túnez</v>
      </c>
      <c r="AB47" s="49" t="str">
        <f t="array" aca="1" ref="AB47" ca="1">Ver_flag_local</f>
        <v/>
      </c>
      <c r="AC47" s="50">
        <v>0</v>
      </c>
      <c r="AD47" s="51">
        <v>4</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4</v>
      </c>
      <c r="AN47" s="39">
        <f t="shared" ca="1" si="131"/>
        <v>2</v>
      </c>
      <c r="AO47" s="39">
        <f t="shared" ca="1" si="131"/>
        <v>1</v>
      </c>
      <c r="AP47" s="39">
        <f t="shared" ca="1" si="131"/>
        <v>1</v>
      </c>
      <c r="AQ47" s="39">
        <f t="shared" ca="1" si="131"/>
        <v>0</v>
      </c>
      <c r="AR47" s="39">
        <f t="shared" ca="1" si="131"/>
        <v>6</v>
      </c>
      <c r="AS47" s="39">
        <f t="shared" ca="1" si="131"/>
        <v>2</v>
      </c>
      <c r="AT47" s="43">
        <f t="shared" ca="1" si="131"/>
        <v>4</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2</v>
      </c>
      <c r="BG47" s="16">
        <f t="shared" ca="1" si="18"/>
        <v>0</v>
      </c>
      <c r="BH47" s="16">
        <f t="shared" ca="1" si="19"/>
        <v>1</v>
      </c>
      <c r="BI47" s="16">
        <f t="shared" ca="1" si="20"/>
        <v>1</v>
      </c>
      <c r="BJ47" s="16">
        <f t="shared" ca="1" si="21"/>
        <v>1</v>
      </c>
      <c r="BK47" s="16">
        <f t="shared" ca="1" si="22"/>
        <v>2</v>
      </c>
      <c r="BL47" s="16">
        <f t="shared" ca="1" si="23"/>
        <v>-1</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8</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0"/>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2</v>
      </c>
      <c r="AO48" s="39">
        <f t="shared" ca="1" si="131"/>
        <v>1</v>
      </c>
      <c r="AP48" s="39">
        <f t="shared" ca="1" si="131"/>
        <v>0</v>
      </c>
      <c r="AQ48" s="39">
        <f t="shared" ca="1" si="131"/>
        <v>1</v>
      </c>
      <c r="AR48" s="39">
        <f t="shared" ca="1" si="131"/>
        <v>6</v>
      </c>
      <c r="AS48" s="39">
        <f t="shared" ca="1" si="131"/>
        <v>6</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2</v>
      </c>
      <c r="BG48" s="16">
        <f t="shared" ca="1" si="18"/>
        <v>0</v>
      </c>
      <c r="BH48" s="16">
        <f t="shared" ca="1" si="19"/>
        <v>0</v>
      </c>
      <c r="BI48" s="16">
        <f t="shared" ca="1" si="20"/>
        <v>2</v>
      </c>
      <c r="BJ48" s="16">
        <f t="shared" ca="1" si="21"/>
        <v>1</v>
      </c>
      <c r="BK48" s="16">
        <f t="shared" ca="1" si="22"/>
        <v>8</v>
      </c>
      <c r="BL48" s="16">
        <f t="shared" ca="1" si="23"/>
        <v>-7</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8</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1"/>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2</v>
      </c>
      <c r="AO49" s="47">
        <f t="shared" ca="1" si="131"/>
        <v>0</v>
      </c>
      <c r="AP49" s="47">
        <f t="shared" ca="1" si="131"/>
        <v>0</v>
      </c>
      <c r="AQ49" s="47">
        <f t="shared" ca="1" si="131"/>
        <v>2</v>
      </c>
      <c r="AR49" s="47">
        <f t="shared" ca="1" si="131"/>
        <v>1</v>
      </c>
      <c r="AS49" s="47">
        <f t="shared" ca="1" si="131"/>
        <v>9</v>
      </c>
      <c r="AT49" s="48">
        <f t="shared" ca="1" si="131"/>
        <v>-8</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2</v>
      </c>
      <c r="BG49" s="16">
        <f t="shared" ca="1" si="18"/>
        <v>2</v>
      </c>
      <c r="BH49" s="16">
        <f t="shared" ca="1" si="19"/>
        <v>0</v>
      </c>
      <c r="BI49" s="16">
        <f t="shared" ca="1" si="20"/>
        <v>0</v>
      </c>
      <c r="BJ49" s="16">
        <f t="shared" ca="1" si="21"/>
        <v>4</v>
      </c>
      <c r="BK49" s="16">
        <f t="shared" ca="1" si="22"/>
        <v>1</v>
      </c>
      <c r="BL49" s="16">
        <f t="shared" ca="1" si="23"/>
        <v>3</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8</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4</v>
      </c>
      <c r="BF50" s="16">
        <f t="shared" ca="1" si="17"/>
        <v>2</v>
      </c>
      <c r="BG50" s="16">
        <f t="shared" ca="1" si="18"/>
        <v>1</v>
      </c>
      <c r="BH50" s="16">
        <f t="shared" ca="1" si="19"/>
        <v>1</v>
      </c>
      <c r="BI50" s="16">
        <f t="shared" ca="1" si="20"/>
        <v>0</v>
      </c>
      <c r="BJ50" s="16">
        <f t="shared" ca="1" si="21"/>
        <v>4</v>
      </c>
      <c r="BK50" s="16">
        <f t="shared" ca="1" si="22"/>
        <v>2</v>
      </c>
      <c r="BL50" s="16">
        <f t="shared" ca="1" si="23"/>
        <v>2</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4</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8"/>
        <v>0</v>
      </c>
      <c r="BV50" s="16">
        <f t="shared" ca="1" si="29"/>
        <v>1</v>
      </c>
      <c r="BW50" s="16">
        <f t="shared" ca="1" si="30"/>
        <v>0</v>
      </c>
      <c r="BX50" s="16">
        <f t="shared" ca="1" si="31"/>
        <v>1</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6"/>
        <v>0</v>
      </c>
      <c r="CJ50" s="16">
        <f t="shared" ca="1" si="37"/>
        <v>1</v>
      </c>
      <c r="CK50" s="16">
        <f t="shared" ca="1" si="38"/>
        <v>0</v>
      </c>
      <c r="CL50" s="16">
        <f t="shared" ca="1" si="39"/>
        <v>1</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44"/>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8</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3</v>
      </c>
      <c r="BF51" s="16">
        <f t="shared" ca="1" si="17"/>
        <v>2</v>
      </c>
      <c r="BG51" s="16">
        <f t="shared" ca="1" si="18"/>
        <v>1</v>
      </c>
      <c r="BH51" s="16">
        <f t="shared" ca="1" si="19"/>
        <v>0</v>
      </c>
      <c r="BI51" s="16">
        <f t="shared" ca="1" si="20"/>
        <v>1</v>
      </c>
      <c r="BJ51" s="16">
        <f t="shared" ca="1" si="21"/>
        <v>3</v>
      </c>
      <c r="BK51" s="16">
        <f t="shared" ca="1" si="22"/>
        <v>4</v>
      </c>
      <c r="BL51" s="16">
        <f t="shared" ca="1" si="23"/>
        <v>-1</v>
      </c>
      <c r="BM51" s="16" t="str">
        <f t="shared" ca="1" si="24"/>
        <v>3L</v>
      </c>
      <c r="BN51" s="16" t="str">
        <f t="shared" ca="1" si="25"/>
        <v>3L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3</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3</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3</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3</v>
      </c>
      <c r="DE51" s="16"/>
      <c r="DF51" s="16">
        <f t="shared" ca="1" si="46"/>
        <v>3</v>
      </c>
      <c r="DG51" s="16" t="str">
        <f ca="1">IF(DB51="-","-",COUNTIFS(DF$6:DF$53,"&lt;"&amp;DF51,$BC$6:$BC$53,INDEX(T_Equipos[Grupo],MATCH(BD51,T_Equipos[NombreEquipo],0))))</f>
        <v>-</v>
      </c>
      <c r="DH51" s="16">
        <f ca="1">DA51+COUNTIFS(DB$6:DB$53,DB51,DG$6:DG$53,"&lt;"&amp;DG51,$BC$6:$BC$53,INDEX(T_Equipos[Grupo],MATCH(BD51,T_Equipos[NombreEquipo],0)))</f>
        <v>3</v>
      </c>
      <c r="DI51" s="16"/>
      <c r="DJ51" s="16">
        <f t="shared" ca="1" si="47"/>
        <v>2</v>
      </c>
      <c r="DK51" s="16">
        <f t="shared" ca="1" si="48"/>
        <v>8</v>
      </c>
      <c r="DL51" s="16">
        <f t="shared" ca="1" si="49"/>
        <v>1</v>
      </c>
      <c r="DM51" s="16" t="str">
        <f t="shared" ca="1" si="50"/>
        <v>2.1</v>
      </c>
      <c r="DN51" s="16">
        <f t="array" aca="1" ref="DN51" ca="1">OFFSET(Horarios!$P$3,DJ51-1,0,DL51,1)</f>
        <v>2</v>
      </c>
      <c r="DO51" s="16"/>
      <c r="DP51" s="16" t="s">
        <v>120</v>
      </c>
      <c r="DQ51" s="16" t="str">
        <f t="shared" ca="1" si="51"/>
        <v>Ghana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P.2 (2)</v>
      </c>
      <c r="F52" s="16" t="str">
        <f t="shared" ref="F52:F57" ca="1" si="134">IF(D52="Pendiente","-",INDEX($BT$6:$BT$53,MATCH($AF52,$BD$6:$BD$53,0)))</f>
        <v>-</v>
      </c>
      <c r="G52" s="16"/>
      <c r="H52" s="16" t="str">
        <f t="shared" ref="H52:H57" ca="1" si="135">IF(D52="Pendiente","-",INDEX($BZ$6:$BZ$53,MATCH($AA52,$BD$6:$BD$53,0)))</f>
        <v>P.2 (2)</v>
      </c>
      <c r="I52" s="16" t="str">
        <f t="shared" ref="I52:I57" ca="1" si="136">IF(D52="Pendiente","-",INDEX($BZ$6:$BZ$53,MATCH($AF52,$BD$6:$BD$53,0)))</f>
        <v>-</v>
      </c>
      <c r="J52" s="16"/>
      <c r="K52" s="16" t="str">
        <f t="shared" ref="K52:K57" ca="1" si="137">IF(D52="Pendiente","-",INDEX($CE$6:$CE$53,MATCH($AA52,$BD$6:$BD$53,0)))</f>
        <v>P.2 (2)</v>
      </c>
      <c r="L52" s="16" t="str">
        <f t="shared" ref="L52:L57" ca="1" si="138">IF(D52="Pendiente","-",INDEX($CE$6:$CE$53,MATCH($AF52,$BD$6:$BD$53,0)))</f>
        <v>-</v>
      </c>
      <c r="M52" s="16"/>
      <c r="N52" s="16" t="str">
        <f t="shared" ref="N52:N57" ca="1" si="139">IF(D52="Pendiente","-",INDEX($CH$6:$CH$53,MATCH($AA52,$BD$6:$BD$53,0)))</f>
        <v>P.2 (2)</v>
      </c>
      <c r="O52" s="16" t="str">
        <f t="shared" ref="O52:O57" ca="1" si="140">IF(D52="Pendiente","-",INDEX($CH$6:$CH$53,MATCH($AF52,$BD$6:$BD$53,0)))</f>
        <v>-</v>
      </c>
      <c r="P52" s="16"/>
      <c r="Q52" s="16" t="str">
        <f t="shared" ref="Q52:Q57" ca="1" si="141">IF(D52="Pendiente","-",INDEX($CN$6:$CN$53,MATCH($AA52,$BD$6:$BD$53,0)))</f>
        <v>P.2 (2)</v>
      </c>
      <c r="R52" s="16" t="str">
        <f t="shared" ref="R52:R57" ca="1" si="142">IF(D52="Pendiente","-",INDEX($CN$6:$CN$53,MATCH($AF52,$BD$6:$BD$53,0)))</f>
        <v>-</v>
      </c>
      <c r="S52" s="16"/>
      <c r="T52" s="16" t="str">
        <f t="shared" ref="T52:T57" ca="1" si="143">IF(D52="Pendiente","-",INDEX($CS$6:$CS$53,MATCH($AA52,$BD$6:$BD$53,0)))</f>
        <v>P.2 (2)</v>
      </c>
      <c r="U52" s="16" t="str">
        <f t="shared" ref="U52:U57" ca="1" si="144">IF(D52="Pendiente","-",INDEX($CS$6:$CS$53,MATCH($AF52,$BD$6:$BD$53,0)))</f>
        <v>-</v>
      </c>
      <c r="V52" s="17"/>
      <c r="W52" s="634"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4</v>
      </c>
      <c r="BF52" s="16">
        <f t="shared" ca="1" si="17"/>
        <v>2</v>
      </c>
      <c r="BG52" s="16">
        <f t="shared" ca="1" si="18"/>
        <v>1</v>
      </c>
      <c r="BH52" s="16">
        <f t="shared" ca="1" si="19"/>
        <v>1</v>
      </c>
      <c r="BI52" s="16">
        <f t="shared" ca="1" si="20"/>
        <v>0</v>
      </c>
      <c r="BJ52" s="16">
        <f t="shared" ca="1" si="21"/>
        <v>1</v>
      </c>
      <c r="BK52" s="16">
        <f t="shared" ca="1" si="22"/>
        <v>0</v>
      </c>
      <c r="BL52" s="16">
        <f t="shared" ca="1" si="23"/>
        <v>1</v>
      </c>
      <c r="BM52" s="16" t="str">
        <f t="shared" ca="1" si="24"/>
        <v>2L</v>
      </c>
      <c r="BN52" s="16" t="str">
        <f t="shared" ca="1" si="25"/>
        <v>2L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4</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8"/>
        <v>0</v>
      </c>
      <c r="BV52" s="16">
        <f t="shared" ca="1" si="29"/>
        <v>1</v>
      </c>
      <c r="BW52" s="16">
        <f t="shared" ca="1" si="30"/>
        <v>0</v>
      </c>
      <c r="BX52" s="16">
        <f t="shared" ca="1" si="31"/>
        <v>1</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6"/>
        <v>0</v>
      </c>
      <c r="CJ52" s="16">
        <f t="shared" ca="1" si="37"/>
        <v>1</v>
      </c>
      <c r="CK52" s="16">
        <f t="shared" ca="1" si="38"/>
        <v>0</v>
      </c>
      <c r="CL52" s="16">
        <f t="shared" ca="1" si="39"/>
        <v>1</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44"/>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46"/>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47"/>
        <v>3</v>
      </c>
      <c r="DK52" s="16">
        <f t="shared" ca="1" si="48"/>
        <v>8</v>
      </c>
      <c r="DL52" s="16">
        <f t="shared" ca="1" si="49"/>
        <v>1</v>
      </c>
      <c r="DM52" s="16" t="str">
        <f t="shared" ca="1" si="50"/>
        <v>3.1</v>
      </c>
      <c r="DN52" s="16">
        <f t="array" aca="1" ref="DN52" ca="1">OFFSET(Horarios!$P$3,DJ52-1,0,DL52,1)</f>
        <v>3</v>
      </c>
      <c r="DO52" s="16"/>
      <c r="DP52" s="16" t="s">
        <v>122</v>
      </c>
      <c r="DQ52" s="16" t="str">
        <f t="shared" ca="1" si="51"/>
        <v>Croacia</v>
      </c>
    </row>
    <row r="53" spans="1:121" ht="16" customHeight="1" x14ac:dyDescent="0.2">
      <c r="A53" s="16" t="str">
        <f ca="1">+Equipos!B26</f>
        <v>Bélgica</v>
      </c>
      <c r="B53" s="16"/>
      <c r="C53" s="16"/>
      <c r="D53" s="16" t="str">
        <f t="shared" si="132"/>
        <v>Empate</v>
      </c>
      <c r="E53" s="16" t="str">
        <f t="shared" ca="1" si="133"/>
        <v>P.2 (2)</v>
      </c>
      <c r="F53" s="16" t="str">
        <f t="shared" ca="1" si="134"/>
        <v>-</v>
      </c>
      <c r="G53" s="16"/>
      <c r="H53" s="16" t="str">
        <f t="shared" ca="1" si="135"/>
        <v>P.2 (2)</v>
      </c>
      <c r="I53" s="16" t="str">
        <f t="shared" ca="1" si="136"/>
        <v>-</v>
      </c>
      <c r="J53" s="16"/>
      <c r="K53" s="16" t="str">
        <f t="shared" ca="1" si="137"/>
        <v>P.2 (2)</v>
      </c>
      <c r="L53" s="16" t="str">
        <f t="shared" ca="1" si="138"/>
        <v>-</v>
      </c>
      <c r="M53" s="16"/>
      <c r="N53" s="16" t="str">
        <f t="shared" ca="1" si="139"/>
        <v>P.2 (2)</v>
      </c>
      <c r="O53" s="16" t="str">
        <f t="shared" ca="1" si="140"/>
        <v>-</v>
      </c>
      <c r="P53" s="16"/>
      <c r="Q53" s="16" t="str">
        <f t="shared" ca="1" si="141"/>
        <v>P.2 (2)</v>
      </c>
      <c r="R53" s="16" t="str">
        <f t="shared" ca="1" si="142"/>
        <v>-</v>
      </c>
      <c r="S53" s="16"/>
      <c r="T53" s="16" t="str">
        <f t="shared" ca="1" si="143"/>
        <v>P.2 (2)</v>
      </c>
      <c r="U53" s="16" t="str">
        <f t="shared" ca="1" si="144"/>
        <v>-</v>
      </c>
      <c r="V53" s="17"/>
      <c r="W53" s="620"/>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2</v>
      </c>
      <c r="BG53" s="16">
        <f t="shared" ca="1" si="18"/>
        <v>0</v>
      </c>
      <c r="BH53" s="16">
        <f t="shared" ca="1" si="19"/>
        <v>0</v>
      </c>
      <c r="BI53" s="16">
        <f t="shared" ca="1" si="20"/>
        <v>2</v>
      </c>
      <c r="BJ53" s="16">
        <f t="shared" ca="1" si="21"/>
        <v>0</v>
      </c>
      <c r="BK53" s="16">
        <f t="shared" ca="1" si="22"/>
        <v>2</v>
      </c>
      <c r="BL53" s="16">
        <f t="shared" ca="1" si="23"/>
        <v>-2</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8</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Empate</v>
      </c>
      <c r="E54" s="16" t="str">
        <f t="shared" ca="1" si="133"/>
        <v>P.2 (2)</v>
      </c>
      <c r="F54" s="16" t="str">
        <f t="shared" ca="1" si="134"/>
        <v>P.2 (2)</v>
      </c>
      <c r="G54" s="16"/>
      <c r="H54" s="16" t="str">
        <f t="shared" ca="1" si="135"/>
        <v>P.2 (2)</v>
      </c>
      <c r="I54" s="16" t="str">
        <f t="shared" ca="1" si="136"/>
        <v>P.2 (2)</v>
      </c>
      <c r="J54" s="16"/>
      <c r="K54" s="16" t="str">
        <f t="shared" ca="1" si="137"/>
        <v>P.2 (2)</v>
      </c>
      <c r="L54" s="16" t="str">
        <f t="shared" ca="1" si="138"/>
        <v>P.2 (2)</v>
      </c>
      <c r="M54" s="16"/>
      <c r="N54" s="16" t="str">
        <f t="shared" ca="1" si="139"/>
        <v>P.2 (2)</v>
      </c>
      <c r="O54" s="16" t="str">
        <f t="shared" ca="1" si="140"/>
        <v>P.2 (2)</v>
      </c>
      <c r="P54" s="16"/>
      <c r="Q54" s="16" t="str">
        <f t="shared" ca="1" si="141"/>
        <v>P.2 (2)</v>
      </c>
      <c r="R54" s="16" t="str">
        <f t="shared" ca="1" si="142"/>
        <v>P.2 (2)</v>
      </c>
      <c r="S54" s="16"/>
      <c r="T54" s="16" t="str">
        <f t="shared" ca="1" si="143"/>
        <v>P.2 (2)</v>
      </c>
      <c r="U54" s="16" t="str">
        <f t="shared" ca="1" si="144"/>
        <v>P.2 (2)</v>
      </c>
      <c r="V54" s="17"/>
      <c r="W54" s="620"/>
      <c r="X54" s="24">
        <f ca="1">Horarios!C54</f>
        <v>46194.625</v>
      </c>
      <c r="Y54" s="25">
        <f ca="1">Horarios!C54</f>
        <v>46194.625</v>
      </c>
      <c r="Z54" s="26" t="str">
        <f>$Z$6</f>
        <v>J2</v>
      </c>
      <c r="AA54" s="27" t="str">
        <f ca="1">A53</f>
        <v>Bélgica</v>
      </c>
      <c r="AB54" s="49" t="str">
        <f t="array" aca="1" ref="AB54" ca="1">Ver_flag_local</f>
        <v/>
      </c>
      <c r="AC54" s="50">
        <v>0</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Egipto</v>
      </c>
      <c r="AM54" s="35">
        <f t="shared" ref="AM54:AT57" ca="1" si="147">INDEX($BE$6:$BN$53,MATCH($AL54,$BD$6:$BD$53,0),MATCH(AM$5,$BE$5:$BN$5,0))</f>
        <v>4</v>
      </c>
      <c r="AN54" s="36">
        <f t="shared" ca="1" si="147"/>
        <v>2</v>
      </c>
      <c r="AO54" s="36">
        <f t="shared" ca="1" si="147"/>
        <v>1</v>
      </c>
      <c r="AP54" s="36">
        <f t="shared" ca="1" si="147"/>
        <v>1</v>
      </c>
      <c r="AQ54" s="36">
        <f t="shared" ca="1" si="147"/>
        <v>0</v>
      </c>
      <c r="AR54" s="36">
        <f t="shared" ca="1" si="147"/>
        <v>4</v>
      </c>
      <c r="AS54" s="36">
        <f t="shared" ca="1" si="147"/>
        <v>2</v>
      </c>
      <c r="AT54" s="41">
        <f t="shared" ca="1" si="147"/>
        <v>2</v>
      </c>
      <c r="AU54" s="323">
        <f ca="1">INDEX($DL$6:$DL$53,MATCH(AI54,$DP$6:$DP$53,0))</f>
        <v>1</v>
      </c>
      <c r="AV54" s="182" t="str">
        <f ca="1">INDEX($BD$6:$BD$53,MATCH(AI54,$BM$6:$BM$53,0))</f>
        <v>Egipto</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v>
      </c>
      <c r="G55" s="16"/>
      <c r="H55" s="16" t="str">
        <f t="shared" ca="1" si="135"/>
        <v>-</v>
      </c>
      <c r="I55" s="16" t="str">
        <f t="shared" ca="1" si="136"/>
        <v>-</v>
      </c>
      <c r="J55" s="16"/>
      <c r="K55" s="16" t="str">
        <f t="shared" ca="1" si="137"/>
        <v>-</v>
      </c>
      <c r="L55" s="16" t="str">
        <f t="shared" ca="1" si="138"/>
        <v>-</v>
      </c>
      <c r="M55" s="16"/>
      <c r="N55" s="16" t="str">
        <f t="shared" ca="1" si="139"/>
        <v>-</v>
      </c>
      <c r="O55" s="16" t="str">
        <f t="shared" ca="1" si="140"/>
        <v>-</v>
      </c>
      <c r="P55" s="16"/>
      <c r="Q55" s="16" t="str">
        <f t="shared" ca="1" si="141"/>
        <v>-</v>
      </c>
      <c r="R55" s="16" t="str">
        <f t="shared" ca="1" si="142"/>
        <v>-</v>
      </c>
      <c r="S55" s="16"/>
      <c r="T55" s="16" t="str">
        <f t="shared" ca="1" si="143"/>
        <v>-</v>
      </c>
      <c r="U55" s="16" t="str">
        <f t="shared" ca="1" si="144"/>
        <v>-</v>
      </c>
      <c r="V55" s="17"/>
      <c r="W55" s="620"/>
      <c r="X55" s="24">
        <f ca="1">Horarios!C55</f>
        <v>46194.875</v>
      </c>
      <c r="Y55" s="25">
        <f ca="1">Horarios!C55</f>
        <v>46194.875</v>
      </c>
      <c r="Z55" s="26" t="str">
        <f>$Z$6</f>
        <v>J2</v>
      </c>
      <c r="AA55" s="27" t="str">
        <f ca="1">A56</f>
        <v>Nueva Zelanda</v>
      </c>
      <c r="AB55" s="49" t="str">
        <f t="array" aca="1" ref="AB55" ca="1">Ver_flag_local</f>
        <v/>
      </c>
      <c r="AC55" s="50">
        <v>1</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Irán</v>
      </c>
      <c r="AM55" s="38">
        <f t="shared" ca="1" si="147"/>
        <v>2</v>
      </c>
      <c r="AN55" s="39">
        <f t="shared" ca="1" si="147"/>
        <v>2</v>
      </c>
      <c r="AO55" s="39">
        <f t="shared" ca="1" si="147"/>
        <v>0</v>
      </c>
      <c r="AP55" s="39">
        <f t="shared" ca="1" si="147"/>
        <v>2</v>
      </c>
      <c r="AQ55" s="39">
        <f t="shared" ca="1" si="147"/>
        <v>0</v>
      </c>
      <c r="AR55" s="39">
        <f t="shared" ca="1" si="147"/>
        <v>2</v>
      </c>
      <c r="AS55" s="39">
        <f t="shared" ca="1" si="147"/>
        <v>2</v>
      </c>
      <c r="AT55" s="43">
        <f t="shared" ca="1" si="147"/>
        <v>0</v>
      </c>
      <c r="AU55" s="323">
        <f ca="1">INDEX($DL$6:$DL$53,MATCH(AI55,$DP$6:$DP$53,0))</f>
        <v>1</v>
      </c>
      <c r="AV55" s="182" t="str">
        <f ca="1">INDEX($BD$6:$BD$53,MATCH(AI55,$BM$6:$BM$53,0))</f>
        <v>Irán</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0"/>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Bélgica</v>
      </c>
      <c r="AM56" s="38">
        <f t="shared" ca="1" si="147"/>
        <v>2</v>
      </c>
      <c r="AN56" s="39">
        <f t="shared" ca="1" si="147"/>
        <v>2</v>
      </c>
      <c r="AO56" s="39">
        <f t="shared" ca="1" si="147"/>
        <v>0</v>
      </c>
      <c r="AP56" s="39">
        <f t="shared" ca="1" si="147"/>
        <v>2</v>
      </c>
      <c r="AQ56" s="39">
        <f t="shared" ca="1" si="147"/>
        <v>0</v>
      </c>
      <c r="AR56" s="39">
        <f t="shared" ca="1" si="147"/>
        <v>1</v>
      </c>
      <c r="AS56" s="39">
        <f t="shared" ca="1" si="147"/>
        <v>1</v>
      </c>
      <c r="AT56" s="43">
        <f t="shared" ca="1" si="147"/>
        <v>0</v>
      </c>
      <c r="AU56" s="323">
        <f ca="1">INDEX($DL$6:$DL$53,MATCH(AI56,$DP$6:$DP$53,0))</f>
        <v>1</v>
      </c>
      <c r="AV56" s="182" t="str">
        <f ca="1">INDEX($BD$6:$BD$53,MATCH(AI56,$BM$6:$BM$53,0))</f>
        <v>Bélgica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1"/>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Nueva Zelanda</v>
      </c>
      <c r="AM57" s="46">
        <f t="shared" ca="1" si="147"/>
        <v>1</v>
      </c>
      <c r="AN57" s="47">
        <f t="shared" ca="1" si="147"/>
        <v>2</v>
      </c>
      <c r="AO57" s="47">
        <f t="shared" ca="1" si="147"/>
        <v>0</v>
      </c>
      <c r="AP57" s="47">
        <f t="shared" ca="1" si="147"/>
        <v>1</v>
      </c>
      <c r="AQ57" s="47">
        <f t="shared" ca="1" si="147"/>
        <v>1</v>
      </c>
      <c r="AR57" s="47">
        <f t="shared" ca="1" si="147"/>
        <v>3</v>
      </c>
      <c r="AS57" s="47">
        <f t="shared" ca="1" si="147"/>
        <v>5</v>
      </c>
      <c r="AT57" s="48">
        <f t="shared" ca="1" si="147"/>
        <v>-2</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1</v>
      </c>
      <c r="BF58" s="16">
        <f t="shared" ref="BF58:BF69" ca="1" si="150">+BG58+BH58+BI58</f>
        <v>2</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8</v>
      </c>
      <c r="BN58" s="16">
        <f t="shared" ref="BN58:BN69" ca="1" si="153">CF58</f>
        <v>8</v>
      </c>
      <c r="BO58" s="16" t="str">
        <f t="shared" ref="BO58:BO69" si="154">"4"&amp;BC58</f>
        <v>4A</v>
      </c>
      <c r="BP58" s="16"/>
      <c r="BQ58" s="16"/>
      <c r="BR58" s="16">
        <f t="shared" ref="BR58:BR69" ca="1" si="155">+BE58</f>
        <v>1</v>
      </c>
      <c r="BS58" s="16">
        <f t="shared" ref="BS58:BS69" ca="1" si="156">COUNTIFS(BR$58:BR$69,"&gt;"&amp;BR58)+1</f>
        <v>8</v>
      </c>
      <c r="BT58" s="16" t="str">
        <f t="shared" ref="BT58:BT69" ca="1" si="157">IF(COUNTIF(BS$58:BS$69,BS58)=1,"-","Pos. "&amp;BS58&amp;" ("&amp;COUNTIF(BS$58:BS$69,BS58)&amp;")")</f>
        <v>Pos. 8 (4)</v>
      </c>
      <c r="BU58" s="16">
        <f t="shared" ref="BU58:BU69" ca="1" si="158">IF(BT58="-","-",BL58)</f>
        <v>-1</v>
      </c>
      <c r="BV58" s="16">
        <f t="shared" ref="BV58:BV69" ca="1" si="159">BS58+COUNTIFS(BT$58:BT$69,BT58,BU$58:BU$69,"&gt;"&amp;BU58)</f>
        <v>8</v>
      </c>
      <c r="BW58" s="16" t="str">
        <f t="shared" ref="BW58:BW69" ca="1" si="160">IF(COUNTIF(BV$58:BV$69,BV58)=1,"-","Pos. "&amp;BV58&amp;" ("&amp;COUNTIF(BV$58:BV$69,BV58)&amp;")")</f>
        <v>Pos. 8 (3)</v>
      </c>
      <c r="BX58" s="16">
        <f t="shared" ref="BX58:BX69" ca="1" si="161">IF(BW58="-","-",BJ58)</f>
        <v>2</v>
      </c>
      <c r="BY58" s="16">
        <f t="shared" ref="BY58:BY69" ca="1" si="162">BV58+COUNTIFS(BW$58:BW$69,BW58,BX$58:BX$69,"&gt;"&amp;BX58)</f>
        <v>8</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8</v>
      </c>
      <c r="CC58" s="16"/>
      <c r="CD58" s="16">
        <f t="shared" ref="CD58:CD69" ca="1" si="166">IF(OR(INDEX($AW$102:$AW$113,MATCH($BD58,$AV$102:$AV$113,0))="",BZ58="-"),CB58,INDEX($AW$102:$AW$113,MATCH($BD58,$AV$102:$AV$113,0))+CB58/1000)</f>
        <v>8</v>
      </c>
      <c r="CE58" s="16" t="str">
        <f t="shared" ref="CE58:CE69" ca="1" si="167">IF(BZ58="-","-",COUNTIF(CD$58:CD$69,"&lt;"&amp;CD58))</f>
        <v>-</v>
      </c>
      <c r="CF58" s="16">
        <f t="shared" ref="CF58:CF69" ca="1" si="168">BY58+COUNTIFS(BZ$58:BZ$69,BZ58,CE$58:CE$69,"&lt;"&amp;CE58)</f>
        <v>8</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Suecia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1</v>
      </c>
      <c r="BF59" s="16">
        <f t="shared" ca="1" si="150"/>
        <v>2</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2</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5</v>
      </c>
      <c r="BL59" s="16">
        <f t="shared" ca="1" si="151"/>
        <v>-3</v>
      </c>
      <c r="BM59" s="16">
        <f t="shared" ca="1" si="152"/>
        <v>11</v>
      </c>
      <c r="BN59" s="16">
        <f t="shared" ca="1" si="153"/>
        <v>11</v>
      </c>
      <c r="BO59" s="16" t="str">
        <f t="shared" si="154"/>
        <v>4B</v>
      </c>
      <c r="BP59" s="16"/>
      <c r="BQ59" s="16"/>
      <c r="BR59" s="16">
        <f t="shared" ca="1" si="155"/>
        <v>1</v>
      </c>
      <c r="BS59" s="16">
        <f t="shared" ca="1" si="156"/>
        <v>8</v>
      </c>
      <c r="BT59" s="16" t="str">
        <f t="shared" ca="1" si="157"/>
        <v>Pos. 8 (4)</v>
      </c>
      <c r="BU59" s="16">
        <f t="shared" ca="1" si="158"/>
        <v>-3</v>
      </c>
      <c r="BV59" s="16">
        <f t="shared" ca="1" si="159"/>
        <v>11</v>
      </c>
      <c r="BW59" s="16" t="str">
        <f t="shared" ca="1" si="160"/>
        <v>-</v>
      </c>
      <c r="BX59" s="16" t="str">
        <f t="shared" ca="1" si="161"/>
        <v>-</v>
      </c>
      <c r="BY59" s="16">
        <f t="shared" ca="1" si="162"/>
        <v>11</v>
      </c>
      <c r="BZ59" s="16" t="str">
        <f t="shared" ca="1" si="163"/>
        <v>-</v>
      </c>
      <c r="CA59" s="16" t="str">
        <f t="shared" ca="1" si="164"/>
        <v>-</v>
      </c>
      <c r="CB59" s="16">
        <f t="shared" ca="1" si="165"/>
        <v>11</v>
      </c>
      <c r="CC59" s="16"/>
      <c r="CD59" s="16">
        <f t="shared" ca="1" si="166"/>
        <v>11</v>
      </c>
      <c r="CE59" s="16" t="str">
        <f t="shared" ca="1" si="167"/>
        <v>-</v>
      </c>
      <c r="CF59" s="16">
        <f t="shared" ca="1" si="168"/>
        <v>11</v>
      </c>
      <c r="DJ59" s="16">
        <f t="shared" ca="1" si="169"/>
        <v>2</v>
      </c>
      <c r="DK59" s="16"/>
      <c r="DL59" s="16">
        <f t="shared" ca="1" si="170"/>
        <v>1</v>
      </c>
      <c r="DM59" s="16" t="str">
        <f t="shared" ca="1" si="171"/>
        <v>2.1</v>
      </c>
      <c r="DN59" s="16">
        <f t="array" aca="1" ref="DN59" ca="1">OFFSET(Horarios!$P$3,DJ59-1,0,DL59,1)</f>
        <v>2</v>
      </c>
      <c r="DO59" s="16"/>
      <c r="DP59" s="16">
        <v>2</v>
      </c>
      <c r="DQ59" s="16" t="str">
        <f t="shared" ca="1" si="172"/>
        <v>Escocia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v>
      </c>
      <c r="F60" s="16" t="str">
        <f t="shared" ref="F60:F65" ca="1" si="181">IF(D60="Pendiente","-",INDEX($BT$6:$BT$53,MATCH($AF60,$BD$6:$BD$53,0)))</f>
        <v>P.2 (2)</v>
      </c>
      <c r="G60" s="16"/>
      <c r="H60" s="16" t="str">
        <f t="shared" ref="H60:H65" ca="1" si="182">IF(D60="Pendiente","-",INDEX($BZ$6:$BZ$53,MATCH($AA60,$BD$6:$BD$53,0)))</f>
        <v>-</v>
      </c>
      <c r="I60" s="16" t="str">
        <f t="shared" ref="I60:I65" ca="1" si="183">IF(D60="Pendiente","-",INDEX($BZ$6:$BZ$53,MATCH($AF60,$BD$6:$BD$53,0)))</f>
        <v>P.2 (2)</v>
      </c>
      <c r="J60" s="16"/>
      <c r="K60" s="16" t="str">
        <f t="shared" ref="K60:K65" ca="1" si="184">IF(D60="Pendiente","-",INDEX($CE$6:$CE$53,MATCH($AA60,$BD$6:$BD$53,0)))</f>
        <v>-</v>
      </c>
      <c r="L60" s="16" t="str">
        <f t="shared" ref="L60:L65" ca="1" si="185">IF(D60="Pendiente","-",INDEX($CE$6:$CE$53,MATCH($AF60,$BD$6:$BD$53,0)))</f>
        <v>P.2 (2)</v>
      </c>
      <c r="M60" s="16"/>
      <c r="N60" s="16" t="str">
        <f t="shared" ref="N60:N65" ca="1" si="186">IF(D60="Pendiente","-",INDEX($CH$6:$CH$53,MATCH($AA60,$BD$6:$BD$53,0)))</f>
        <v>-</v>
      </c>
      <c r="O60" s="16" t="str">
        <f t="shared" ref="O60:O65" ca="1" si="187">IF(D60="Pendiente","-",INDEX($CH$6:$CH$53,MATCH($AF60,$BD$6:$BD$53,0)))</f>
        <v>P.2 (2)</v>
      </c>
      <c r="P60" s="16"/>
      <c r="Q60" s="16" t="str">
        <f t="shared" ref="Q60:Q65" ca="1" si="188">IF(D60="Pendiente","-",INDEX($CN$6:$CN$53,MATCH($AA60,$BD$6:$BD$53,0)))</f>
        <v>-</v>
      </c>
      <c r="R60" s="16" t="str">
        <f t="shared" ref="R60:R65" ca="1" si="189">IF(D60="Pendiente","-",INDEX($CN$6:$CN$53,MATCH($AF60,$BD$6:$BD$53,0)))</f>
        <v>P.2 (2)</v>
      </c>
      <c r="S60" s="16"/>
      <c r="T60" s="16" t="str">
        <f t="shared" ref="T60:T65" ca="1" si="190">IF(D60="Pendiente","-",INDEX($CS$6:$CS$53,MATCH($AA60,$BD$6:$BD$53,0)))</f>
        <v>-</v>
      </c>
      <c r="U60" s="16" t="str">
        <f t="shared" ref="U60:U65" ca="1" si="191">IF(D60="Pendiente","-",INDEX($CS$6:$CS$53,MATCH($AF60,$BD$6:$BD$53,0)))</f>
        <v>P.2 (2)</v>
      </c>
      <c r="V60" s="17"/>
      <c r="W60" s="637"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2</v>
      </c>
      <c r="BG60" s="16">
        <f t="shared" ca="1" si="174"/>
        <v>1</v>
      </c>
      <c r="BH60" s="16">
        <f t="shared" ca="1" si="175"/>
        <v>0</v>
      </c>
      <c r="BI60" s="16">
        <f t="shared" ca="1" si="176"/>
        <v>1</v>
      </c>
      <c r="BJ60" s="16">
        <f t="shared" ca="1" si="177"/>
        <v>1</v>
      </c>
      <c r="BK60" s="16">
        <f t="shared" ca="1" si="178"/>
        <v>1</v>
      </c>
      <c r="BL60" s="16">
        <f t="shared" ca="1" si="151"/>
        <v>0</v>
      </c>
      <c r="BM60" s="16">
        <f t="shared" ca="1" si="152"/>
        <v>2</v>
      </c>
      <c r="BN60" s="16">
        <f t="shared" ca="1" si="153"/>
        <v>2</v>
      </c>
      <c r="BO60" s="16" t="str">
        <f t="shared" si="154"/>
        <v>4C</v>
      </c>
      <c r="BP60" s="16"/>
      <c r="BQ60" s="16"/>
      <c r="BR60" s="16">
        <f t="shared" ca="1" si="155"/>
        <v>3</v>
      </c>
      <c r="BS60" s="16">
        <f t="shared" ca="1" si="156"/>
        <v>1</v>
      </c>
      <c r="BT60" s="16" t="str">
        <f t="shared" ca="1" si="157"/>
        <v>Pos. 1 (5)</v>
      </c>
      <c r="BU60" s="16">
        <f t="shared" ca="1" si="158"/>
        <v>0</v>
      </c>
      <c r="BV60" s="16">
        <f t="shared" ca="1" si="159"/>
        <v>1</v>
      </c>
      <c r="BW60" s="16" t="str">
        <f t="shared" ca="1" si="160"/>
        <v>Pos. 1 (2)</v>
      </c>
      <c r="BX60" s="16">
        <f t="shared" ca="1" si="161"/>
        <v>1</v>
      </c>
      <c r="BY60" s="16">
        <f t="shared" ca="1" si="162"/>
        <v>2</v>
      </c>
      <c r="BZ60" s="16" t="str">
        <f t="shared" ca="1" si="163"/>
        <v>-</v>
      </c>
      <c r="CA60" s="16" t="str">
        <f t="shared" ca="1" si="164"/>
        <v>-</v>
      </c>
      <c r="CB60" s="16">
        <f t="shared" ca="1" si="165"/>
        <v>2</v>
      </c>
      <c r="CC60" s="16"/>
      <c r="CD60" s="16">
        <f t="shared" ca="1" si="166"/>
        <v>2</v>
      </c>
      <c r="CE60" s="16" t="str">
        <f t="shared" ca="1" si="167"/>
        <v>-</v>
      </c>
      <c r="CF60" s="16">
        <f t="shared" ca="1" si="168"/>
        <v>2</v>
      </c>
      <c r="DJ60" s="16">
        <f t="shared" ca="1" si="169"/>
        <v>3</v>
      </c>
      <c r="DK60" s="16"/>
      <c r="DL60" s="16">
        <f t="shared" ca="1" si="170"/>
        <v>1</v>
      </c>
      <c r="DM60" s="16" t="str">
        <f t="shared" ca="1" si="171"/>
        <v>3.1</v>
      </c>
      <c r="DN60" s="16">
        <f t="array" aca="1" ref="DN60" ca="1">OFFSET(Horarios!$P$3,DJ60-1,0,DL60,1)</f>
        <v>3</v>
      </c>
      <c r="DO60" s="16"/>
      <c r="DP60" s="16">
        <v>3</v>
      </c>
      <c r="DQ60" s="16" t="str">
        <f t="shared" ca="1" si="172"/>
        <v>Croacia</v>
      </c>
    </row>
    <row r="61" spans="1:121" ht="16" customHeight="1" x14ac:dyDescent="0.2">
      <c r="A61" s="16" t="str">
        <f ca="1">+Equipos!B30</f>
        <v>España</v>
      </c>
      <c r="B61" s="16"/>
      <c r="C61" s="16"/>
      <c r="D61" s="16" t="str">
        <f t="shared" si="179"/>
        <v>Empate</v>
      </c>
      <c r="E61" s="16" t="str">
        <f t="shared" ca="1" si="180"/>
        <v>-</v>
      </c>
      <c r="F61" s="16" t="str">
        <f t="shared" ca="1" si="181"/>
        <v>P.2 (2)</v>
      </c>
      <c r="G61" s="16"/>
      <c r="H61" s="16" t="str">
        <f t="shared" ca="1" si="182"/>
        <v>-</v>
      </c>
      <c r="I61" s="16" t="str">
        <f t="shared" ca="1" si="183"/>
        <v>P.2 (2)</v>
      </c>
      <c r="J61" s="16"/>
      <c r="K61" s="16" t="str">
        <f t="shared" ca="1" si="184"/>
        <v>-</v>
      </c>
      <c r="L61" s="16" t="str">
        <f t="shared" ca="1" si="185"/>
        <v>P.2 (2)</v>
      </c>
      <c r="M61" s="16"/>
      <c r="N61" s="16" t="str">
        <f t="shared" ca="1" si="186"/>
        <v>-</v>
      </c>
      <c r="O61" s="16" t="str">
        <f t="shared" ca="1" si="187"/>
        <v>P.2 (2)</v>
      </c>
      <c r="P61" s="16"/>
      <c r="Q61" s="16" t="str">
        <f t="shared" ca="1" si="188"/>
        <v>-</v>
      </c>
      <c r="R61" s="16" t="str">
        <f t="shared" ca="1" si="189"/>
        <v>P.2 (2)</v>
      </c>
      <c r="S61" s="16"/>
      <c r="T61" s="16" t="str">
        <f t="shared" ca="1" si="190"/>
        <v>-</v>
      </c>
      <c r="U61" s="16" t="str">
        <f t="shared" ca="1" si="191"/>
        <v>P.2 (2)</v>
      </c>
      <c r="V61" s="17"/>
      <c r="W61" s="620"/>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3</v>
      </c>
      <c r="BF61" s="16">
        <f t="shared" ca="1" si="150"/>
        <v>2</v>
      </c>
      <c r="BG61" s="16">
        <f t="shared" ca="1" si="174"/>
        <v>1</v>
      </c>
      <c r="BH61" s="16">
        <f t="shared" ca="1" si="175"/>
        <v>0</v>
      </c>
      <c r="BI61" s="16">
        <f t="shared" ca="1" si="176"/>
        <v>1</v>
      </c>
      <c r="BJ61" s="16">
        <f t="shared" ca="1" si="177"/>
        <v>2</v>
      </c>
      <c r="BK61" s="16">
        <f t="shared" ca="1" si="178"/>
        <v>4</v>
      </c>
      <c r="BL61" s="16">
        <f t="shared" ca="1" si="151"/>
        <v>-2</v>
      </c>
      <c r="BM61" s="16">
        <f t="shared" ca="1" si="152"/>
        <v>5</v>
      </c>
      <c r="BN61" s="16">
        <f t="shared" ca="1" si="153"/>
        <v>5</v>
      </c>
      <c r="BO61" s="16" t="str">
        <f t="shared" si="154"/>
        <v>4D</v>
      </c>
      <c r="BP61" s="16"/>
      <c r="BQ61" s="16"/>
      <c r="BR61" s="16">
        <f t="shared" ca="1" si="155"/>
        <v>3</v>
      </c>
      <c r="BS61" s="16">
        <f t="shared" ca="1" si="156"/>
        <v>1</v>
      </c>
      <c r="BT61" s="16" t="str">
        <f t="shared" ca="1" si="157"/>
        <v>Pos. 1 (5)</v>
      </c>
      <c r="BU61" s="16">
        <f t="shared" ca="1" si="158"/>
        <v>-2</v>
      </c>
      <c r="BV61" s="16">
        <f t="shared" ca="1" si="159"/>
        <v>4</v>
      </c>
      <c r="BW61" s="16" t="str">
        <f t="shared" ca="1" si="160"/>
        <v>Pos. 4 (2)</v>
      </c>
      <c r="BX61" s="16">
        <f t="shared" ca="1" si="161"/>
        <v>2</v>
      </c>
      <c r="BY61" s="16">
        <f t="shared" ca="1" si="162"/>
        <v>4</v>
      </c>
      <c r="BZ61" s="16" t="str">
        <f t="shared" ca="1" si="163"/>
        <v>Pos. 4 (2)</v>
      </c>
      <c r="CA61" s="16">
        <f t="shared" ca="1" si="164"/>
        <v>4</v>
      </c>
      <c r="CB61" s="16">
        <f t="shared" ca="1" si="165"/>
        <v>5</v>
      </c>
      <c r="CC61" s="16"/>
      <c r="CD61" s="16">
        <f t="shared" ca="1" si="166"/>
        <v>5</v>
      </c>
      <c r="CE61" s="16">
        <f t="shared" ca="1" si="167"/>
        <v>4</v>
      </c>
      <c r="CF61" s="16">
        <f t="shared" ca="1" si="168"/>
        <v>5</v>
      </c>
      <c r="DJ61" s="16">
        <f t="shared" ca="1" si="169"/>
        <v>4</v>
      </c>
      <c r="DK61" s="16"/>
      <c r="DL61" s="16">
        <f t="shared" ca="1" si="170"/>
        <v>1</v>
      </c>
      <c r="DM61" s="16" t="str">
        <f t="shared" ca="1" si="171"/>
        <v>4.1</v>
      </c>
      <c r="DN61" s="16">
        <f t="array" aca="1" ref="DN61" ca="1">OFFSET(Horarios!$P$3,DJ61-1,0,DL61,1)</f>
        <v>4</v>
      </c>
      <c r="DO61" s="16"/>
      <c r="DP61" s="16">
        <v>4</v>
      </c>
      <c r="DQ61" s="16" t="str">
        <f t="shared" ca="1" si="172"/>
        <v>Argelia</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20"/>
      <c r="X62" s="24">
        <f ca="1">Horarios!C62</f>
        <v>46194.5</v>
      </c>
      <c r="Y62" s="25">
        <f ca="1">Horarios!C62</f>
        <v>46194.5</v>
      </c>
      <c r="Z62" s="26" t="str">
        <f>$Z$6</f>
        <v>J2</v>
      </c>
      <c r="AA62" s="27" t="str">
        <f ca="1">A61</f>
        <v>España</v>
      </c>
      <c r="AB62" s="49" t="str">
        <f t="array" aca="1" ref="AB62" ca="1">Ver_flag_local</f>
        <v/>
      </c>
      <c r="AC62" s="50">
        <v>4</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4</v>
      </c>
      <c r="AN62" s="36">
        <f t="shared" ca="1" si="195"/>
        <v>2</v>
      </c>
      <c r="AO62" s="36">
        <f t="shared" ca="1" si="195"/>
        <v>1</v>
      </c>
      <c r="AP62" s="36">
        <f t="shared" ca="1" si="195"/>
        <v>1</v>
      </c>
      <c r="AQ62" s="36">
        <f t="shared" ca="1" si="195"/>
        <v>0</v>
      </c>
      <c r="AR62" s="36">
        <f t="shared" ca="1" si="195"/>
        <v>4</v>
      </c>
      <c r="AS62" s="36">
        <f t="shared" ca="1" si="195"/>
        <v>0</v>
      </c>
      <c r="AT62" s="41">
        <f t="shared" ca="1" si="195"/>
        <v>4</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1</v>
      </c>
      <c r="BF62" s="16">
        <f t="shared" ca="1" si="150"/>
        <v>2</v>
      </c>
      <c r="BG62" s="16">
        <f t="shared" ca="1" si="174"/>
        <v>0</v>
      </c>
      <c r="BH62" s="16">
        <f t="shared" ca="1" si="175"/>
        <v>1</v>
      </c>
      <c r="BI62" s="16">
        <f t="shared" ca="1" si="176"/>
        <v>1</v>
      </c>
      <c r="BJ62" s="16">
        <f t="shared" ca="1" si="177"/>
        <v>0</v>
      </c>
      <c r="BK62" s="16">
        <f t="shared" ca="1" si="178"/>
        <v>1</v>
      </c>
      <c r="BL62" s="16">
        <f t="shared" ca="1" si="151"/>
        <v>-1</v>
      </c>
      <c r="BM62" s="16">
        <f t="shared" ca="1" si="152"/>
        <v>10</v>
      </c>
      <c r="BN62" s="16">
        <f t="shared" ca="1" si="153"/>
        <v>10</v>
      </c>
      <c r="BO62" s="16" t="str">
        <f t="shared" si="154"/>
        <v>4E</v>
      </c>
      <c r="BP62" s="16"/>
      <c r="BQ62" s="16"/>
      <c r="BR62" s="16">
        <f t="shared" ca="1" si="155"/>
        <v>1</v>
      </c>
      <c r="BS62" s="16">
        <f t="shared" ca="1" si="156"/>
        <v>8</v>
      </c>
      <c r="BT62" s="16" t="str">
        <f t="shared" ca="1" si="157"/>
        <v>Pos. 8 (4)</v>
      </c>
      <c r="BU62" s="16">
        <f t="shared" ca="1" si="158"/>
        <v>-1</v>
      </c>
      <c r="BV62" s="16">
        <f t="shared" ca="1" si="159"/>
        <v>8</v>
      </c>
      <c r="BW62" s="16" t="str">
        <f t="shared" ca="1" si="160"/>
        <v>Pos. 8 (3)</v>
      </c>
      <c r="BX62" s="16">
        <f t="shared" ca="1" si="161"/>
        <v>0</v>
      </c>
      <c r="BY62" s="16">
        <f t="shared" ca="1" si="162"/>
        <v>10</v>
      </c>
      <c r="BZ62" s="16" t="str">
        <f t="shared" ca="1" si="163"/>
        <v>-</v>
      </c>
      <c r="CA62" s="16" t="str">
        <f t="shared" ca="1" si="164"/>
        <v>-</v>
      </c>
      <c r="CB62" s="16">
        <f t="shared" ca="1" si="165"/>
        <v>10</v>
      </c>
      <c r="CC62" s="16"/>
      <c r="CD62" s="16">
        <f t="shared" ca="1" si="166"/>
        <v>10</v>
      </c>
      <c r="CE62" s="16" t="str">
        <f t="shared" ca="1" si="167"/>
        <v>-</v>
      </c>
      <c r="CF62" s="16">
        <f t="shared" ca="1" si="168"/>
        <v>10</v>
      </c>
      <c r="DJ62" s="16">
        <f t="shared" ca="1" si="169"/>
        <v>4</v>
      </c>
      <c r="DK62" s="16"/>
      <c r="DL62" s="16">
        <f t="shared" ca="1" si="170"/>
        <v>1</v>
      </c>
      <c r="DM62" s="16" t="str">
        <f t="shared" ca="1" si="171"/>
        <v>4.1</v>
      </c>
      <c r="DN62" s="16">
        <f t="array" aca="1" ref="DN62" ca="1">OFFSET(Horarios!$P$3,DJ62-1,0,DL62,1)</f>
        <v>4</v>
      </c>
      <c r="DO62" s="16"/>
      <c r="DP62" s="16">
        <v>5</v>
      </c>
      <c r="DQ62" s="16" t="str">
        <f t="shared" ca="1" si="172"/>
        <v>Paraguay</v>
      </c>
    </row>
    <row r="63" spans="1:121" ht="16" customHeight="1" x14ac:dyDescent="0.2">
      <c r="A63" s="16" t="str">
        <f ca="1">+Equipos!B32</f>
        <v>Arabia Saudita</v>
      </c>
      <c r="B63" s="16"/>
      <c r="C63" s="16"/>
      <c r="D63" s="16" t="str">
        <f t="shared" si="179"/>
        <v>Empate</v>
      </c>
      <c r="E63" s="16" t="str">
        <f t="shared" ca="1" si="180"/>
        <v>P.2 (2)</v>
      </c>
      <c r="F63" s="16" t="str">
        <f t="shared" ca="1" si="181"/>
        <v>P.2 (2)</v>
      </c>
      <c r="G63" s="16"/>
      <c r="H63" s="16" t="str">
        <f t="shared" ca="1" si="182"/>
        <v>P.2 (2)</v>
      </c>
      <c r="I63" s="16" t="str">
        <f t="shared" ca="1" si="183"/>
        <v>P.2 (2)</v>
      </c>
      <c r="J63" s="16"/>
      <c r="K63" s="16" t="str">
        <f t="shared" ca="1" si="184"/>
        <v>P.2 (2)</v>
      </c>
      <c r="L63" s="16" t="str">
        <f t="shared" ca="1" si="185"/>
        <v>P.2 (2)</v>
      </c>
      <c r="M63" s="16"/>
      <c r="N63" s="16" t="str">
        <f t="shared" ca="1" si="186"/>
        <v>P.2 (2)</v>
      </c>
      <c r="O63" s="16" t="str">
        <f t="shared" ca="1" si="187"/>
        <v>P.2 (2)</v>
      </c>
      <c r="P63" s="16"/>
      <c r="Q63" s="16" t="str">
        <f t="shared" ca="1" si="188"/>
        <v>P.2 (2)</v>
      </c>
      <c r="R63" s="16" t="str">
        <f t="shared" ca="1" si="189"/>
        <v>P.2 (2)</v>
      </c>
      <c r="S63" s="16"/>
      <c r="T63" s="16" t="str">
        <f t="shared" ca="1" si="190"/>
        <v>P.2 (2)</v>
      </c>
      <c r="U63" s="16" t="str">
        <f t="shared" ca="1" si="191"/>
        <v>P.2 (2)</v>
      </c>
      <c r="V63" s="17"/>
      <c r="W63" s="620"/>
      <c r="X63" s="24">
        <f ca="1">Horarios!C63</f>
        <v>46194.75</v>
      </c>
      <c r="Y63" s="25">
        <f ca="1">Horarios!C63</f>
        <v>46194.75</v>
      </c>
      <c r="Z63" s="26" t="str">
        <f>$Z$6</f>
        <v>J2</v>
      </c>
      <c r="AA63" s="27" t="str">
        <f ca="1">A64</f>
        <v>Uruguay</v>
      </c>
      <c r="AB63" s="49" t="str">
        <f t="array" aca="1" ref="AB63" ca="1">Ver_flag_local</f>
        <v/>
      </c>
      <c r="AC63" s="50">
        <v>2</v>
      </c>
      <c r="AD63" s="51">
        <v>2</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2</v>
      </c>
      <c r="AN63" s="39">
        <f t="shared" ca="1" si="195"/>
        <v>2</v>
      </c>
      <c r="AO63" s="39">
        <f t="shared" ca="1" si="195"/>
        <v>0</v>
      </c>
      <c r="AP63" s="39">
        <f t="shared" ca="1" si="195"/>
        <v>2</v>
      </c>
      <c r="AQ63" s="39">
        <f t="shared" ca="1" si="195"/>
        <v>0</v>
      </c>
      <c r="AR63" s="39">
        <f t="shared" ca="1" si="195"/>
        <v>3</v>
      </c>
      <c r="AS63" s="39">
        <f t="shared" ca="1" si="195"/>
        <v>3</v>
      </c>
      <c r="AT63" s="43">
        <f t="shared" ca="1" si="195"/>
        <v>0</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2</v>
      </c>
      <c r="BG63" s="16">
        <f t="shared" ca="1" si="174"/>
        <v>1</v>
      </c>
      <c r="BH63" s="16">
        <f t="shared" ca="1" si="175"/>
        <v>0</v>
      </c>
      <c r="BI63" s="16">
        <f t="shared" ca="1" si="176"/>
        <v>1</v>
      </c>
      <c r="BJ63" s="16">
        <f t="shared" ca="1" si="177"/>
        <v>6</v>
      </c>
      <c r="BK63" s="16">
        <f t="shared" ca="1" si="178"/>
        <v>6</v>
      </c>
      <c r="BL63" s="16">
        <f t="shared" ca="1" si="151"/>
        <v>0</v>
      </c>
      <c r="BM63" s="16">
        <f t="shared" ca="1" si="152"/>
        <v>1</v>
      </c>
      <c r="BN63" s="16">
        <f t="shared" ca="1" si="153"/>
        <v>1</v>
      </c>
      <c r="BO63" s="16" t="str">
        <f t="shared" si="154"/>
        <v>4F</v>
      </c>
      <c r="BP63" s="16"/>
      <c r="BQ63" s="16"/>
      <c r="BR63" s="16">
        <f t="shared" ca="1" si="155"/>
        <v>3</v>
      </c>
      <c r="BS63" s="16">
        <f t="shared" ca="1" si="156"/>
        <v>1</v>
      </c>
      <c r="BT63" s="16" t="str">
        <f t="shared" ca="1" si="157"/>
        <v>Pos. 1 (5)</v>
      </c>
      <c r="BU63" s="16">
        <f t="shared" ca="1" si="158"/>
        <v>0</v>
      </c>
      <c r="BV63" s="16">
        <f t="shared" ca="1" si="159"/>
        <v>1</v>
      </c>
      <c r="BW63" s="16" t="str">
        <f t="shared" ca="1" si="160"/>
        <v>Pos. 1 (2)</v>
      </c>
      <c r="BX63" s="16">
        <f t="shared" ca="1" si="161"/>
        <v>6</v>
      </c>
      <c r="BY63" s="16">
        <f t="shared" ca="1" si="162"/>
        <v>1</v>
      </c>
      <c r="BZ63" s="16" t="str">
        <f t="shared" ca="1" si="163"/>
        <v>-</v>
      </c>
      <c r="CA63" s="16" t="str">
        <f t="shared" ca="1" si="164"/>
        <v>-</v>
      </c>
      <c r="CB63" s="16">
        <f t="shared" ca="1" si="165"/>
        <v>1</v>
      </c>
      <c r="CC63" s="16"/>
      <c r="CD63" s="16">
        <f t="shared" ca="1" si="166"/>
        <v>1</v>
      </c>
      <c r="CE63" s="16" t="str">
        <f t="shared" ca="1" si="167"/>
        <v>-</v>
      </c>
      <c r="CF63" s="16">
        <f t="shared" ca="1" si="168"/>
        <v>1</v>
      </c>
      <c r="DJ63" s="16">
        <f t="shared" ca="1" si="169"/>
        <v>6</v>
      </c>
      <c r="DK63" s="16"/>
      <c r="DL63" s="16">
        <f t="shared" ca="1" si="170"/>
        <v>1</v>
      </c>
      <c r="DM63" s="16" t="str">
        <f t="shared" ca="1" si="171"/>
        <v>6.1</v>
      </c>
      <c r="DN63" s="16">
        <f t="array" aca="1" ref="DN63" ca="1">OFFSET(Horarios!$P$3,DJ63-1,0,DL63,1)</f>
        <v>6</v>
      </c>
      <c r="DO63" s="16"/>
      <c r="DP63" s="16">
        <v>6</v>
      </c>
      <c r="DQ63" s="16" t="str">
        <f t="shared" ca="1" si="172"/>
        <v>Cabo Verde</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0"/>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Cabo Verde</v>
      </c>
      <c r="AM64" s="38">
        <f t="shared" ca="1" si="195"/>
        <v>2</v>
      </c>
      <c r="AN64" s="39">
        <f t="shared" ca="1" si="195"/>
        <v>2</v>
      </c>
      <c r="AO64" s="39">
        <f t="shared" ca="1" si="195"/>
        <v>0</v>
      </c>
      <c r="AP64" s="39">
        <f t="shared" ca="1" si="195"/>
        <v>2</v>
      </c>
      <c r="AQ64" s="39">
        <f t="shared" ca="1" si="195"/>
        <v>0</v>
      </c>
      <c r="AR64" s="39">
        <f t="shared" ca="1" si="195"/>
        <v>2</v>
      </c>
      <c r="AS64" s="39">
        <f t="shared" ca="1" si="195"/>
        <v>2</v>
      </c>
      <c r="AT64" s="43">
        <f t="shared" ca="1" si="195"/>
        <v>0</v>
      </c>
      <c r="AU64" s="323">
        <f ca="1">INDEX($DL$6:$DL$53,MATCH(AI64,$DP$6:$DP$53,0))</f>
        <v>1</v>
      </c>
      <c r="AV64" s="182" t="str">
        <f ca="1">INDEX($BD$6:$BD$53,MATCH(AI64,$BM$6:$BM$53,0))</f>
        <v>Cabo Verde</v>
      </c>
      <c r="AW64" s="210"/>
      <c r="AX64" s="171"/>
      <c r="AY64" s="201" t="str">
        <f ca="1">+A63</f>
        <v>Arabia Saudita</v>
      </c>
      <c r="AZ64" s="202"/>
      <c r="BA64" s="176"/>
      <c r="BB64" s="16" t="str">
        <f t="shared" si="173"/>
        <v>3G</v>
      </c>
      <c r="BC64" s="16" t="s">
        <v>121</v>
      </c>
      <c r="BD64" s="16" t="str">
        <f t="shared" ca="1" si="149"/>
        <v>Bélgica</v>
      </c>
      <c r="BE64" s="16">
        <f t="shared" ca="1" si="193"/>
        <v>2</v>
      </c>
      <c r="BF64" s="16">
        <f t="shared" ca="1" si="150"/>
        <v>2</v>
      </c>
      <c r="BG64" s="16">
        <f t="shared" ca="1" si="174"/>
        <v>0</v>
      </c>
      <c r="BH64" s="16">
        <f t="shared" ca="1" si="175"/>
        <v>2</v>
      </c>
      <c r="BI64" s="16">
        <f t="shared" ca="1" si="176"/>
        <v>0</v>
      </c>
      <c r="BJ64" s="16">
        <f t="shared" ca="1" si="177"/>
        <v>1</v>
      </c>
      <c r="BK64" s="16">
        <f t="shared" ca="1" si="178"/>
        <v>1</v>
      </c>
      <c r="BL64" s="16">
        <f t="shared" ca="1" si="151"/>
        <v>0</v>
      </c>
      <c r="BM64" s="16">
        <f t="shared" ca="1" si="152"/>
        <v>7</v>
      </c>
      <c r="BN64" s="16">
        <f t="shared" ca="1" si="153"/>
        <v>7</v>
      </c>
      <c r="BO64" s="16" t="str">
        <f t="shared" si="154"/>
        <v>4G</v>
      </c>
      <c r="BP64" s="16"/>
      <c r="BQ64" s="16"/>
      <c r="BR64" s="16">
        <f t="shared" ca="1" si="155"/>
        <v>2</v>
      </c>
      <c r="BS64" s="16">
        <f t="shared" ca="1" si="156"/>
        <v>6</v>
      </c>
      <c r="BT64" s="16" t="str">
        <f t="shared" ca="1" si="157"/>
        <v>Pos. 6 (2)</v>
      </c>
      <c r="BU64" s="16">
        <f t="shared" ca="1" si="158"/>
        <v>0</v>
      </c>
      <c r="BV64" s="16">
        <f t="shared" ca="1" si="159"/>
        <v>6</v>
      </c>
      <c r="BW64" s="16" t="str">
        <f t="shared" ca="1" si="160"/>
        <v>Pos. 6 (2)</v>
      </c>
      <c r="BX64" s="16">
        <f t="shared" ca="1" si="161"/>
        <v>1</v>
      </c>
      <c r="BY64" s="16">
        <f t="shared" ca="1" si="162"/>
        <v>7</v>
      </c>
      <c r="BZ64" s="16" t="str">
        <f t="shared" ca="1" si="163"/>
        <v>-</v>
      </c>
      <c r="CA64" s="16" t="str">
        <f t="shared" ca="1" si="164"/>
        <v>-</v>
      </c>
      <c r="CB64" s="16">
        <f t="shared" ca="1" si="165"/>
        <v>7</v>
      </c>
      <c r="CC64" s="16"/>
      <c r="CD64" s="16">
        <f t="shared" ca="1" si="166"/>
        <v>7</v>
      </c>
      <c r="CE64" s="16" t="str">
        <f t="shared" ca="1" si="167"/>
        <v>-</v>
      </c>
      <c r="CF64" s="16">
        <f t="shared" ca="1" si="168"/>
        <v>7</v>
      </c>
      <c r="DJ64" s="16">
        <f t="shared" ca="1" si="169"/>
        <v>7</v>
      </c>
      <c r="DK64" s="16"/>
      <c r="DL64" s="16">
        <f t="shared" ca="1" si="170"/>
        <v>1</v>
      </c>
      <c r="DM64" s="16" t="str">
        <f t="shared" ca="1" si="171"/>
        <v>7.1</v>
      </c>
      <c r="DN64" s="16">
        <f t="array" aca="1" ref="DN64" ca="1">OFFSET(Horarios!$P$3,DJ64-1,0,DL64,1)</f>
        <v>7</v>
      </c>
      <c r="DO64" s="16"/>
      <c r="DP64" s="16">
        <v>7</v>
      </c>
      <c r="DQ64" s="16" t="str">
        <f t="shared" ca="1" si="172"/>
        <v>Bélgica</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1"/>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Arabia Saudita</v>
      </c>
      <c r="AM65" s="46">
        <f t="shared" ca="1" si="195"/>
        <v>1</v>
      </c>
      <c r="AN65" s="47">
        <f t="shared" ca="1" si="195"/>
        <v>2</v>
      </c>
      <c r="AO65" s="47">
        <f t="shared" ca="1" si="195"/>
        <v>0</v>
      </c>
      <c r="AP65" s="47">
        <f t="shared" ca="1" si="195"/>
        <v>1</v>
      </c>
      <c r="AQ65" s="47">
        <f t="shared" ca="1" si="195"/>
        <v>1</v>
      </c>
      <c r="AR65" s="47">
        <f t="shared" ca="1" si="195"/>
        <v>1</v>
      </c>
      <c r="AS65" s="47">
        <f t="shared" ca="1" si="195"/>
        <v>5</v>
      </c>
      <c r="AT65" s="48">
        <f t="shared" ca="1" si="195"/>
        <v>-4</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Cabo Verde</v>
      </c>
      <c r="BE65" s="16">
        <f t="shared" ca="1" si="193"/>
        <v>2</v>
      </c>
      <c r="BF65" s="16">
        <f t="shared" ca="1" si="150"/>
        <v>2</v>
      </c>
      <c r="BG65" s="16">
        <f t="shared" ca="1" si="174"/>
        <v>0</v>
      </c>
      <c r="BH65" s="16">
        <f t="shared" ca="1" si="175"/>
        <v>2</v>
      </c>
      <c r="BI65" s="16">
        <f t="shared" ca="1" si="176"/>
        <v>0</v>
      </c>
      <c r="BJ65" s="16">
        <f t="shared" ca="1" si="177"/>
        <v>2</v>
      </c>
      <c r="BK65" s="16">
        <f t="shared" ca="1" si="178"/>
        <v>2</v>
      </c>
      <c r="BL65" s="16">
        <f t="shared" ca="1" si="151"/>
        <v>0</v>
      </c>
      <c r="BM65" s="16">
        <f t="shared" ca="1" si="152"/>
        <v>6</v>
      </c>
      <c r="BN65" s="16">
        <f t="shared" ca="1" si="153"/>
        <v>6</v>
      </c>
      <c r="BO65" s="16" t="str">
        <f t="shared" si="154"/>
        <v>4H</v>
      </c>
      <c r="BP65" s="16"/>
      <c r="BQ65" s="16"/>
      <c r="BR65" s="16">
        <f t="shared" ca="1" si="155"/>
        <v>2</v>
      </c>
      <c r="BS65" s="16">
        <f t="shared" ca="1" si="156"/>
        <v>6</v>
      </c>
      <c r="BT65" s="16" t="str">
        <f t="shared" ca="1" si="157"/>
        <v>Pos. 6 (2)</v>
      </c>
      <c r="BU65" s="16">
        <f t="shared" ca="1" si="158"/>
        <v>0</v>
      </c>
      <c r="BV65" s="16">
        <f t="shared" ca="1" si="159"/>
        <v>6</v>
      </c>
      <c r="BW65" s="16" t="str">
        <f t="shared" ca="1" si="160"/>
        <v>Pos. 6 (2)</v>
      </c>
      <c r="BX65" s="16">
        <f t="shared" ca="1" si="161"/>
        <v>2</v>
      </c>
      <c r="BY65" s="16">
        <f t="shared" ca="1" si="162"/>
        <v>6</v>
      </c>
      <c r="BZ65" s="16" t="str">
        <f t="shared" ca="1" si="163"/>
        <v>-</v>
      </c>
      <c r="CA65" s="16" t="str">
        <f t="shared" ca="1" si="164"/>
        <v>-</v>
      </c>
      <c r="CB65" s="16">
        <f t="shared" ca="1" si="165"/>
        <v>6</v>
      </c>
      <c r="CC65" s="16"/>
      <c r="CD65" s="16">
        <f t="shared" ca="1" si="166"/>
        <v>6</v>
      </c>
      <c r="CE65" s="16" t="str">
        <f t="shared" ca="1" si="167"/>
        <v>-</v>
      </c>
      <c r="CF65" s="16">
        <f t="shared" ca="1" si="168"/>
        <v>6</v>
      </c>
      <c r="DJ65" s="16">
        <f t="shared" ca="1" si="169"/>
        <v>8</v>
      </c>
      <c r="DK65" s="16"/>
      <c r="DL65" s="16">
        <f t="shared" ca="1" si="170"/>
        <v>1</v>
      </c>
      <c r="DM65" s="16" t="str">
        <f t="shared" ca="1" si="171"/>
        <v>8.1</v>
      </c>
      <c r="DN65" s="16">
        <f t="array" aca="1" ref="DN65" ca="1">OFFSET(Horarios!$P$3,DJ65-1,0,DL65,1)</f>
        <v>8</v>
      </c>
      <c r="DO65" s="16"/>
      <c r="DP65" s="16">
        <v>8</v>
      </c>
      <c r="DQ65" s="16" t="str">
        <f t="shared" ca="1" si="172"/>
        <v>República Checa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0</v>
      </c>
      <c r="BF66" s="16">
        <f t="shared" ca="1" si="150"/>
        <v>2</v>
      </c>
      <c r="BG66" s="16">
        <f t="shared" ca="1" si="174"/>
        <v>0</v>
      </c>
      <c r="BH66" s="16">
        <f t="shared" ca="1" si="175"/>
        <v>0</v>
      </c>
      <c r="BI66" s="16">
        <f t="shared" ca="1" si="176"/>
        <v>2</v>
      </c>
      <c r="BJ66" s="16">
        <f t="shared" ca="1" si="177"/>
        <v>3</v>
      </c>
      <c r="BK66" s="16">
        <f t="shared" ca="1" si="178"/>
        <v>6</v>
      </c>
      <c r="BL66" s="16">
        <f t="shared" ca="1" si="151"/>
        <v>-3</v>
      </c>
      <c r="BM66" s="16">
        <f t="shared" ca="1" si="152"/>
        <v>12</v>
      </c>
      <c r="BN66" s="16">
        <f t="shared" ca="1" si="153"/>
        <v>12</v>
      </c>
      <c r="BO66" s="16" t="str">
        <f t="shared" si="154"/>
        <v>4I</v>
      </c>
      <c r="BP66" s="16"/>
      <c r="BQ66" s="16"/>
      <c r="BR66" s="16">
        <f t="shared" ca="1" si="155"/>
        <v>0</v>
      </c>
      <c r="BS66" s="16">
        <f t="shared" ca="1" si="156"/>
        <v>12</v>
      </c>
      <c r="BT66" s="16" t="str">
        <f t="shared" ca="1" si="157"/>
        <v>-</v>
      </c>
      <c r="BU66" s="16" t="str">
        <f t="shared" ca="1" si="158"/>
        <v>-</v>
      </c>
      <c r="BV66" s="16">
        <f t="shared" ca="1" si="159"/>
        <v>12</v>
      </c>
      <c r="BW66" s="16" t="str">
        <f t="shared" ca="1" si="160"/>
        <v>-</v>
      </c>
      <c r="BX66" s="16" t="str">
        <f t="shared" ca="1" si="161"/>
        <v>-</v>
      </c>
      <c r="BY66" s="16">
        <f t="shared" ca="1" si="162"/>
        <v>12</v>
      </c>
      <c r="BZ66" s="16" t="str">
        <f t="shared" ca="1" si="163"/>
        <v>-</v>
      </c>
      <c r="CA66" s="16" t="str">
        <f t="shared" ca="1" si="164"/>
        <v>-</v>
      </c>
      <c r="CB66" s="16">
        <f t="shared" ca="1" si="165"/>
        <v>12</v>
      </c>
      <c r="CC66" s="16"/>
      <c r="CD66" s="16">
        <f t="shared" ca="1" si="166"/>
        <v>12</v>
      </c>
      <c r="CE66" s="16" t="str">
        <f t="shared" ca="1" si="167"/>
        <v>-</v>
      </c>
      <c r="CF66" s="16">
        <f t="shared" ca="1" si="168"/>
        <v>12</v>
      </c>
      <c r="DJ66" s="16">
        <f t="shared" ca="1" si="169"/>
        <v>9</v>
      </c>
      <c r="DK66" s="16"/>
      <c r="DL66" s="16">
        <f t="shared" ca="1" si="170"/>
        <v>1</v>
      </c>
      <c r="DM66" s="16" t="str">
        <f t="shared" ca="1" si="171"/>
        <v>9.1</v>
      </c>
      <c r="DN66" s="16">
        <f t="array" aca="1" ref="DN66" ca="1">OFFSET(Horarios!$P$3,DJ66-1,0,DL66,1)</f>
        <v>9</v>
      </c>
      <c r="DO66" s="16"/>
      <c r="DP66" s="16">
        <v>9</v>
      </c>
      <c r="DQ66" s="16" t="str">
        <f t="shared" ca="1" si="172"/>
        <v>RD Congo</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3</v>
      </c>
      <c r="BF67" s="16">
        <f t="shared" ca="1" si="150"/>
        <v>2</v>
      </c>
      <c r="BG67" s="16">
        <f t="shared" ca="1" si="174"/>
        <v>1</v>
      </c>
      <c r="BH67" s="16">
        <f t="shared" ca="1" si="175"/>
        <v>0</v>
      </c>
      <c r="BI67" s="16">
        <f t="shared" ca="1" si="176"/>
        <v>1</v>
      </c>
      <c r="BJ67" s="16">
        <f t="shared" ca="1" si="177"/>
        <v>2</v>
      </c>
      <c r="BK67" s="16">
        <f t="shared" ca="1" si="178"/>
        <v>4</v>
      </c>
      <c r="BL67" s="16">
        <f t="shared" ca="1" si="151"/>
        <v>-2</v>
      </c>
      <c r="BM67" s="16">
        <f t="shared" ca="1" si="152"/>
        <v>4</v>
      </c>
      <c r="BN67" s="16">
        <f t="shared" ca="1" si="153"/>
        <v>4</v>
      </c>
      <c r="BO67" s="16" t="str">
        <f t="shared" si="154"/>
        <v>4J</v>
      </c>
      <c r="BP67" s="16"/>
      <c r="BQ67" s="16"/>
      <c r="BR67" s="16">
        <f t="shared" ca="1" si="155"/>
        <v>3</v>
      </c>
      <c r="BS67" s="16">
        <f t="shared" ca="1" si="156"/>
        <v>1</v>
      </c>
      <c r="BT67" s="16" t="str">
        <f t="shared" ca="1" si="157"/>
        <v>Pos. 1 (5)</v>
      </c>
      <c r="BU67" s="16">
        <f t="shared" ca="1" si="158"/>
        <v>-2</v>
      </c>
      <c r="BV67" s="16">
        <f t="shared" ca="1" si="159"/>
        <v>4</v>
      </c>
      <c r="BW67" s="16" t="str">
        <f t="shared" ca="1" si="160"/>
        <v>Pos. 4 (2)</v>
      </c>
      <c r="BX67" s="16">
        <f t="shared" ca="1" si="161"/>
        <v>2</v>
      </c>
      <c r="BY67" s="16">
        <f t="shared" ca="1" si="162"/>
        <v>4</v>
      </c>
      <c r="BZ67" s="16" t="str">
        <f t="shared" ca="1" si="163"/>
        <v>Pos. 4 (2)</v>
      </c>
      <c r="CA67" s="16">
        <f t="shared" ca="1" si="164"/>
        <v>11</v>
      </c>
      <c r="CB67" s="16">
        <f t="shared" ca="1" si="165"/>
        <v>4</v>
      </c>
      <c r="CC67" s="16"/>
      <c r="CD67" s="16">
        <f t="shared" ca="1" si="166"/>
        <v>4</v>
      </c>
      <c r="CE67" s="16">
        <f t="shared" ca="1" si="167"/>
        <v>3</v>
      </c>
      <c r="CF67" s="16">
        <f t="shared" ca="1" si="168"/>
        <v>4</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Ecuador</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P.1 (2)</v>
      </c>
      <c r="F68" s="16" t="str">
        <f t="shared" ref="F68:F73" ca="1" si="198">IF(D68="Pendiente","-",INDEX($BT$6:$BT$53,MATCH($AF68,$BD$6:$BD$53,0)))</f>
        <v>P.3 (2)</v>
      </c>
      <c r="G68" s="16"/>
      <c r="H68" s="16" t="str">
        <f t="shared" ref="H68:H73" ca="1" si="199">IF(D68="Pendiente","-",INDEX($BZ$6:$BZ$53,MATCH($AA68,$BD$6:$BD$53,0)))</f>
        <v>P.1 (2)</v>
      </c>
      <c r="I68" s="16" t="str">
        <f t="shared" ref="I68:I73" ca="1" si="200">IF(D68="Pendiente","-",INDEX($BZ$6:$BZ$53,MATCH($AF68,$BD$6:$BD$53,0)))</f>
        <v>P.3 (2)</v>
      </c>
      <c r="J68" s="16"/>
      <c r="K68" s="16" t="str">
        <f t="shared" ref="K68:K73" ca="1" si="201">IF(D68="Pendiente","-",INDEX($CE$6:$CE$53,MATCH($AA68,$BD$6:$BD$53,0)))</f>
        <v>P.1 (2)</v>
      </c>
      <c r="L68" s="16" t="str">
        <f t="shared" ref="L68:L73" ca="1" si="202">IF(D68="Pendiente","-",INDEX($CE$6:$CE$53,MATCH($AF68,$BD$6:$BD$53,0)))</f>
        <v>P.3 (2)</v>
      </c>
      <c r="M68" s="16"/>
      <c r="N68" s="16" t="str">
        <f t="shared" ref="N68:N73" ca="1" si="203">IF(D68="Pendiente","-",INDEX($CH$6:$CH$53,MATCH($AA68,$BD$6:$BD$53,0)))</f>
        <v>P.1 (2)</v>
      </c>
      <c r="O68" s="16" t="str">
        <f t="shared" ref="O68:O73" ca="1" si="204">IF(D68="Pendiente","-",INDEX($CH$6:$CH$53,MATCH($AF68,$BD$6:$BD$53,0)))</f>
        <v>P.3 (2)</v>
      </c>
      <c r="P68" s="16"/>
      <c r="Q68" s="16" t="str">
        <f t="shared" ref="Q68:Q73" ca="1" si="205">IF(D68="Pendiente","-",INDEX($CN$6:$CN$53,MATCH($AA68,$BD$6:$BD$53,0)))</f>
        <v>P.1 (2)</v>
      </c>
      <c r="R68" s="16" t="str">
        <f t="shared" ref="R68:R73" ca="1" si="206">IF(D68="Pendiente","-",INDEX($CN$6:$CN$53,MATCH($AF68,$BD$6:$BD$53,0)))</f>
        <v>P.3 (2)</v>
      </c>
      <c r="S68" s="16"/>
      <c r="T68" s="16" t="str">
        <f t="shared" ref="T68:T73" ca="1" si="207">IF(D68="Pendiente","-",INDEX($CS$6:$CS$53,MATCH($AA68,$BD$6:$BD$53,0)))</f>
        <v>P.1 (2)</v>
      </c>
      <c r="U68" s="16" t="str">
        <f t="shared" ref="U68:U73" ca="1" si="208">IF(D68="Pendiente","-",INDEX($CS$6:$CS$53,MATCH($AF68,$BD$6:$BD$53,0)))</f>
        <v>P.3 (2)</v>
      </c>
      <c r="V68" s="17"/>
      <c r="W68" s="640"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1</v>
      </c>
      <c r="BF68" s="16">
        <f t="shared" ca="1" si="150"/>
        <v>2</v>
      </c>
      <c r="BG68" s="16">
        <f t="shared" ca="1" si="174"/>
        <v>0</v>
      </c>
      <c r="BH68" s="16">
        <f t="shared" ca="1" si="175"/>
        <v>1</v>
      </c>
      <c r="BI68" s="16">
        <f t="shared" ca="1" si="176"/>
        <v>1</v>
      </c>
      <c r="BJ68" s="16">
        <f t="shared" ca="1" si="177"/>
        <v>1</v>
      </c>
      <c r="BK68" s="16">
        <f t="shared" ca="1" si="178"/>
        <v>2</v>
      </c>
      <c r="BL68" s="16">
        <f t="shared" ca="1" si="151"/>
        <v>-1</v>
      </c>
      <c r="BM68" s="16">
        <f t="shared" ca="1" si="152"/>
        <v>9</v>
      </c>
      <c r="BN68" s="16">
        <f t="shared" ca="1" si="153"/>
        <v>9</v>
      </c>
      <c r="BO68" s="16" t="str">
        <f t="shared" si="154"/>
        <v>4K</v>
      </c>
      <c r="BP68" s="16"/>
      <c r="BQ68" s="16"/>
      <c r="BR68" s="16">
        <f t="shared" ca="1" si="155"/>
        <v>1</v>
      </c>
      <c r="BS68" s="16">
        <f t="shared" ca="1" si="156"/>
        <v>8</v>
      </c>
      <c r="BT68" s="16" t="str">
        <f t="shared" ca="1" si="157"/>
        <v>Pos. 8 (4)</v>
      </c>
      <c r="BU68" s="16">
        <f t="shared" ca="1" si="158"/>
        <v>-1</v>
      </c>
      <c r="BV68" s="16">
        <f t="shared" ca="1" si="159"/>
        <v>8</v>
      </c>
      <c r="BW68" s="16" t="str">
        <f t="shared" ca="1" si="160"/>
        <v>Pos. 8 (3)</v>
      </c>
      <c r="BX68" s="16">
        <f t="shared" ca="1" si="161"/>
        <v>1</v>
      </c>
      <c r="BY68" s="16">
        <f t="shared" ca="1" si="162"/>
        <v>9</v>
      </c>
      <c r="BZ68" s="16" t="str">
        <f t="shared" ca="1" si="163"/>
        <v>-</v>
      </c>
      <c r="CA68" s="16" t="str">
        <f t="shared" ca="1" si="164"/>
        <v>-</v>
      </c>
      <c r="CB68" s="16">
        <f t="shared" ca="1" si="165"/>
        <v>9</v>
      </c>
      <c r="CC68" s="16"/>
      <c r="CD68" s="16">
        <f t="shared" ca="1" si="166"/>
        <v>9</v>
      </c>
      <c r="CE68" s="16" t="str">
        <f t="shared" ca="1" si="167"/>
        <v>-</v>
      </c>
      <c r="CF68" s="16">
        <f t="shared" ca="1" si="168"/>
        <v>9</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Bosnia y Herzegovina</v>
      </c>
    </row>
    <row r="69" spans="1:121" ht="16" customHeight="1" x14ac:dyDescent="0.2">
      <c r="A69" s="16" t="str">
        <f ca="1">+Equipos!B34</f>
        <v>Francia</v>
      </c>
      <c r="B69" s="16"/>
      <c r="C69" s="16"/>
      <c r="D69" s="16" t="str">
        <f t="shared" si="196"/>
        <v>Visitante</v>
      </c>
      <c r="E69" s="16" t="str">
        <f t="shared" ca="1" si="197"/>
        <v>P.3 (2)</v>
      </c>
      <c r="F69" s="16" t="str">
        <f t="shared" ca="1" si="198"/>
        <v>P.1 (2)</v>
      </c>
      <c r="G69" s="16"/>
      <c r="H69" s="16" t="str">
        <f t="shared" ca="1" si="199"/>
        <v>P.3 (2)</v>
      </c>
      <c r="I69" s="16" t="str">
        <f t="shared" ca="1" si="200"/>
        <v>P.1 (2)</v>
      </c>
      <c r="J69" s="16"/>
      <c r="K69" s="16" t="str">
        <f t="shared" ca="1" si="201"/>
        <v>P.3 (2)</v>
      </c>
      <c r="L69" s="16" t="str">
        <f t="shared" ca="1" si="202"/>
        <v>P.1 (2)</v>
      </c>
      <c r="M69" s="16"/>
      <c r="N69" s="16" t="str">
        <f t="shared" ca="1" si="203"/>
        <v>P.3 (2)</v>
      </c>
      <c r="O69" s="16" t="str">
        <f t="shared" ca="1" si="204"/>
        <v>P.1 (2)</v>
      </c>
      <c r="P69" s="16"/>
      <c r="Q69" s="16" t="str">
        <f t="shared" ca="1" si="205"/>
        <v>P.3 (2)</v>
      </c>
      <c r="R69" s="16" t="str">
        <f t="shared" ca="1" si="206"/>
        <v>P.1 (2)</v>
      </c>
      <c r="S69" s="16"/>
      <c r="T69" s="16" t="str">
        <f t="shared" ca="1" si="207"/>
        <v>P.3 (2)</v>
      </c>
      <c r="U69" s="16" t="str">
        <f t="shared" ca="1" si="208"/>
        <v>P.1 (2)</v>
      </c>
      <c r="V69" s="17"/>
      <c r="W69" s="620"/>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Croacia</v>
      </c>
      <c r="BE69" s="16">
        <f t="shared" ca="1" si="193"/>
        <v>3</v>
      </c>
      <c r="BF69" s="16">
        <f t="shared" ca="1" si="150"/>
        <v>2</v>
      </c>
      <c r="BG69" s="16">
        <f t="shared" ca="1" si="174"/>
        <v>1</v>
      </c>
      <c r="BH69" s="16">
        <f t="shared" ca="1" si="175"/>
        <v>0</v>
      </c>
      <c r="BI69" s="16">
        <f t="shared" ca="1" si="176"/>
        <v>1</v>
      </c>
      <c r="BJ69" s="16">
        <f t="shared" ca="1" si="177"/>
        <v>3</v>
      </c>
      <c r="BK69" s="16">
        <f t="shared" ca="1" si="178"/>
        <v>4</v>
      </c>
      <c r="BL69" s="16">
        <f t="shared" ca="1" si="151"/>
        <v>-1</v>
      </c>
      <c r="BM69" s="16">
        <f t="shared" ca="1" si="152"/>
        <v>3</v>
      </c>
      <c r="BN69" s="16">
        <f t="shared" ca="1" si="153"/>
        <v>3</v>
      </c>
      <c r="BO69" s="16" t="str">
        <f t="shared" si="154"/>
        <v>4L</v>
      </c>
      <c r="BP69" s="16"/>
      <c r="BQ69" s="16"/>
      <c r="BR69" s="16">
        <f t="shared" ca="1" si="155"/>
        <v>3</v>
      </c>
      <c r="BS69" s="16">
        <f t="shared" ca="1" si="156"/>
        <v>1</v>
      </c>
      <c r="BT69" s="16" t="str">
        <f t="shared" ca="1" si="157"/>
        <v>Pos. 1 (5)</v>
      </c>
      <c r="BU69" s="16">
        <f t="shared" ca="1" si="158"/>
        <v>-1</v>
      </c>
      <c r="BV69" s="16">
        <f t="shared" ca="1" si="159"/>
        <v>3</v>
      </c>
      <c r="BW69" s="16" t="str">
        <f t="shared" ca="1" si="160"/>
        <v>-</v>
      </c>
      <c r="BX69" s="16" t="str">
        <f t="shared" ca="1" si="161"/>
        <v>-</v>
      </c>
      <c r="BY69" s="16">
        <f t="shared" ca="1" si="162"/>
        <v>3</v>
      </c>
      <c r="BZ69" s="16" t="str">
        <f t="shared" ca="1" si="163"/>
        <v>-</v>
      </c>
      <c r="CA69" s="16" t="str">
        <f t="shared" ca="1" si="164"/>
        <v>-</v>
      </c>
      <c r="CB69" s="16">
        <f t="shared" ca="1" si="165"/>
        <v>3</v>
      </c>
      <c r="CC69" s="16"/>
      <c r="CD69" s="16">
        <f t="shared" ca="1" si="166"/>
        <v>3</v>
      </c>
      <c r="CE69" s="16" t="str">
        <f t="shared" ca="1" si="167"/>
        <v>-</v>
      </c>
      <c r="CF69" s="16">
        <f t="shared" ca="1" si="168"/>
        <v>3</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Senegal</v>
      </c>
    </row>
    <row r="70" spans="1:121" ht="16" customHeight="1" x14ac:dyDescent="0.2">
      <c r="A70" s="16" t="str">
        <f ca="1">+Equipos!B35</f>
        <v>Senegal</v>
      </c>
      <c r="B70" s="16"/>
      <c r="C70" s="16"/>
      <c r="D70" s="16" t="str">
        <f t="shared" si="196"/>
        <v>Local</v>
      </c>
      <c r="E70" s="16" t="str">
        <f t="shared" ca="1" si="197"/>
        <v>P.1 (2)</v>
      </c>
      <c r="F70" s="16" t="str">
        <f t="shared" ca="1" si="198"/>
        <v>P.3 (2)</v>
      </c>
      <c r="G70" s="16"/>
      <c r="H70" s="16" t="str">
        <f t="shared" ca="1" si="199"/>
        <v>P.1 (2)</v>
      </c>
      <c r="I70" s="16" t="str">
        <f t="shared" ca="1" si="200"/>
        <v>P.3 (2)</v>
      </c>
      <c r="J70" s="16"/>
      <c r="K70" s="16" t="str">
        <f t="shared" ca="1" si="201"/>
        <v>P.1 (2)</v>
      </c>
      <c r="L70" s="16" t="str">
        <f t="shared" ca="1" si="202"/>
        <v>P.3 (2)</v>
      </c>
      <c r="M70" s="16"/>
      <c r="N70" s="16" t="str">
        <f t="shared" ca="1" si="203"/>
        <v>P.1 (2)</v>
      </c>
      <c r="O70" s="16" t="str">
        <f t="shared" ca="1" si="204"/>
        <v>P.3 (2)</v>
      </c>
      <c r="P70" s="16"/>
      <c r="Q70" s="16" t="str">
        <f t="shared" ca="1" si="205"/>
        <v>P.1 (2)</v>
      </c>
      <c r="R70" s="16" t="str">
        <f t="shared" ca="1" si="206"/>
        <v>P.3 (2)</v>
      </c>
      <c r="S70" s="16"/>
      <c r="T70" s="16" t="str">
        <f t="shared" ca="1" si="207"/>
        <v>P.1 (2)</v>
      </c>
      <c r="U70" s="16" t="str">
        <f t="shared" ca="1" si="208"/>
        <v>P.3 (2)</v>
      </c>
      <c r="V70" s="17"/>
      <c r="W70" s="620"/>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6</v>
      </c>
      <c r="AN70" s="36">
        <f t="shared" ca="1" si="211"/>
        <v>2</v>
      </c>
      <c r="AO70" s="36">
        <f t="shared" ca="1" si="211"/>
        <v>2</v>
      </c>
      <c r="AP70" s="36">
        <f t="shared" ca="1" si="211"/>
        <v>0</v>
      </c>
      <c r="AQ70" s="36">
        <f t="shared" ca="1" si="211"/>
        <v>0</v>
      </c>
      <c r="AR70" s="36">
        <f t="shared" ca="1" si="211"/>
        <v>6</v>
      </c>
      <c r="AS70" s="36">
        <f t="shared" ca="1" si="211"/>
        <v>1</v>
      </c>
      <c r="AT70" s="41">
        <f t="shared" ca="1" si="211"/>
        <v>5</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P.1 (2)</v>
      </c>
      <c r="F71" s="16" t="str">
        <f t="shared" ca="1" si="198"/>
        <v>P.3 (2)</v>
      </c>
      <c r="G71" s="16"/>
      <c r="H71" s="16" t="str">
        <f t="shared" ca="1" si="199"/>
        <v>P.1 (2)</v>
      </c>
      <c r="I71" s="16" t="str">
        <f t="shared" ca="1" si="200"/>
        <v>P.3 (2)</v>
      </c>
      <c r="J71" s="16"/>
      <c r="K71" s="16" t="str">
        <f t="shared" ca="1" si="201"/>
        <v>P.1 (2)</v>
      </c>
      <c r="L71" s="16" t="str">
        <f t="shared" ca="1" si="202"/>
        <v>P.3 (2)</v>
      </c>
      <c r="M71" s="16"/>
      <c r="N71" s="16" t="str">
        <f t="shared" ca="1" si="203"/>
        <v>P.1 (2)</v>
      </c>
      <c r="O71" s="16" t="str">
        <f t="shared" ca="1" si="204"/>
        <v>P.3 (2)</v>
      </c>
      <c r="P71" s="16"/>
      <c r="Q71" s="16" t="str">
        <f t="shared" ca="1" si="205"/>
        <v>P.1 (2)</v>
      </c>
      <c r="R71" s="16" t="str">
        <f t="shared" ca="1" si="206"/>
        <v>P.3 (2)</v>
      </c>
      <c r="S71" s="16"/>
      <c r="T71" s="16" t="str">
        <f t="shared" ca="1" si="207"/>
        <v>P.1 (2)</v>
      </c>
      <c r="U71" s="16" t="str">
        <f t="shared" ca="1" si="208"/>
        <v>P.3 (2)</v>
      </c>
      <c r="V71" s="17"/>
      <c r="W71" s="620"/>
      <c r="X71" s="24">
        <f ca="1">Horarios!C71</f>
        <v>46195.833333333343</v>
      </c>
      <c r="Y71" s="25">
        <f ca="1">Horarios!C71</f>
        <v>46195.833333333343</v>
      </c>
      <c r="Z71" s="26" t="str">
        <f>$Z$6</f>
        <v>J2</v>
      </c>
      <c r="AA71" s="27" t="str">
        <f ca="1">A72</f>
        <v>Noruega</v>
      </c>
      <c r="AB71" s="49" t="str">
        <f t="array" aca="1" ref="AB71" ca="1">Ver_flag_local</f>
        <v/>
      </c>
      <c r="AC71" s="50">
        <v>3</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6</v>
      </c>
      <c r="AN71" s="39">
        <f t="shared" ca="1" si="211"/>
        <v>2</v>
      </c>
      <c r="AO71" s="39">
        <f t="shared" ca="1" si="211"/>
        <v>2</v>
      </c>
      <c r="AP71" s="39">
        <f t="shared" ca="1" si="211"/>
        <v>0</v>
      </c>
      <c r="AQ71" s="39">
        <f t="shared" ca="1" si="211"/>
        <v>0</v>
      </c>
      <c r="AR71" s="39">
        <f t="shared" ca="1" si="211"/>
        <v>7</v>
      </c>
      <c r="AS71" s="39">
        <f t="shared" ca="1" si="211"/>
        <v>3</v>
      </c>
      <c r="AT71" s="43">
        <f t="shared" ca="1" si="211"/>
        <v>4</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0"/>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Senegal</v>
      </c>
      <c r="AM72" s="38">
        <f t="shared" ca="1" si="211"/>
        <v>0</v>
      </c>
      <c r="AN72" s="39">
        <f t="shared" ca="1" si="211"/>
        <v>2</v>
      </c>
      <c r="AO72" s="39">
        <f t="shared" ca="1" si="211"/>
        <v>0</v>
      </c>
      <c r="AP72" s="39">
        <f t="shared" ca="1" si="211"/>
        <v>0</v>
      </c>
      <c r="AQ72" s="39">
        <f t="shared" ca="1" si="211"/>
        <v>2</v>
      </c>
      <c r="AR72" s="39">
        <f t="shared" ca="1" si="211"/>
        <v>3</v>
      </c>
      <c r="AS72" s="39">
        <f t="shared" ca="1" si="211"/>
        <v>6</v>
      </c>
      <c r="AT72" s="43">
        <f t="shared" ca="1" si="211"/>
        <v>-3</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1"/>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2</v>
      </c>
      <c r="AO73" s="47">
        <f t="shared" ca="1" si="211"/>
        <v>0</v>
      </c>
      <c r="AP73" s="47">
        <f t="shared" ca="1" si="211"/>
        <v>0</v>
      </c>
      <c r="AQ73" s="47">
        <f t="shared" ca="1" si="211"/>
        <v>2</v>
      </c>
      <c r="AR73" s="47">
        <f t="shared" ca="1" si="211"/>
        <v>1</v>
      </c>
      <c r="AS73" s="47">
        <f t="shared" ca="1" si="211"/>
        <v>7</v>
      </c>
      <c r="AT73" s="48">
        <f t="shared" ca="1" si="211"/>
        <v>-6</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25"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0"/>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0"/>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6</v>
      </c>
      <c r="AN78" s="36">
        <f t="shared" ca="1" si="227"/>
        <v>2</v>
      </c>
      <c r="AO78" s="36">
        <f t="shared" ca="1" si="227"/>
        <v>2</v>
      </c>
      <c r="AP78" s="36">
        <f t="shared" ca="1" si="227"/>
        <v>0</v>
      </c>
      <c r="AQ78" s="36">
        <f t="shared" ca="1" si="227"/>
        <v>0</v>
      </c>
      <c r="AR78" s="36">
        <f t="shared" ca="1" si="227"/>
        <v>5</v>
      </c>
      <c r="AS78" s="36">
        <f t="shared" ca="1" si="227"/>
        <v>0</v>
      </c>
      <c r="AT78" s="41">
        <f t="shared" ca="1" si="227"/>
        <v>5</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0"/>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3</v>
      </c>
      <c r="AN79" s="39">
        <f t="shared" ca="1" si="227"/>
        <v>2</v>
      </c>
      <c r="AO79" s="39">
        <f t="shared" ca="1" si="227"/>
        <v>1</v>
      </c>
      <c r="AP79" s="39">
        <f t="shared" ca="1" si="227"/>
        <v>0</v>
      </c>
      <c r="AQ79" s="39">
        <f t="shared" ca="1" si="227"/>
        <v>1</v>
      </c>
      <c r="AR79" s="39">
        <f t="shared" ca="1" si="227"/>
        <v>3</v>
      </c>
      <c r="AS79" s="39">
        <f t="shared" ca="1" si="227"/>
        <v>3</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0"/>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Argelia</v>
      </c>
      <c r="AM80" s="38">
        <f t="shared" ca="1" si="227"/>
        <v>3</v>
      </c>
      <c r="AN80" s="39">
        <f t="shared" ca="1" si="227"/>
        <v>2</v>
      </c>
      <c r="AO80" s="39">
        <f t="shared" ca="1" si="227"/>
        <v>1</v>
      </c>
      <c r="AP80" s="39">
        <f t="shared" ca="1" si="227"/>
        <v>0</v>
      </c>
      <c r="AQ80" s="39">
        <f t="shared" ca="1" si="227"/>
        <v>1</v>
      </c>
      <c r="AR80" s="39">
        <f t="shared" ca="1" si="227"/>
        <v>2</v>
      </c>
      <c r="AS80" s="39">
        <f t="shared" ca="1" si="227"/>
        <v>4</v>
      </c>
      <c r="AT80" s="43">
        <f t="shared" ca="1" si="227"/>
        <v>-2</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1"/>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2</v>
      </c>
      <c r="AO81" s="47">
        <f t="shared" ca="1" si="227"/>
        <v>0</v>
      </c>
      <c r="AP81" s="47">
        <f t="shared" ca="1" si="227"/>
        <v>0</v>
      </c>
      <c r="AQ81" s="47">
        <f t="shared" ca="1" si="227"/>
        <v>2</v>
      </c>
      <c r="AR81" s="47">
        <f t="shared" ca="1" si="227"/>
        <v>2</v>
      </c>
      <c r="AS81" s="47">
        <f t="shared" ca="1" si="227"/>
        <v>5</v>
      </c>
      <c r="AT81" s="48">
        <f t="shared" ca="1" si="227"/>
        <v>-3</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5"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0"/>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0"/>
      <c r="X86" s="24">
        <f ca="1">Horarios!C86</f>
        <v>46196.541666666657</v>
      </c>
      <c r="Y86" s="25">
        <f ca="1">Horarios!C86</f>
        <v>46196.541666666657</v>
      </c>
      <c r="Z86" s="26" t="str">
        <f>$Z$6</f>
        <v>J2</v>
      </c>
      <c r="AA86" s="27" t="str">
        <f ca="1">A85</f>
        <v>Portugal</v>
      </c>
      <c r="AB86" s="49" t="str">
        <f t="array" aca="1" ref="AB86" ca="1">Ver_flag_local</f>
        <v/>
      </c>
      <c r="AC86" s="50">
        <v>5</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6</v>
      </c>
      <c r="AN86" s="36">
        <f t="shared" ca="1" si="243"/>
        <v>2</v>
      </c>
      <c r="AO86" s="36">
        <f t="shared" ca="1" si="243"/>
        <v>2</v>
      </c>
      <c r="AP86" s="36">
        <f t="shared" ca="1" si="243"/>
        <v>0</v>
      </c>
      <c r="AQ86" s="36">
        <f t="shared" ca="1" si="243"/>
        <v>0</v>
      </c>
      <c r="AR86" s="36">
        <f t="shared" ca="1" si="243"/>
        <v>4</v>
      </c>
      <c r="AS86" s="36">
        <f t="shared" ca="1" si="243"/>
        <v>1</v>
      </c>
      <c r="AT86" s="41">
        <f t="shared" ca="1" si="243"/>
        <v>3</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0"/>
      <c r="X87" s="24">
        <f ca="1">Horarios!C87</f>
        <v>46196.916666666657</v>
      </c>
      <c r="Y87" s="25">
        <f ca="1">Horarios!C87</f>
        <v>46196.916666666657</v>
      </c>
      <c r="Z87" s="26" t="str">
        <f>$Z$6</f>
        <v>J2</v>
      </c>
      <c r="AA87" s="27" t="str">
        <f ca="1">A88</f>
        <v>Colombia</v>
      </c>
      <c r="AB87" s="49" t="str">
        <f t="array" aca="1" ref="AB87" ca="1">Ver_flag_local</f>
        <v/>
      </c>
      <c r="AC87" s="50">
        <v>1</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Portugal</v>
      </c>
      <c r="AM87" s="38">
        <f t="shared" ca="1" si="243"/>
        <v>4</v>
      </c>
      <c r="AN87" s="39">
        <f t="shared" ca="1" si="243"/>
        <v>2</v>
      </c>
      <c r="AO87" s="39">
        <f t="shared" ca="1" si="243"/>
        <v>1</v>
      </c>
      <c r="AP87" s="39">
        <f t="shared" ca="1" si="243"/>
        <v>1</v>
      </c>
      <c r="AQ87" s="39">
        <f t="shared" ca="1" si="243"/>
        <v>0</v>
      </c>
      <c r="AR87" s="39">
        <f t="shared" ca="1" si="243"/>
        <v>6</v>
      </c>
      <c r="AS87" s="39">
        <f t="shared" ca="1" si="243"/>
        <v>1</v>
      </c>
      <c r="AT87" s="43">
        <f t="shared" ca="1" si="243"/>
        <v>5</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0"/>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RD Congo</v>
      </c>
      <c r="AM88" s="38">
        <f t="shared" ca="1" si="243"/>
        <v>1</v>
      </c>
      <c r="AN88" s="39">
        <f t="shared" ca="1" si="243"/>
        <v>2</v>
      </c>
      <c r="AO88" s="39">
        <f t="shared" ca="1" si="243"/>
        <v>0</v>
      </c>
      <c r="AP88" s="39">
        <f t="shared" ca="1" si="243"/>
        <v>1</v>
      </c>
      <c r="AQ88" s="39">
        <f t="shared" ca="1" si="243"/>
        <v>1</v>
      </c>
      <c r="AR88" s="39">
        <f t="shared" ca="1" si="243"/>
        <v>1</v>
      </c>
      <c r="AS88" s="39">
        <f t="shared" ca="1" si="243"/>
        <v>2</v>
      </c>
      <c r="AT88" s="43">
        <f t="shared" ca="1" si="243"/>
        <v>-1</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1"/>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2</v>
      </c>
      <c r="AO89" s="47">
        <f t="shared" ca="1" si="243"/>
        <v>0</v>
      </c>
      <c r="AP89" s="47">
        <f t="shared" ca="1" si="243"/>
        <v>0</v>
      </c>
      <c r="AQ89" s="47">
        <f t="shared" ca="1" si="243"/>
        <v>2</v>
      </c>
      <c r="AR89" s="47">
        <f t="shared" ca="1" si="243"/>
        <v>1</v>
      </c>
      <c r="AS89" s="47">
        <f t="shared" ca="1" si="243"/>
        <v>8</v>
      </c>
      <c r="AT89" s="48">
        <f t="shared" ca="1" si="243"/>
        <v>-7</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P.1 (2)</v>
      </c>
      <c r="F92" s="16" t="str">
        <f t="shared" ref="F92:F97" ca="1" si="246">IF(D92="Pendiente","-",INDEX($BT$6:$BT$53,MATCH($AF92,$BD$6:$BD$53,0)))</f>
        <v>-</v>
      </c>
      <c r="G92" s="16"/>
      <c r="H92" s="16" t="str">
        <f t="shared" ref="H92:H97" ca="1" si="247">IF(D92="Pendiente","-",INDEX($BZ$6:$BZ$53,MATCH($AA92,$BD$6:$BD$53,0)))</f>
        <v>P.1 (2)</v>
      </c>
      <c r="I92" s="16" t="str">
        <f t="shared" ref="I92:I97" ca="1" si="248">IF(D92="Pendiente","-",INDEX($BZ$6:$BZ$53,MATCH($AF92,$BD$6:$BD$53,0)))</f>
        <v>-</v>
      </c>
      <c r="J92" s="16"/>
      <c r="K92" s="16" t="str">
        <f t="shared" ref="K92:K97" ca="1" si="249">IF(D92="Pendiente","-",INDEX($CE$6:$CE$53,MATCH($AA92,$BD$6:$BD$53,0)))</f>
        <v>P.1 (2)</v>
      </c>
      <c r="L92" s="16" t="str">
        <f t="shared" ref="L92:L97" ca="1" si="250">IF(D92="Pendiente","-",INDEX($CE$6:$CE$53,MATCH($AF92,$BD$6:$BD$53,0)))</f>
        <v>-</v>
      </c>
      <c r="M92" s="16"/>
      <c r="N92" s="16" t="str">
        <f t="shared" ref="N92:N97" ca="1" si="251">IF(D92="Pendiente","-",INDEX($CH$6:$CH$53,MATCH($AA92,$BD$6:$BD$53,0)))</f>
        <v>P.1 (2)</v>
      </c>
      <c r="O92" s="16" t="str">
        <f t="shared" ref="O92:O97" ca="1" si="252">IF(D92="Pendiente","-",INDEX($CH$6:$CH$53,MATCH($AF92,$BD$6:$BD$53,0)))</f>
        <v>-</v>
      </c>
      <c r="P92" s="16"/>
      <c r="Q92" s="16" t="str">
        <f t="shared" ref="Q92:Q97" ca="1" si="253">IF(D92="Pendiente","-",INDEX($CN$6:$CN$53,MATCH($AA92,$BD$6:$BD$53,0)))</f>
        <v>P.1 (2)</v>
      </c>
      <c r="R92" s="16" t="str">
        <f t="shared" ref="R92:R97" ca="1" si="254">IF(D92="Pendiente","-",INDEX($CN$6:$CN$53,MATCH($AF92,$BD$6:$BD$53,0)))</f>
        <v>-</v>
      </c>
      <c r="S92" s="16"/>
      <c r="T92" s="16" t="str">
        <f t="shared" ref="T92:T97" ca="1" si="255">IF(D92="Pendiente","-",INDEX($CS$6:$CS$53,MATCH($AA92,$BD$6:$BD$53,0)))</f>
        <v>P.1 (2)</v>
      </c>
      <c r="U92" s="16" t="str">
        <f t="shared" ref="U92:U97" ca="1" si="256">IF(D92="Pendiente","-",INDEX($CS$6:$CS$53,MATCH($AF92,$BD$6:$BD$53,0)))</f>
        <v>-</v>
      </c>
      <c r="V92" s="17"/>
      <c r="W92" s="638"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P.1 (2)</v>
      </c>
      <c r="F93" s="16" t="str">
        <f t="shared" ca="1" si="246"/>
        <v>-</v>
      </c>
      <c r="G93" s="16"/>
      <c r="H93" s="16" t="str">
        <f t="shared" ca="1" si="247"/>
        <v>P.1 (2)</v>
      </c>
      <c r="I93" s="16" t="str">
        <f t="shared" ca="1" si="248"/>
        <v>-</v>
      </c>
      <c r="J93" s="16"/>
      <c r="K93" s="16" t="str">
        <f t="shared" ca="1" si="249"/>
        <v>P.1 (2)</v>
      </c>
      <c r="L93" s="16" t="str">
        <f t="shared" ca="1" si="250"/>
        <v>-</v>
      </c>
      <c r="M93" s="16"/>
      <c r="N93" s="16" t="str">
        <f t="shared" ca="1" si="251"/>
        <v>P.1 (2)</v>
      </c>
      <c r="O93" s="16" t="str">
        <f t="shared" ca="1" si="252"/>
        <v>-</v>
      </c>
      <c r="P93" s="16"/>
      <c r="Q93" s="16" t="str">
        <f t="shared" ca="1" si="253"/>
        <v>P.1 (2)</v>
      </c>
      <c r="R93" s="16" t="str">
        <f t="shared" ca="1" si="254"/>
        <v>-</v>
      </c>
      <c r="S93" s="16"/>
      <c r="T93" s="16" t="str">
        <f t="shared" ca="1" si="255"/>
        <v>P.1 (2)</v>
      </c>
      <c r="U93" s="16" t="str">
        <f t="shared" ca="1" si="256"/>
        <v>-</v>
      </c>
      <c r="V93" s="17"/>
      <c r="W93" s="620"/>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Empate</v>
      </c>
      <c r="E94" s="16" t="str">
        <f t="shared" ca="1" si="245"/>
        <v>P.1 (2)</v>
      </c>
      <c r="F94" s="16" t="str">
        <f t="shared" ca="1" si="246"/>
        <v>P.1 (2)</v>
      </c>
      <c r="G94" s="16"/>
      <c r="H94" s="16" t="str">
        <f t="shared" ca="1" si="247"/>
        <v>P.1 (2)</v>
      </c>
      <c r="I94" s="16" t="str">
        <f t="shared" ca="1" si="248"/>
        <v>P.1 (2)</v>
      </c>
      <c r="J94" s="16"/>
      <c r="K94" s="16" t="str">
        <f t="shared" ca="1" si="249"/>
        <v>P.1 (2)</v>
      </c>
      <c r="L94" s="16" t="str">
        <f t="shared" ca="1" si="250"/>
        <v>P.1 (2)</v>
      </c>
      <c r="M94" s="16"/>
      <c r="N94" s="16" t="str">
        <f t="shared" ca="1" si="251"/>
        <v>P.1 (2)</v>
      </c>
      <c r="O94" s="16" t="str">
        <f t="shared" ca="1" si="252"/>
        <v>P.1 (2)</v>
      </c>
      <c r="P94" s="16"/>
      <c r="Q94" s="16" t="str">
        <f t="shared" ca="1" si="253"/>
        <v>P.1 (2)</v>
      </c>
      <c r="R94" s="16" t="str">
        <f t="shared" ca="1" si="254"/>
        <v>P.1 (2)</v>
      </c>
      <c r="S94" s="16"/>
      <c r="T94" s="16" t="str">
        <f t="shared" ca="1" si="255"/>
        <v>P.1 (2)</v>
      </c>
      <c r="U94" s="16" t="str">
        <f t="shared" ca="1" si="256"/>
        <v>P.1 (2)</v>
      </c>
      <c r="V94" s="17"/>
      <c r="W94" s="620"/>
      <c r="X94" s="24">
        <f ca="1">Horarios!C94</f>
        <v>46196.666666666657</v>
      </c>
      <c r="Y94" s="25">
        <f ca="1">Horarios!C94</f>
        <v>46196.666666666657</v>
      </c>
      <c r="Z94" s="26" t="str">
        <f>$Z$6</f>
        <v>J2</v>
      </c>
      <c r="AA94" s="27" t="str">
        <f ca="1">A93</f>
        <v>Inglaterra</v>
      </c>
      <c r="AB94" s="49" t="str">
        <f t="array" aca="1" ref="AB94" ca="1">Ver_flag_local</f>
        <v/>
      </c>
      <c r="AC94" s="50">
        <v>0</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4</v>
      </c>
      <c r="AN94" s="36">
        <f t="shared" ca="1" si="259"/>
        <v>2</v>
      </c>
      <c r="AO94" s="36">
        <f t="shared" ca="1" si="259"/>
        <v>1</v>
      </c>
      <c r="AP94" s="36">
        <f t="shared" ca="1" si="259"/>
        <v>1</v>
      </c>
      <c r="AQ94" s="36">
        <f t="shared" ca="1" si="259"/>
        <v>0</v>
      </c>
      <c r="AR94" s="36">
        <f t="shared" ca="1" si="259"/>
        <v>4</v>
      </c>
      <c r="AS94" s="36">
        <f t="shared" ca="1" si="259"/>
        <v>2</v>
      </c>
      <c r="AT94" s="41">
        <f t="shared" ca="1" si="259"/>
        <v>2</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0"/>
      <c r="X95" s="24">
        <f ca="1">Horarios!C95</f>
        <v>46196.791666666657</v>
      </c>
      <c r="Y95" s="25">
        <f ca="1">Horarios!C95</f>
        <v>46196.791666666657</v>
      </c>
      <c r="Z95" s="26" t="str">
        <f>$Z$6</f>
        <v>J2</v>
      </c>
      <c r="AA95" s="27" t="str">
        <f ca="1">A96</f>
        <v>Panamá</v>
      </c>
      <c r="AB95" s="49" t="str">
        <f t="array" aca="1" ref="AB95" ca="1">Ver_flag_local</f>
        <v/>
      </c>
      <c r="AC95" s="50">
        <v>0</v>
      </c>
      <c r="AD95" s="51">
        <v>1</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Ghana</v>
      </c>
      <c r="AM95" s="38">
        <f t="shared" ca="1" si="259"/>
        <v>4</v>
      </c>
      <c r="AN95" s="39">
        <f t="shared" ca="1" si="259"/>
        <v>2</v>
      </c>
      <c r="AO95" s="39">
        <f t="shared" ca="1" si="259"/>
        <v>1</v>
      </c>
      <c r="AP95" s="39">
        <f t="shared" ca="1" si="259"/>
        <v>1</v>
      </c>
      <c r="AQ95" s="39">
        <f t="shared" ca="1" si="259"/>
        <v>0</v>
      </c>
      <c r="AR95" s="39">
        <f t="shared" ca="1" si="259"/>
        <v>1</v>
      </c>
      <c r="AS95" s="39">
        <f t="shared" ca="1" si="259"/>
        <v>0</v>
      </c>
      <c r="AT95" s="43">
        <f t="shared" ca="1" si="259"/>
        <v>1</v>
      </c>
      <c r="AU95" s="323">
        <f ca="1">INDEX($DL$6:$DL$53,MATCH(AI95,$DP$6:$DP$53,0))</f>
        <v>1</v>
      </c>
      <c r="AV95" s="182" t="str">
        <f ca="1">INDEX($BD$6:$BD$53,MATCH(AI95,$BM$6:$BM$53,0))</f>
        <v>Ghana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0"/>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Croacia</v>
      </c>
      <c r="AM96" s="38">
        <f t="shared" ca="1" si="259"/>
        <v>3</v>
      </c>
      <c r="AN96" s="39">
        <f t="shared" ca="1" si="259"/>
        <v>2</v>
      </c>
      <c r="AO96" s="39">
        <f t="shared" ca="1" si="259"/>
        <v>1</v>
      </c>
      <c r="AP96" s="39">
        <f t="shared" ca="1" si="259"/>
        <v>0</v>
      </c>
      <c r="AQ96" s="39">
        <f t="shared" ca="1" si="259"/>
        <v>1</v>
      </c>
      <c r="AR96" s="39">
        <f t="shared" ca="1" si="259"/>
        <v>3</v>
      </c>
      <c r="AS96" s="39">
        <f t="shared" ca="1" si="259"/>
        <v>4</v>
      </c>
      <c r="AT96" s="43">
        <f t="shared" ca="1" si="259"/>
        <v>-1</v>
      </c>
      <c r="AU96" s="323">
        <f ca="1">INDEX($DL$6:$DL$53,MATCH(AI96,$DP$6:$DP$53,0))</f>
        <v>1</v>
      </c>
      <c r="AV96" s="182" t="str">
        <f ca="1">INDEX($BD$6:$BD$53,MATCH(AI96,$BM$6:$BM$53,0))</f>
        <v>Croacia</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1"/>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2</v>
      </c>
      <c r="AO97" s="47">
        <f t="shared" ca="1" si="259"/>
        <v>0</v>
      </c>
      <c r="AP97" s="47">
        <f t="shared" ca="1" si="259"/>
        <v>0</v>
      </c>
      <c r="AQ97" s="47">
        <f t="shared" ca="1" si="259"/>
        <v>2</v>
      </c>
      <c r="AR97" s="47">
        <f t="shared" ca="1" si="259"/>
        <v>0</v>
      </c>
      <c r="AS97" s="47">
        <f t="shared" ca="1" si="259"/>
        <v>2</v>
      </c>
      <c r="AT97" s="48">
        <f t="shared" ca="1" si="259"/>
        <v>-2</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8</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31"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xml:space="preserve">Grupos mejores 3ºs: </v>
      </c>
      <c r="AZ101" s="329" t="str">
        <f ca="1">+IF(OR($H$113&gt;=48,$AJ$99=144),BI112,"")</f>
        <v>ACDFGHJL</v>
      </c>
      <c r="BA101" s="176"/>
    </row>
    <row r="102" spans="1:62" ht="16" customHeight="1" x14ac:dyDescent="0.2">
      <c r="A102" s="16" t="s">
        <v>88</v>
      </c>
      <c r="B102" s="16" t="s">
        <v>141</v>
      </c>
      <c r="C102" s="16"/>
      <c r="D102" s="16" t="str">
        <f t="shared" si="260"/>
        <v>W76</v>
      </c>
      <c r="E102" s="16" t="s">
        <v>103</v>
      </c>
      <c r="F102" s="16" t="s">
        <v>142</v>
      </c>
      <c r="G102" s="16" t="s">
        <v>76</v>
      </c>
      <c r="H102" s="16">
        <f t="shared" ca="1" si="261"/>
        <v>8</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0"/>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Suecia</v>
      </c>
      <c r="AM102" s="575">
        <f t="shared" ref="AM102:AT113" ca="1" si="269">+IF($H$113&gt;=48,INDEX($BE$58:$BN$69,MATCH($AL102,$BD$58:$BD$69,0),MATCH(AM$5,$BE$57:$BN$57,0)),$BB58)</f>
        <v>3</v>
      </c>
      <c r="AN102" s="82">
        <f t="shared" ca="1" si="269"/>
        <v>2</v>
      </c>
      <c r="AO102" s="82">
        <f t="shared" ca="1" si="269"/>
        <v>1</v>
      </c>
      <c r="AP102" s="82">
        <f t="shared" ca="1" si="269"/>
        <v>0</v>
      </c>
      <c r="AQ102" s="83">
        <f t="shared" ca="1" si="269"/>
        <v>1</v>
      </c>
      <c r="AR102" s="83">
        <f t="shared" ca="1" si="269"/>
        <v>6</v>
      </c>
      <c r="AS102" s="83">
        <f t="shared" ca="1" si="269"/>
        <v>6</v>
      </c>
      <c r="AT102" s="84">
        <f t="shared" ca="1" si="269"/>
        <v>0</v>
      </c>
      <c r="AU102" s="323" t="str">
        <f t="shared" ref="AU102:AU113" ca="1" si="270">IF($H$113=144,INDEX($DL$58:$DL$69,MATCH(AI102,$DP$58:$DP$69,0)),"")</f>
        <v/>
      </c>
      <c r="AV102" s="182" t="str">
        <f t="shared" ref="AV102:AV113" ca="1" si="271">INDEX($BD$58:$BD$69,MATCH(AI102,$BM$58:$BM$69,0))</f>
        <v>Suecia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8</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0"/>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Escocia</v>
      </c>
      <c r="AM103" s="576">
        <f t="shared" ca="1" si="269"/>
        <v>3</v>
      </c>
      <c r="AN103" s="86">
        <f t="shared" ca="1" si="269"/>
        <v>2</v>
      </c>
      <c r="AO103" s="86">
        <f t="shared" ca="1" si="269"/>
        <v>1</v>
      </c>
      <c r="AP103" s="86">
        <f t="shared" ca="1" si="269"/>
        <v>0</v>
      </c>
      <c r="AQ103" s="86">
        <f t="shared" ca="1" si="269"/>
        <v>1</v>
      </c>
      <c r="AR103" s="86">
        <f t="shared" ca="1" si="269"/>
        <v>1</v>
      </c>
      <c r="AS103" s="86">
        <f t="shared" ca="1" si="269"/>
        <v>1</v>
      </c>
      <c r="AT103" s="87">
        <f t="shared" ca="1" si="269"/>
        <v>0</v>
      </c>
      <c r="AU103" s="323" t="str">
        <f t="shared" ca="1" si="270"/>
        <v/>
      </c>
      <c r="AV103" s="182" t="str">
        <f t="shared" ca="1" si="271"/>
        <v>Escocia</v>
      </c>
      <c r="AW103" s="215"/>
      <c r="AX103" s="170"/>
      <c r="AY103" s="270"/>
      <c r="AZ103" s="273" t="str">
        <f t="shared" ref="AZ103:AZ110" ca="1" si="272">+IF(OR($H$113&gt;=48,$AJ$99=144),BF117&amp;" - "&amp;BG117,"")</f>
        <v>1A - 3C</v>
      </c>
      <c r="BA103" s="176"/>
      <c r="BF103" t="str">
        <f t="shared" ref="BF103:BF110" ca="1" si="273">IFERROR(INDEX($BC$6:$BC$53,MATCH(AL102,$BD$6:$BD$53,0)),"")</f>
        <v>F</v>
      </c>
      <c r="BG103">
        <f t="shared" ref="BG103:BG110" ca="1" si="274">COUNTIF($BF$103:$BF$110,"&lt;="&amp;BF103)</f>
        <v>4</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8</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0"/>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Croacia</v>
      </c>
      <c r="AM104" s="576">
        <f t="shared" ca="1" si="269"/>
        <v>3</v>
      </c>
      <c r="AN104" s="86">
        <f t="shared" ca="1" si="269"/>
        <v>2</v>
      </c>
      <c r="AO104" s="86">
        <f t="shared" ca="1" si="269"/>
        <v>1</v>
      </c>
      <c r="AP104" s="86">
        <f t="shared" ca="1" si="269"/>
        <v>0</v>
      </c>
      <c r="AQ104" s="86">
        <f t="shared" ca="1" si="269"/>
        <v>1</v>
      </c>
      <c r="AR104" s="86">
        <f t="shared" ca="1" si="269"/>
        <v>3</v>
      </c>
      <c r="AS104" s="86">
        <f t="shared" ca="1" si="269"/>
        <v>4</v>
      </c>
      <c r="AT104" s="87">
        <f t="shared" ca="1" si="269"/>
        <v>-1</v>
      </c>
      <c r="AU104" s="323" t="str">
        <f t="shared" ca="1" si="270"/>
        <v/>
      </c>
      <c r="AV104" s="182" t="str">
        <f t="shared" ca="1" si="271"/>
        <v>Croacia</v>
      </c>
      <c r="AW104" s="215"/>
      <c r="AX104" s="170"/>
      <c r="AY104" s="270"/>
      <c r="AZ104" s="273" t="str">
        <f t="shared" ca="1" si="272"/>
        <v>1B - 3G</v>
      </c>
      <c r="BA104" s="176"/>
      <c r="BF104" t="str">
        <f t="shared" ca="1" si="273"/>
        <v>C</v>
      </c>
      <c r="BG104">
        <f t="shared" ca="1" si="274"/>
        <v>2</v>
      </c>
      <c r="BI104">
        <v>2</v>
      </c>
      <c r="BJ104" t="str">
        <f t="shared" ca="1" si="275"/>
        <v>C</v>
      </c>
    </row>
    <row r="105" spans="1:62" ht="16" customHeight="1" x14ac:dyDescent="0.2">
      <c r="A105" s="16" t="s">
        <v>106</v>
      </c>
      <c r="B105" s="16" t="s">
        <v>150</v>
      </c>
      <c r="C105" s="16"/>
      <c r="D105" s="16" t="str">
        <f t="shared" si="260"/>
        <v>W78</v>
      </c>
      <c r="E105" s="16" t="s">
        <v>127</v>
      </c>
      <c r="F105" s="16" t="s">
        <v>142</v>
      </c>
      <c r="G105" s="16" t="s">
        <v>103</v>
      </c>
      <c r="H105" s="16">
        <f t="shared" ca="1" si="261"/>
        <v>8</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0"/>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Argelia</v>
      </c>
      <c r="AM105" s="576">
        <f t="shared" ca="1" si="269"/>
        <v>3</v>
      </c>
      <c r="AN105" s="86">
        <f t="shared" ca="1" si="269"/>
        <v>2</v>
      </c>
      <c r="AO105" s="86">
        <f t="shared" ca="1" si="269"/>
        <v>1</v>
      </c>
      <c r="AP105" s="86">
        <f t="shared" ca="1" si="269"/>
        <v>0</v>
      </c>
      <c r="AQ105" s="86">
        <f t="shared" ca="1" si="269"/>
        <v>1</v>
      </c>
      <c r="AR105" s="86">
        <f t="shared" ca="1" si="269"/>
        <v>2</v>
      </c>
      <c r="AS105" s="86">
        <f t="shared" ca="1" si="269"/>
        <v>4</v>
      </c>
      <c r="AT105" s="87">
        <f t="shared" ca="1" si="269"/>
        <v>-2</v>
      </c>
      <c r="AU105" s="323" t="str">
        <f t="shared" ca="1" si="270"/>
        <v/>
      </c>
      <c r="AV105" s="182" t="str">
        <f t="shared" ca="1" si="271"/>
        <v>Argelia</v>
      </c>
      <c r="AW105" s="215"/>
      <c r="AX105" s="170"/>
      <c r="AY105" s="270"/>
      <c r="AZ105" s="273" t="str">
        <f t="shared" ca="1" si="272"/>
        <v>1D - 3J</v>
      </c>
      <c r="BA105" s="176"/>
      <c r="BF105" t="str">
        <f t="shared" ca="1" si="273"/>
        <v>L</v>
      </c>
      <c r="BG105">
        <f t="shared" ca="1" si="274"/>
        <v>8</v>
      </c>
      <c r="BI105">
        <v>3</v>
      </c>
      <c r="BJ105" t="str">
        <f t="shared" ca="1" si="275"/>
        <v>D</v>
      </c>
    </row>
    <row r="106" spans="1:62" ht="16" customHeight="1" x14ac:dyDescent="0.2">
      <c r="A106" s="16" t="s">
        <v>89</v>
      </c>
      <c r="B106" s="16" t="s">
        <v>107</v>
      </c>
      <c r="C106" s="16"/>
      <c r="D106" s="16" t="str">
        <f t="shared" si="260"/>
        <v>W77</v>
      </c>
      <c r="E106" s="16" t="s">
        <v>103</v>
      </c>
      <c r="F106" s="16" t="s">
        <v>127</v>
      </c>
      <c r="G106" s="16" t="s">
        <v>112</v>
      </c>
      <c r="H106" s="16">
        <f t="shared" ca="1" si="261"/>
        <v>8</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0"/>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Paraguay</v>
      </c>
      <c r="AM106" s="576">
        <f t="shared" ca="1" si="269"/>
        <v>3</v>
      </c>
      <c r="AN106" s="86">
        <f t="shared" ca="1" si="269"/>
        <v>2</v>
      </c>
      <c r="AO106" s="86">
        <f t="shared" ca="1" si="269"/>
        <v>1</v>
      </c>
      <c r="AP106" s="86">
        <f t="shared" ca="1" si="269"/>
        <v>0</v>
      </c>
      <c r="AQ106" s="86">
        <f t="shared" ca="1" si="269"/>
        <v>1</v>
      </c>
      <c r="AR106" s="86">
        <f t="shared" ca="1" si="269"/>
        <v>2</v>
      </c>
      <c r="AS106" s="86">
        <f t="shared" ca="1" si="269"/>
        <v>4</v>
      </c>
      <c r="AT106" s="87">
        <f t="shared" ca="1" si="269"/>
        <v>-2</v>
      </c>
      <c r="AU106" s="323" t="str">
        <f t="shared" ca="1" si="270"/>
        <v/>
      </c>
      <c r="AV106" s="182" t="str">
        <f t="shared" ca="1" si="271"/>
        <v>Paraguay</v>
      </c>
      <c r="AW106" s="215"/>
      <c r="AX106" s="170"/>
      <c r="AY106" s="270"/>
      <c r="AZ106" s="273" t="str">
        <f t="shared" ca="1" si="272"/>
        <v>1E - 3D</v>
      </c>
      <c r="BA106" s="176"/>
      <c r="BF106" t="str">
        <f t="shared" ca="1" si="273"/>
        <v>J</v>
      </c>
      <c r="BG106">
        <f t="shared" ca="1" si="274"/>
        <v>7</v>
      </c>
      <c r="BI106">
        <v>4</v>
      </c>
      <c r="BJ106" t="str">
        <f t="shared" ca="1" si="275"/>
        <v>F</v>
      </c>
    </row>
    <row r="107" spans="1:62" ht="16" customHeight="1" x14ac:dyDescent="0.2">
      <c r="A107" s="16" t="s">
        <v>70</v>
      </c>
      <c r="B107" s="16" t="s">
        <v>153</v>
      </c>
      <c r="C107" s="16"/>
      <c r="D107" s="16" t="str">
        <f t="shared" si="260"/>
        <v>W79</v>
      </c>
      <c r="E107" s="16" t="s">
        <v>16</v>
      </c>
      <c r="F107" s="16" t="s">
        <v>142</v>
      </c>
      <c r="G107" s="16" t="s">
        <v>121</v>
      </c>
      <c r="H107" s="16">
        <f t="shared" ca="1" si="261"/>
        <v>8</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0"/>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Cabo Verde</v>
      </c>
      <c r="AM107" s="576">
        <f t="shared" ca="1" si="269"/>
        <v>2</v>
      </c>
      <c r="AN107" s="86">
        <f t="shared" ca="1" si="269"/>
        <v>2</v>
      </c>
      <c r="AO107" s="86">
        <f t="shared" ca="1" si="269"/>
        <v>0</v>
      </c>
      <c r="AP107" s="86">
        <f t="shared" ca="1" si="269"/>
        <v>2</v>
      </c>
      <c r="AQ107" s="86">
        <f t="shared" ca="1" si="269"/>
        <v>0</v>
      </c>
      <c r="AR107" s="86">
        <f t="shared" ca="1" si="269"/>
        <v>2</v>
      </c>
      <c r="AS107" s="86">
        <f t="shared" ca="1" si="269"/>
        <v>2</v>
      </c>
      <c r="AT107" s="87">
        <f t="shared" ca="1" si="269"/>
        <v>0</v>
      </c>
      <c r="AU107" s="323" t="str">
        <f t="shared" ca="1" si="270"/>
        <v/>
      </c>
      <c r="AV107" s="182" t="str">
        <f t="shared" ca="1" si="271"/>
        <v>Cabo Verde</v>
      </c>
      <c r="AW107" s="215"/>
      <c r="AX107" s="170"/>
      <c r="AY107" s="270"/>
      <c r="AZ107" s="273" t="str">
        <f t="shared" ca="1" si="272"/>
        <v>1G - 3A</v>
      </c>
      <c r="BA107" s="176"/>
      <c r="BF107" t="str">
        <f t="shared" ca="1" si="273"/>
        <v>D</v>
      </c>
      <c r="BG107">
        <f t="shared" ca="1" si="274"/>
        <v>3</v>
      </c>
      <c r="BI107">
        <v>5</v>
      </c>
      <c r="BJ107" t="str">
        <f t="shared" ca="1" si="275"/>
        <v>G</v>
      </c>
    </row>
    <row r="108" spans="1:62" ht="16" customHeight="1" x14ac:dyDescent="0.2">
      <c r="A108" s="16" t="s">
        <v>119</v>
      </c>
      <c r="B108" s="16" t="s">
        <v>155</v>
      </c>
      <c r="C108" s="16"/>
      <c r="D108" s="16" t="str">
        <f t="shared" si="260"/>
        <v>W80</v>
      </c>
      <c r="E108" s="16" t="s">
        <v>130</v>
      </c>
      <c r="F108" s="16" t="s">
        <v>142</v>
      </c>
      <c r="G108" s="16" t="s">
        <v>126</v>
      </c>
      <c r="H108" s="16">
        <f t="shared" ca="1" si="261"/>
        <v>8</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0"/>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Bélgica</v>
      </c>
      <c r="AM108" s="576">
        <f t="shared" ca="1" si="269"/>
        <v>2</v>
      </c>
      <c r="AN108" s="86">
        <f t="shared" ca="1" si="269"/>
        <v>2</v>
      </c>
      <c r="AO108" s="86">
        <f t="shared" ca="1" si="269"/>
        <v>0</v>
      </c>
      <c r="AP108" s="86">
        <f t="shared" ca="1" si="269"/>
        <v>2</v>
      </c>
      <c r="AQ108" s="86">
        <f t="shared" ca="1" si="269"/>
        <v>0</v>
      </c>
      <c r="AR108" s="86">
        <f t="shared" ca="1" si="269"/>
        <v>1</v>
      </c>
      <c r="AS108" s="86">
        <f t="shared" ca="1" si="269"/>
        <v>1</v>
      </c>
      <c r="AT108" s="87">
        <f t="shared" ca="1" si="269"/>
        <v>0</v>
      </c>
      <c r="AU108" s="323" t="str">
        <f t="shared" ca="1" si="270"/>
        <v/>
      </c>
      <c r="AV108" s="182" t="str">
        <f t="shared" ca="1" si="271"/>
        <v>Bélgica</v>
      </c>
      <c r="AW108" s="215"/>
      <c r="AX108" s="170"/>
      <c r="AY108" s="270"/>
      <c r="AZ108" s="273" t="str">
        <f t="shared" ca="1" si="272"/>
        <v>1I - 3F</v>
      </c>
      <c r="BA108" s="176"/>
      <c r="BF108" t="str">
        <f t="shared" ca="1" si="273"/>
        <v>H</v>
      </c>
      <c r="BG108">
        <f t="shared" ca="1" si="274"/>
        <v>6</v>
      </c>
      <c r="BI108">
        <v>6</v>
      </c>
      <c r="BJ108" t="str">
        <f t="shared" ca="1" si="275"/>
        <v>H</v>
      </c>
    </row>
    <row r="109" spans="1:62" ht="16" customHeight="1" x14ac:dyDescent="0.2">
      <c r="A109" s="16" t="s">
        <v>83</v>
      </c>
      <c r="B109" s="16" t="s">
        <v>157</v>
      </c>
      <c r="C109" s="16"/>
      <c r="D109" s="16" t="str">
        <f t="shared" si="260"/>
        <v>W82</v>
      </c>
      <c r="E109" s="16" t="s">
        <v>94</v>
      </c>
      <c r="F109" s="16" t="s">
        <v>142</v>
      </c>
      <c r="G109" s="16" t="s">
        <v>127</v>
      </c>
      <c r="H109" s="16">
        <f t="shared" ca="1" si="261"/>
        <v>8</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0"/>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República Checa</v>
      </c>
      <c r="AM109" s="576">
        <f t="shared" ca="1" si="269"/>
        <v>1</v>
      </c>
      <c r="AN109" s="86">
        <f t="shared" ca="1" si="269"/>
        <v>2</v>
      </c>
      <c r="AO109" s="86">
        <f t="shared" ca="1" si="269"/>
        <v>0</v>
      </c>
      <c r="AP109" s="86">
        <f t="shared" ca="1" si="269"/>
        <v>1</v>
      </c>
      <c r="AQ109" s="86">
        <f t="shared" ca="1" si="269"/>
        <v>1</v>
      </c>
      <c r="AR109" s="86">
        <f t="shared" ca="1" si="269"/>
        <v>2</v>
      </c>
      <c r="AS109" s="86">
        <f t="shared" ca="1" si="269"/>
        <v>3</v>
      </c>
      <c r="AT109" s="87">
        <f t="shared" ca="1" si="269"/>
        <v>-1</v>
      </c>
      <c r="AU109" s="323" t="str">
        <f t="shared" ca="1" si="270"/>
        <v/>
      </c>
      <c r="AV109" s="182" t="str">
        <f t="shared" ca="1" si="271"/>
        <v>República Checa</v>
      </c>
      <c r="AW109" s="215"/>
      <c r="AX109" s="170"/>
      <c r="AY109" s="270"/>
      <c r="AZ109" s="273" t="str">
        <f t="shared" ca="1" si="272"/>
        <v>1K - 3L</v>
      </c>
      <c r="BA109" s="176"/>
      <c r="BF109" t="str">
        <f t="shared" ca="1" si="273"/>
        <v>G</v>
      </c>
      <c r="BG109">
        <f t="shared" ca="1" si="274"/>
        <v>5</v>
      </c>
      <c r="BI109">
        <v>7</v>
      </c>
      <c r="BJ109" t="str">
        <f t="shared" ca="1" si="275"/>
        <v>J</v>
      </c>
    </row>
    <row r="110" spans="1:62" ht="16" customHeight="1" x14ac:dyDescent="0.2">
      <c r="A110" s="16" t="s">
        <v>97</v>
      </c>
      <c r="B110" s="16" t="s">
        <v>159</v>
      </c>
      <c r="C110" s="16"/>
      <c r="D110" s="16" t="str">
        <f t="shared" si="260"/>
        <v>W81</v>
      </c>
      <c r="E110" s="16" t="s">
        <v>121</v>
      </c>
      <c r="F110" s="16" t="s">
        <v>142</v>
      </c>
      <c r="G110" s="16" t="s">
        <v>128</v>
      </c>
      <c r="H110" s="16">
        <f t="shared" ca="1" si="261"/>
        <v>8</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0"/>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RD Congo</v>
      </c>
      <c r="AM110" s="576">
        <f t="shared" ca="1" si="269"/>
        <v>1</v>
      </c>
      <c r="AN110" s="86">
        <f t="shared" ca="1" si="269"/>
        <v>2</v>
      </c>
      <c r="AO110" s="86">
        <f t="shared" ca="1" si="269"/>
        <v>0</v>
      </c>
      <c r="AP110" s="86">
        <f t="shared" ca="1" si="269"/>
        <v>1</v>
      </c>
      <c r="AQ110" s="86">
        <f t="shared" ca="1" si="269"/>
        <v>1</v>
      </c>
      <c r="AR110" s="86">
        <f t="shared" ca="1" si="269"/>
        <v>1</v>
      </c>
      <c r="AS110" s="86">
        <f t="shared" ca="1" si="269"/>
        <v>2</v>
      </c>
      <c r="AT110" s="87">
        <f t="shared" ca="1" si="269"/>
        <v>-1</v>
      </c>
      <c r="AU110" s="323" t="str">
        <f t="shared" ca="1" si="270"/>
        <v/>
      </c>
      <c r="AV110" s="182" t="str">
        <f t="shared" ca="1" si="271"/>
        <v>RD Congo</v>
      </c>
      <c r="AW110" s="215"/>
      <c r="AX110" s="170"/>
      <c r="AY110" s="270"/>
      <c r="AZ110" s="273" t="str">
        <f t="shared" ca="1" si="272"/>
        <v>1L - 3H</v>
      </c>
      <c r="BA110" s="176"/>
      <c r="BF110" t="str">
        <f t="shared" ca="1" si="273"/>
        <v>A</v>
      </c>
      <c r="BG110">
        <f t="shared" ca="1" si="274"/>
        <v>1</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8</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0"/>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Ecuador</v>
      </c>
      <c r="AM111" s="576">
        <f t="shared" ca="1" si="269"/>
        <v>1</v>
      </c>
      <c r="AN111" s="86">
        <f t="shared" ca="1" si="269"/>
        <v>2</v>
      </c>
      <c r="AO111" s="86">
        <f t="shared" ca="1" si="269"/>
        <v>0</v>
      </c>
      <c r="AP111" s="86">
        <f t="shared" ca="1" si="269"/>
        <v>1</v>
      </c>
      <c r="AQ111" s="86">
        <f t="shared" ca="1" si="269"/>
        <v>1</v>
      </c>
      <c r="AR111" s="86">
        <f t="shared" ca="1" si="269"/>
        <v>0</v>
      </c>
      <c r="AS111" s="86">
        <f t="shared" ca="1" si="269"/>
        <v>1</v>
      </c>
      <c r="AT111" s="87">
        <f t="shared" ca="1" si="269"/>
        <v>-1</v>
      </c>
      <c r="AU111" s="323" t="str">
        <f t="shared" ca="1" si="270"/>
        <v/>
      </c>
      <c r="AV111" s="182" t="str">
        <f t="shared" ca="1" si="271"/>
        <v>Ecuador</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8</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0"/>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Bosnia y Herzegovina</v>
      </c>
      <c r="AM112" s="576">
        <f t="shared" ca="1" si="269"/>
        <v>1</v>
      </c>
      <c r="AN112" s="86">
        <f t="shared" ca="1" si="269"/>
        <v>2</v>
      </c>
      <c r="AO112" s="86">
        <f t="shared" ca="1" si="269"/>
        <v>0</v>
      </c>
      <c r="AP112" s="86">
        <f t="shared" ca="1" si="269"/>
        <v>1</v>
      </c>
      <c r="AQ112" s="86">
        <f t="shared" ca="1" si="269"/>
        <v>1</v>
      </c>
      <c r="AR112" s="86">
        <f t="shared" ca="1" si="269"/>
        <v>2</v>
      </c>
      <c r="AS112" s="86">
        <f t="shared" ca="1" si="269"/>
        <v>5</v>
      </c>
      <c r="AT112" s="87">
        <f t="shared" ca="1" si="269"/>
        <v>-3</v>
      </c>
      <c r="AU112" s="323" t="str">
        <f t="shared" ca="1" si="270"/>
        <v/>
      </c>
      <c r="AV112" s="182" t="str">
        <f t="shared" ca="1" si="271"/>
        <v>Bosnia y Herzegovina</v>
      </c>
      <c r="AW112" s="215"/>
      <c r="AX112" s="170"/>
      <c r="AY112" s="269"/>
      <c r="AZ112" s="269"/>
      <c r="BA112" s="176"/>
      <c r="BI112" t="str">
        <f ca="1">IFERROR(CONCATENATE(BJ103,BJ104,BJ105,BJ106,BJ107,BJ108,BJ109,BJ110),"¿A/B/C/D/E/F/G/H/I/J/K/L?")</f>
        <v>ACDFGHJL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96</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0"/>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Senegal</v>
      </c>
      <c r="AM113" s="577">
        <f t="shared" ca="1" si="269"/>
        <v>0</v>
      </c>
      <c r="AN113" s="47">
        <f t="shared" ca="1" si="269"/>
        <v>2</v>
      </c>
      <c r="AO113" s="47">
        <f t="shared" ca="1" si="269"/>
        <v>0</v>
      </c>
      <c r="AP113" s="47">
        <f t="shared" ca="1" si="269"/>
        <v>0</v>
      </c>
      <c r="AQ113" s="47">
        <f t="shared" ca="1" si="269"/>
        <v>2</v>
      </c>
      <c r="AR113" s="47">
        <f t="shared" ca="1" si="269"/>
        <v>3</v>
      </c>
      <c r="AS113" s="47">
        <f t="shared" ca="1" si="269"/>
        <v>6</v>
      </c>
      <c r="AT113" s="48">
        <f t="shared" ca="1" si="269"/>
        <v>-3</v>
      </c>
      <c r="AU113" s="323" t="str">
        <f t="shared" ca="1" si="270"/>
        <v/>
      </c>
      <c r="AV113" s="182" t="str">
        <f t="shared" ca="1" si="271"/>
        <v>Senegal</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0"/>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0"/>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1"/>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3C</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3J</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22"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3"/>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3"/>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3"/>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3"/>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3H</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3"/>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3"/>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4"/>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0"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3"/>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3"/>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4"/>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6"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7"/>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20:W25"/>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9"/>
      <c r="G1" s="629"/>
      <c r="H1" s="629"/>
      <c r="I1" s="629"/>
      <c r="J1" s="629"/>
      <c r="K1" s="629"/>
      <c r="L1" s="629"/>
      <c r="M1" s="629"/>
      <c r="N1" s="629"/>
    </row>
    <row r="2" spans="1:14" ht="20" customHeight="1" thickBot="1" x14ac:dyDescent="0.3">
      <c r="A2" s="284"/>
      <c r="B2" s="285"/>
      <c r="C2" s="285"/>
      <c r="D2" s="360"/>
      <c r="E2" s="629"/>
      <c r="F2" s="629"/>
      <c r="G2" s="629"/>
      <c r="H2" s="629"/>
      <c r="I2" s="629"/>
      <c r="J2" s="629"/>
      <c r="K2" s="629"/>
      <c r="L2" s="629"/>
      <c r="M2" s="629"/>
      <c r="N2" s="629"/>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X|0-0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1|5-1</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2|0-4</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X|0-0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2|1-3</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X|2-2</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1|3-2</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1|5-0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1|1-0</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X|0-0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2|0-1</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1º GRUPO A</v>
      </c>
      <c r="D80" s="656"/>
      <c r="E80" s="361"/>
      <c r="F80" s="361"/>
      <c r="G80" s="361"/>
      <c r="H80" s="361"/>
      <c r="I80" s="372"/>
      <c r="J80" s="361"/>
      <c r="K80" s="361"/>
      <c r="L80" s="361"/>
      <c r="M80" s="370"/>
      <c r="N80" s="368"/>
    </row>
    <row r="81" spans="1:14" ht="15" customHeight="1" x14ac:dyDescent="0.2">
      <c r="A81" s="629"/>
      <c r="B81" s="351" t="str">
        <f>Idiomas!D141</f>
        <v>2º GRUPO A</v>
      </c>
      <c r="C81" s="342" t="str">
        <f ca="1">IF(OR(SUM(WORLDCUP!$AN$6:$AN$9)=12,WORLDCUP!$AJ$99=144),WORLDCUP!AL7,B81)</f>
        <v>2º GRUPO A</v>
      </c>
      <c r="D81" s="656"/>
      <c r="E81" s="361"/>
      <c r="F81" s="361"/>
      <c r="G81" s="361"/>
      <c r="H81" s="361"/>
      <c r="I81" s="372"/>
      <c r="J81" s="361"/>
      <c r="K81" s="361"/>
      <c r="L81" s="361"/>
      <c r="M81" s="370"/>
      <c r="N81" s="368"/>
    </row>
    <row r="82" spans="1:14" ht="15" customHeight="1" x14ac:dyDescent="0.2">
      <c r="A82" s="629"/>
      <c r="B82" s="351" t="str">
        <f>Idiomas!D142</f>
        <v>3º GRUPO A</v>
      </c>
      <c r="C82" s="342" t="str">
        <f ca="1">IF(OR(SUM(WORLDCUP!$AN$6:$AN$9)=12,WORLDCUP!$AJ$99=144),WORLDCUP!AL8,B82)</f>
        <v>3º GRUPO A</v>
      </c>
      <c r="D82" s="656"/>
      <c r="E82" s="361"/>
      <c r="F82" s="361"/>
      <c r="G82" s="361"/>
      <c r="H82" s="361"/>
      <c r="I82" s="372"/>
      <c r="J82" s="361"/>
      <c r="K82" s="361"/>
      <c r="L82" s="361"/>
      <c r="M82" s="370"/>
      <c r="N82" s="368"/>
    </row>
    <row r="83" spans="1:14" ht="15" customHeight="1" x14ac:dyDescent="0.2">
      <c r="A83" s="629"/>
      <c r="B83" s="351" t="str">
        <f>Idiomas!D143</f>
        <v>4º GRUPO A</v>
      </c>
      <c r="C83" s="342" t="str">
        <f ca="1">IF(OR(SUM(WORLDCUP!$AN$6:$AN$9)=12,WORLDCUP!$AJ$99=144),WORLDCUP!AL9,B83)</f>
        <v>4º GRUPO 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1º GRUPO B</v>
      </c>
      <c r="D84" s="656"/>
      <c r="E84" s="361"/>
      <c r="F84" s="361"/>
      <c r="G84" s="361"/>
      <c r="H84" s="361"/>
      <c r="I84" s="372"/>
      <c r="J84" s="361"/>
      <c r="K84" s="361"/>
      <c r="L84" s="361"/>
      <c r="M84" s="370"/>
      <c r="N84" s="368"/>
    </row>
    <row r="85" spans="1:14" ht="15" customHeight="1" x14ac:dyDescent="0.2">
      <c r="A85" s="629"/>
      <c r="B85" s="349" t="str">
        <f>Idiomas!D145</f>
        <v>2º GRUPO B</v>
      </c>
      <c r="C85" s="342" t="str">
        <f ca="1">IF(OR(SUM(WORLDCUP!$AN$14:$AN$17)=12,WORLDCUP!$AJ$99=144),WORLDCUP!AL15,B85)</f>
        <v>2º GRUPO B</v>
      </c>
      <c r="D85" s="656"/>
      <c r="E85" s="361"/>
      <c r="F85" s="361"/>
      <c r="G85" s="361"/>
      <c r="H85" s="361"/>
      <c r="I85" s="372"/>
      <c r="J85" s="361"/>
      <c r="K85" s="361"/>
      <c r="L85" s="361"/>
      <c r="M85" s="370"/>
      <c r="N85" s="368"/>
    </row>
    <row r="86" spans="1:14" ht="15" customHeight="1" x14ac:dyDescent="0.2">
      <c r="A86" s="629"/>
      <c r="B86" s="349" t="str">
        <f>Idiomas!D146</f>
        <v>3º GRUPO B</v>
      </c>
      <c r="C86" s="342" t="str">
        <f ca="1">IF(OR(SUM(WORLDCUP!$AN$14:$AN$17)=12,WORLDCUP!$AJ$99=144),WORLDCUP!AL16,B86)</f>
        <v>3º GRUPO B</v>
      </c>
      <c r="D86" s="656"/>
      <c r="E86" s="361"/>
      <c r="F86" s="361"/>
      <c r="G86" s="361"/>
      <c r="H86" s="361"/>
      <c r="I86" s="372"/>
      <c r="J86" s="361"/>
      <c r="K86" s="361"/>
      <c r="L86" s="361"/>
      <c r="M86" s="370"/>
      <c r="N86" s="368"/>
    </row>
    <row r="87" spans="1:14" ht="15" customHeight="1" x14ac:dyDescent="0.2">
      <c r="A87" s="629"/>
      <c r="B87" s="349" t="str">
        <f>Idiomas!D147</f>
        <v>4º GRUPO B</v>
      </c>
      <c r="C87" s="342" t="str">
        <f ca="1">IF(OR(SUM(WORLDCUP!$AN$14:$AN$17)=12,WORLDCUP!$AJ$99=144),WORLDCUP!AL17,B87)</f>
        <v>4º GRUPO B</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1º GRUPO C</v>
      </c>
      <c r="D88" s="656"/>
      <c r="E88" s="361"/>
      <c r="F88" s="361"/>
      <c r="G88" s="361"/>
      <c r="H88" s="361"/>
      <c r="I88" s="372"/>
      <c r="J88" s="361"/>
      <c r="K88" s="361"/>
      <c r="L88" s="361"/>
      <c r="M88" s="370"/>
      <c r="N88" s="368"/>
    </row>
    <row r="89" spans="1:14" ht="15" customHeight="1" x14ac:dyDescent="0.2">
      <c r="A89" s="629"/>
      <c r="B89" s="351" t="str">
        <f>Idiomas!D149</f>
        <v>2º GRUPO C</v>
      </c>
      <c r="C89" s="342" t="str">
        <f ca="1">IF(OR(SUM(WORLDCUP!$AN$22:$AN$25)=12,WORLDCUP!$AJ$99=144),WORLDCUP!AL23,B89)</f>
        <v>2º GRUPO C</v>
      </c>
      <c r="D89" s="656"/>
      <c r="E89" s="361"/>
      <c r="F89" s="361"/>
      <c r="G89" s="361"/>
      <c r="H89" s="361"/>
      <c r="I89" s="372"/>
      <c r="J89" s="361"/>
      <c r="K89" s="361"/>
      <c r="L89" s="361"/>
      <c r="M89" s="370"/>
      <c r="N89" s="368"/>
    </row>
    <row r="90" spans="1:14" ht="15" customHeight="1" x14ac:dyDescent="0.2">
      <c r="A90" s="629"/>
      <c r="B90" s="351" t="str">
        <f>Idiomas!D150</f>
        <v>3º GRUPO C</v>
      </c>
      <c r="C90" s="342" t="str">
        <f ca="1">IF(OR(SUM(WORLDCUP!$AN$22:$AN$25)=12,WORLDCUP!$AJ$99=144),WORLDCUP!AL24,B90)</f>
        <v>3º GRUPO C</v>
      </c>
      <c r="D90" s="656"/>
      <c r="E90" s="361"/>
      <c r="F90" s="361"/>
      <c r="G90" s="361"/>
      <c r="H90" s="361"/>
      <c r="I90" s="372"/>
      <c r="J90" s="361"/>
      <c r="K90" s="361"/>
      <c r="L90" s="361"/>
      <c r="M90" s="370"/>
      <c r="N90" s="368"/>
    </row>
    <row r="91" spans="1:14" ht="15" customHeight="1" x14ac:dyDescent="0.2">
      <c r="A91" s="629"/>
      <c r="B91" s="351" t="str">
        <f>Idiomas!D151</f>
        <v>4º GRUPO C</v>
      </c>
      <c r="C91" s="342" t="str">
        <f ca="1">IF(OR(SUM(WORLDCUP!$AN$22:$AN$25)=12,WORLDCUP!$AJ$99=144),WORLDCUP!AL25,B91)</f>
        <v>4º GRUPO C</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1º GRUPO D</v>
      </c>
      <c r="D92" s="656"/>
      <c r="E92" s="361"/>
      <c r="F92" s="361"/>
      <c r="G92" s="361"/>
      <c r="H92" s="361"/>
      <c r="I92" s="372"/>
      <c r="J92" s="361"/>
      <c r="K92" s="361"/>
      <c r="L92" s="361"/>
      <c r="M92" s="370"/>
      <c r="N92" s="368"/>
    </row>
    <row r="93" spans="1:14" ht="15" customHeight="1" x14ac:dyDescent="0.2">
      <c r="A93" s="629"/>
      <c r="B93" s="349" t="str">
        <f>Idiomas!D153</f>
        <v>2º GRUPO D</v>
      </c>
      <c r="C93" s="342" t="str">
        <f ca="1">IF(OR(SUM(WORLDCUP!$AN$30:$AN$33)=12,WORLDCUP!$AJ$99=144),WORLDCUP!AL31,B93)</f>
        <v>2º GRUPO D</v>
      </c>
      <c r="D93" s="656"/>
      <c r="E93" s="361"/>
      <c r="F93" s="361"/>
      <c r="G93" s="361"/>
      <c r="H93" s="361"/>
      <c r="I93" s="372"/>
      <c r="J93" s="361"/>
      <c r="K93" s="361"/>
      <c r="L93" s="361"/>
      <c r="M93" s="370"/>
      <c r="N93" s="368"/>
    </row>
    <row r="94" spans="1:14" ht="15" customHeight="1" x14ac:dyDescent="0.2">
      <c r="A94" s="629"/>
      <c r="B94" s="349" t="str">
        <f>Idiomas!D154</f>
        <v>3º GRUPO D</v>
      </c>
      <c r="C94" s="342" t="str">
        <f ca="1">IF(OR(SUM(WORLDCUP!$AN$30:$AN$33)=12,WORLDCUP!$AJ$99=144),WORLDCUP!AL32,B94)</f>
        <v>3º GRUPO D</v>
      </c>
      <c r="D94" s="656"/>
      <c r="E94" s="361"/>
      <c r="F94" s="361"/>
      <c r="G94" s="361"/>
      <c r="H94" s="361"/>
      <c r="I94" s="372"/>
      <c r="J94" s="361"/>
      <c r="K94" s="361"/>
      <c r="L94" s="361"/>
      <c r="M94" s="370"/>
      <c r="N94" s="368"/>
    </row>
    <row r="95" spans="1:14" ht="15" customHeight="1" x14ac:dyDescent="0.2">
      <c r="A95" s="629"/>
      <c r="B95" s="349" t="str">
        <f>Idiomas!D155</f>
        <v>4º GRUPO D</v>
      </c>
      <c r="C95" s="342" t="str">
        <f ca="1">IF(OR(SUM(WORLDCUP!$AN$30:$AN$33)=12,WORLDCUP!$AJ$99=144),WORLDCUP!AL33,B95)</f>
        <v>4º GRUPO D</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1º GRUPO E</v>
      </c>
      <c r="D96" s="656"/>
      <c r="E96" s="361"/>
      <c r="F96" s="361"/>
      <c r="G96" s="361"/>
      <c r="H96" s="361"/>
      <c r="I96" s="372"/>
      <c r="J96" s="361"/>
      <c r="K96" s="361"/>
      <c r="L96" s="361"/>
      <c r="M96" s="370"/>
      <c r="N96" s="368"/>
    </row>
    <row r="97" spans="1:14" ht="15" customHeight="1" x14ac:dyDescent="0.2">
      <c r="A97" s="629"/>
      <c r="B97" s="351" t="str">
        <f>Idiomas!D157</f>
        <v>2º GRUPO E</v>
      </c>
      <c r="C97" s="342" t="str">
        <f ca="1">IF(OR(SUM(WORLDCUP!$AN$38:$AN$41)=12,WORLDCUP!$AJ$99=144),WORLDCUP!AL39,B97)</f>
        <v>2º GRUPO E</v>
      </c>
      <c r="D97" s="656"/>
      <c r="E97" s="361"/>
      <c r="F97" s="361"/>
      <c r="G97" s="361"/>
      <c r="H97" s="361"/>
      <c r="I97" s="372"/>
      <c r="J97" s="361"/>
      <c r="K97" s="361"/>
      <c r="L97" s="361"/>
      <c r="M97" s="370"/>
      <c r="N97" s="368"/>
    </row>
    <row r="98" spans="1:14" ht="15" customHeight="1" x14ac:dyDescent="0.2">
      <c r="A98" s="629"/>
      <c r="B98" s="351" t="str">
        <f>Idiomas!D158</f>
        <v>3º GRUPO E</v>
      </c>
      <c r="C98" s="342" t="str">
        <f ca="1">IF(OR(SUM(WORLDCUP!$AN$38:$AN$41)=12,WORLDCUP!$AJ$99=144),WORLDCUP!AL40,B98)</f>
        <v>3º GRUPO E</v>
      </c>
      <c r="D98" s="656"/>
      <c r="E98" s="361"/>
      <c r="F98" s="361"/>
      <c r="G98" s="361"/>
      <c r="H98" s="361"/>
      <c r="I98" s="372"/>
      <c r="J98" s="361"/>
      <c r="K98" s="361"/>
      <c r="L98" s="361"/>
      <c r="M98" s="370"/>
      <c r="N98" s="368"/>
    </row>
    <row r="99" spans="1:14" ht="15" customHeight="1" x14ac:dyDescent="0.2">
      <c r="A99" s="629"/>
      <c r="B99" s="351" t="str">
        <f>Idiomas!D159</f>
        <v>4º GRUPO E</v>
      </c>
      <c r="C99" s="342" t="str">
        <f ca="1">IF(OR(SUM(WORLDCUP!$AN$38:$AN$41)=12,WORLDCUP!$AJ$99=144),WORLDCUP!AL41,B99)</f>
        <v>4º GRUPO E</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1º GRUPO F</v>
      </c>
      <c r="D100" s="656"/>
      <c r="E100" s="361"/>
      <c r="F100" s="361"/>
      <c r="G100" s="361"/>
      <c r="H100" s="361"/>
      <c r="I100" s="372"/>
      <c r="J100" s="361"/>
      <c r="K100" s="361"/>
      <c r="L100" s="361"/>
      <c r="M100" s="370"/>
      <c r="N100" s="368"/>
    </row>
    <row r="101" spans="1:14" ht="15" customHeight="1" x14ac:dyDescent="0.2">
      <c r="A101" s="629"/>
      <c r="B101" s="349" t="str">
        <f>Idiomas!D161</f>
        <v>2º GRUPO F</v>
      </c>
      <c r="C101" s="342" t="str">
        <f ca="1">IF(OR(SUM(WORLDCUP!$AN$46:$AN$49)=12,WORLDCUP!$AJ$99=144),WORLDCUP!AL47,B101)</f>
        <v>2º GRUPO F</v>
      </c>
      <c r="D101" s="656"/>
      <c r="E101" s="361"/>
      <c r="F101" s="361"/>
      <c r="G101" s="361"/>
      <c r="H101" s="361"/>
      <c r="I101" s="372"/>
      <c r="J101" s="361"/>
      <c r="K101" s="361"/>
      <c r="L101" s="361"/>
      <c r="M101" s="370"/>
      <c r="N101" s="368"/>
    </row>
    <row r="102" spans="1:14" ht="15" customHeight="1" x14ac:dyDescent="0.2">
      <c r="A102" s="629"/>
      <c r="B102" s="349" t="str">
        <f>Idiomas!D162</f>
        <v>3º GRUPO F</v>
      </c>
      <c r="C102" s="342" t="str">
        <f ca="1">IF(OR(SUM(WORLDCUP!$AN$46:$AN$49)=12,WORLDCUP!$AJ$99=144),WORLDCUP!AL48,B102)</f>
        <v>3º GRUPO F</v>
      </c>
      <c r="D102" s="656"/>
      <c r="E102" s="361"/>
      <c r="F102" s="361"/>
      <c r="G102" s="361"/>
      <c r="H102" s="361"/>
      <c r="I102" s="372"/>
      <c r="J102" s="361"/>
      <c r="K102" s="361"/>
      <c r="L102" s="361"/>
      <c r="M102" s="370"/>
      <c r="N102" s="368"/>
    </row>
    <row r="103" spans="1:14" ht="15" customHeight="1" x14ac:dyDescent="0.2">
      <c r="A103" s="629"/>
      <c r="B103" s="349" t="str">
        <f>Idiomas!D163</f>
        <v>4º GRUPO F</v>
      </c>
      <c r="C103" s="342" t="str">
        <f ca="1">IF(OR(SUM(WORLDCUP!$AN$46:$AN$49)=12,WORLDCUP!$AJ$99=144),WORLDCUP!AL49,B103)</f>
        <v>4º GRUPO F</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1º GRUPO G</v>
      </c>
      <c r="D104" s="656"/>
      <c r="E104" s="361"/>
      <c r="F104" s="361"/>
      <c r="G104" s="361"/>
      <c r="H104" s="361"/>
      <c r="I104" s="372"/>
      <c r="J104" s="361"/>
      <c r="K104" s="361"/>
      <c r="L104" s="361"/>
      <c r="M104" s="370"/>
      <c r="N104" s="368"/>
    </row>
    <row r="105" spans="1:14" ht="15" customHeight="1" x14ac:dyDescent="0.2">
      <c r="A105" s="629"/>
      <c r="B105" s="351" t="str">
        <f>Idiomas!D165</f>
        <v>2º GRUPO G</v>
      </c>
      <c r="C105" s="342" t="str">
        <f ca="1">IF(OR(SUM(WORLDCUP!$AN$54:$AN$57)=12,WORLDCUP!$AJ$99=144),WORLDCUP!AL55,B105)</f>
        <v>2º GRUPO G</v>
      </c>
      <c r="D105" s="656"/>
      <c r="E105" s="361"/>
      <c r="F105" s="361"/>
      <c r="G105" s="361"/>
      <c r="H105" s="361"/>
      <c r="I105" s="372"/>
      <c r="J105" s="361"/>
      <c r="K105" s="361"/>
      <c r="L105" s="361"/>
      <c r="M105" s="370"/>
      <c r="N105" s="368"/>
    </row>
    <row r="106" spans="1:14" ht="15" customHeight="1" x14ac:dyDescent="0.2">
      <c r="A106" s="629"/>
      <c r="B106" s="351" t="str">
        <f>Idiomas!D166</f>
        <v>3º GRUPO G</v>
      </c>
      <c r="C106" s="342" t="str">
        <f ca="1">IF(OR(SUM(WORLDCUP!$AN$54:$AN$57)=12,WORLDCUP!$AJ$99=144),WORLDCUP!AL56,B106)</f>
        <v>3º GRUPO G</v>
      </c>
      <c r="D106" s="656"/>
      <c r="E106" s="361"/>
      <c r="F106" s="361"/>
      <c r="G106" s="361"/>
      <c r="H106" s="361"/>
      <c r="I106" s="372"/>
      <c r="J106" s="361"/>
      <c r="K106" s="361"/>
      <c r="L106" s="361"/>
      <c r="M106" s="370"/>
      <c r="N106" s="368"/>
    </row>
    <row r="107" spans="1:14" ht="15" customHeight="1" x14ac:dyDescent="0.2">
      <c r="A107" s="629"/>
      <c r="B107" s="351" t="str">
        <f>Idiomas!D167</f>
        <v>4º GRUPO G</v>
      </c>
      <c r="C107" s="342" t="str">
        <f ca="1">IF(OR(SUM(WORLDCUP!$AN$54:$AN$57)=12,WORLDCUP!$AJ$99=144),WORLDCUP!AL57,B107)</f>
        <v>4º GRUPO G</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1º GRUPO H</v>
      </c>
      <c r="D108" s="656"/>
      <c r="E108" s="361"/>
      <c r="F108" s="361"/>
      <c r="G108" s="361"/>
      <c r="H108" s="361"/>
      <c r="I108" s="372"/>
      <c r="J108" s="361"/>
      <c r="K108" s="361"/>
      <c r="L108" s="361"/>
      <c r="M108" s="370"/>
      <c r="N108" s="368"/>
    </row>
    <row r="109" spans="1:14" ht="15" customHeight="1" x14ac:dyDescent="0.2">
      <c r="A109" s="629"/>
      <c r="B109" s="349" t="str">
        <f>Idiomas!D169</f>
        <v>2º GRUPO H</v>
      </c>
      <c r="C109" s="342" t="str">
        <f ca="1">IF(OR(SUM(WORLDCUP!$AN$62:$AN$65)=12,WORLDCUP!$AJ$99=144),WORLDCUP!AL63,B109)</f>
        <v>2º GRUPO H</v>
      </c>
      <c r="D109" s="656"/>
      <c r="E109" s="361"/>
      <c r="F109" s="361"/>
      <c r="G109" s="361"/>
      <c r="H109" s="361"/>
      <c r="I109" s="372"/>
      <c r="J109" s="361"/>
      <c r="K109" s="361"/>
      <c r="L109" s="361"/>
      <c r="M109" s="370"/>
      <c r="N109" s="368"/>
    </row>
    <row r="110" spans="1:14" ht="15" customHeight="1" x14ac:dyDescent="0.2">
      <c r="A110" s="629"/>
      <c r="B110" s="349" t="str">
        <f>Idiomas!D170</f>
        <v>3º GRUPO H</v>
      </c>
      <c r="C110" s="342" t="str">
        <f ca="1">IF(OR(SUM(WORLDCUP!$AN$62:$AN$65)=12,WORLDCUP!$AJ$99=144),WORLDCUP!AL64,B110)</f>
        <v>3º GRUPO H</v>
      </c>
      <c r="D110" s="656"/>
      <c r="E110" s="361"/>
      <c r="F110" s="361"/>
      <c r="G110" s="361"/>
      <c r="H110" s="361"/>
      <c r="I110" s="372"/>
      <c r="J110" s="361"/>
      <c r="K110" s="361"/>
      <c r="L110" s="361"/>
      <c r="M110" s="370"/>
      <c r="N110" s="368"/>
    </row>
    <row r="111" spans="1:14" ht="15" customHeight="1" x14ac:dyDescent="0.2">
      <c r="A111" s="629"/>
      <c r="B111" s="349" t="str">
        <f>Idiomas!D171</f>
        <v>4º GRUPO H</v>
      </c>
      <c r="C111" s="342" t="str">
        <f ca="1">IF(OR(SUM(WORLDCUP!$AN$62:$AN$65)=12,WORLDCUP!$AJ$99=144),WORLDCUP!AL65,B111)</f>
        <v>4º GRUPO H</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1º GRUPO I</v>
      </c>
      <c r="D112" s="656"/>
      <c r="E112" s="361"/>
      <c r="F112" s="361"/>
      <c r="G112" s="361"/>
      <c r="H112" s="361"/>
      <c r="I112" s="372"/>
      <c r="J112" s="361"/>
      <c r="K112" s="361"/>
      <c r="L112" s="361"/>
      <c r="M112" s="370"/>
      <c r="N112" s="368"/>
    </row>
    <row r="113" spans="1:14" ht="15" customHeight="1" x14ac:dyDescent="0.2">
      <c r="A113" s="629"/>
      <c r="B113" s="351" t="str">
        <f>Idiomas!D173</f>
        <v>2º GRUPO I</v>
      </c>
      <c r="C113" s="342" t="str">
        <f ca="1">IF(OR(SUM(WORLDCUP!$AN$70:$AN$73)=12,WORLDCUP!$AJ$99=144),WORLDCUP!AL71,B113)</f>
        <v>2º GRUPO I</v>
      </c>
      <c r="D113" s="656"/>
      <c r="E113" s="361"/>
      <c r="F113" s="361"/>
      <c r="G113" s="361"/>
      <c r="H113" s="361"/>
      <c r="I113" s="372"/>
      <c r="J113" s="361"/>
      <c r="K113" s="361"/>
      <c r="L113" s="361"/>
      <c r="M113" s="370"/>
      <c r="N113" s="368"/>
    </row>
    <row r="114" spans="1:14" ht="15" customHeight="1" x14ac:dyDescent="0.2">
      <c r="A114" s="629"/>
      <c r="B114" s="351" t="str">
        <f>Idiomas!D174</f>
        <v>3º GRUPO I</v>
      </c>
      <c r="C114" s="342" t="str">
        <f ca="1">IF(OR(SUM(WORLDCUP!$AN$70:$AN$73)=12,WORLDCUP!$AJ$99=144),WORLDCUP!AL72,B114)</f>
        <v>3º GRUPO I</v>
      </c>
      <c r="D114" s="656"/>
      <c r="E114" s="361"/>
      <c r="F114" s="361"/>
      <c r="G114" s="361"/>
      <c r="H114" s="361"/>
      <c r="I114" s="372"/>
      <c r="J114" s="361"/>
      <c r="K114" s="361"/>
      <c r="L114" s="361"/>
      <c r="M114" s="370"/>
      <c r="N114" s="368"/>
    </row>
    <row r="115" spans="1:14" ht="15" customHeight="1" x14ac:dyDescent="0.2">
      <c r="A115" s="629"/>
      <c r="B115" s="351" t="str">
        <f>Idiomas!D175</f>
        <v>4º GRUPO I</v>
      </c>
      <c r="C115" s="342" t="str">
        <f ca="1">IF(OR(SUM(WORLDCUP!$AN$70:$AN$73)=12,WORLDCUP!$AJ$99=144),WORLDCUP!AL73,B115)</f>
        <v>4º GRUPO I</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1º GRUPO J</v>
      </c>
      <c r="D116" s="656"/>
      <c r="E116" s="361"/>
      <c r="F116" s="361"/>
      <c r="G116" s="361"/>
      <c r="H116" s="361"/>
      <c r="I116" s="372"/>
      <c r="J116" s="361"/>
      <c r="K116" s="361"/>
      <c r="L116" s="361"/>
      <c r="M116" s="370"/>
      <c r="N116" s="368"/>
    </row>
    <row r="117" spans="1:14" ht="15" customHeight="1" x14ac:dyDescent="0.2">
      <c r="A117" s="629"/>
      <c r="B117" s="349" t="str">
        <f>Idiomas!D177</f>
        <v>2º GRUPO J</v>
      </c>
      <c r="C117" s="342" t="str">
        <f ca="1">IF(OR(SUM(WORLDCUP!$AN$78:$AN$81)=12,WORLDCUP!$AJ$99=144),WORLDCUP!AL79,B117)</f>
        <v>2º GRUPO J</v>
      </c>
      <c r="D117" s="656"/>
      <c r="E117" s="361"/>
      <c r="F117" s="361"/>
      <c r="G117" s="361"/>
      <c r="H117" s="361"/>
      <c r="I117" s="372"/>
      <c r="J117" s="361"/>
      <c r="K117" s="361"/>
      <c r="L117" s="361"/>
      <c r="M117" s="370"/>
      <c r="N117" s="368"/>
    </row>
    <row r="118" spans="1:14" ht="15" customHeight="1" x14ac:dyDescent="0.2">
      <c r="A118" s="629"/>
      <c r="B118" s="349" t="str">
        <f>Idiomas!D178</f>
        <v>3º GRUPO J</v>
      </c>
      <c r="C118" s="342" t="str">
        <f ca="1">IF(OR(SUM(WORLDCUP!$AN$78:$AN$81)=12,WORLDCUP!$AJ$99=144),WORLDCUP!AL80,B118)</f>
        <v>3º GRUPO J</v>
      </c>
      <c r="D118" s="656"/>
      <c r="E118" s="361"/>
      <c r="F118" s="361"/>
      <c r="G118" s="361"/>
      <c r="H118" s="361"/>
      <c r="I118" s="372"/>
      <c r="J118" s="361"/>
      <c r="K118" s="361"/>
      <c r="L118" s="361"/>
      <c r="M118" s="370"/>
      <c r="N118" s="368"/>
    </row>
    <row r="119" spans="1:14" ht="15" customHeight="1" x14ac:dyDescent="0.2">
      <c r="A119" s="629"/>
      <c r="B119" s="349" t="str">
        <f>Idiomas!D179</f>
        <v>4º GRUPO J</v>
      </c>
      <c r="C119" s="342" t="str">
        <f ca="1">IF(OR(SUM(WORLDCUP!$AN$78:$AN$81)=12,WORLDCUP!$AJ$99=144),WORLDCUP!AL81,B119)</f>
        <v>4º GRUPO J</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1º GRUPO K</v>
      </c>
      <c r="D120" s="656"/>
      <c r="E120" s="361"/>
      <c r="F120" s="361"/>
      <c r="G120" s="361"/>
      <c r="H120" s="361"/>
      <c r="I120" s="372"/>
      <c r="J120" s="361"/>
      <c r="K120" s="361"/>
      <c r="L120" s="361"/>
      <c r="M120" s="370"/>
      <c r="N120" s="368"/>
    </row>
    <row r="121" spans="1:14" ht="15" customHeight="1" x14ac:dyDescent="0.2">
      <c r="A121" s="629"/>
      <c r="B121" s="351" t="str">
        <f>Idiomas!D181</f>
        <v>2º GRUPO K</v>
      </c>
      <c r="C121" s="342" t="str">
        <f ca="1">IF(OR(SUM(WORLDCUP!$AN$86:$AN$89)=12,WORLDCUP!$AJ$99=144),WORLDCUP!AL87,B121)</f>
        <v>2º GRUPO K</v>
      </c>
      <c r="D121" s="656"/>
      <c r="E121" s="361"/>
      <c r="F121" s="361"/>
      <c r="G121" s="361"/>
      <c r="H121" s="361"/>
      <c r="I121" s="372"/>
      <c r="J121" s="361"/>
      <c r="K121" s="361"/>
      <c r="L121" s="361"/>
      <c r="M121" s="370"/>
      <c r="N121" s="368"/>
    </row>
    <row r="122" spans="1:14" ht="15" customHeight="1" x14ac:dyDescent="0.2">
      <c r="A122" s="629"/>
      <c r="B122" s="351" t="str">
        <f>Idiomas!D182</f>
        <v>3º GRUPO K</v>
      </c>
      <c r="C122" s="342" t="str">
        <f ca="1">IF(OR(SUM(WORLDCUP!$AN$86:$AN$89)=12,WORLDCUP!$AJ$99=144),WORLDCUP!AL88,B122)</f>
        <v>3º GRUPO K</v>
      </c>
      <c r="D122" s="656"/>
      <c r="E122" s="361"/>
      <c r="F122" s="361"/>
      <c r="G122" s="361"/>
      <c r="H122" s="361"/>
      <c r="I122" s="372"/>
      <c r="J122" s="361"/>
      <c r="K122" s="361"/>
      <c r="L122" s="361"/>
      <c r="M122" s="370"/>
      <c r="N122" s="368"/>
    </row>
    <row r="123" spans="1:14" ht="15" customHeight="1" x14ac:dyDescent="0.2">
      <c r="A123" s="629"/>
      <c r="B123" s="351" t="str">
        <f>Idiomas!D183</f>
        <v>4º GRUPO K</v>
      </c>
      <c r="C123" s="342" t="str">
        <f ca="1">IF(OR(SUM(WORLDCUP!$AN$86:$AN$89)=12,WORLDCUP!$AJ$99=144),WORLDCUP!AL89,B123)</f>
        <v>4º GRUPO K</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1º GRUPO L</v>
      </c>
      <c r="D124" s="656"/>
      <c r="E124" s="361"/>
      <c r="F124" s="361"/>
      <c r="G124" s="361"/>
      <c r="H124" s="361"/>
      <c r="I124" s="372"/>
      <c r="J124" s="361"/>
      <c r="K124" s="361"/>
      <c r="L124" s="361"/>
      <c r="M124" s="370"/>
      <c r="N124" s="368"/>
    </row>
    <row r="125" spans="1:14" ht="15" customHeight="1" x14ac:dyDescent="0.2">
      <c r="A125" s="629"/>
      <c r="B125" s="349" t="str">
        <f>Idiomas!D185</f>
        <v>2º GRUPO L</v>
      </c>
      <c r="C125" s="342" t="str">
        <f ca="1">IF(OR(SUM(WORLDCUP!$AN$94:$AN$97)=12,WORLDCUP!$AJ$99=144),WORLDCUP!AL95,B125)</f>
        <v>2º GRUPO L</v>
      </c>
      <c r="D125" s="656"/>
      <c r="E125" s="361"/>
      <c r="F125" s="361"/>
      <c r="G125" s="361"/>
      <c r="H125" s="361"/>
      <c r="I125" s="372"/>
      <c r="J125" s="361"/>
      <c r="K125" s="361"/>
      <c r="L125" s="361"/>
      <c r="M125" s="370"/>
      <c r="N125" s="368"/>
    </row>
    <row r="126" spans="1:14" ht="15" customHeight="1" x14ac:dyDescent="0.2">
      <c r="A126" s="629"/>
      <c r="B126" s="349" t="str">
        <f>Idiomas!D186</f>
        <v>3º GRUPO L</v>
      </c>
      <c r="C126" s="342" t="str">
        <f ca="1">IF(OR(SUM(WORLDCUP!$AN$94:$AN$97)=12,WORLDCUP!$AJ$99=144),WORLDCUP!AL96,B126)</f>
        <v>3º GRUPO L</v>
      </c>
      <c r="D126" s="656"/>
      <c r="E126" s="361"/>
      <c r="F126" s="361"/>
      <c r="G126" s="361"/>
      <c r="H126" s="361"/>
      <c r="I126" s="372"/>
      <c r="J126" s="361"/>
      <c r="K126" s="361"/>
      <c r="L126" s="361"/>
      <c r="M126" s="370"/>
      <c r="N126" s="368"/>
    </row>
    <row r="127" spans="1:14" ht="15" customHeight="1" x14ac:dyDescent="0.2">
      <c r="A127" s="629"/>
      <c r="B127" s="349" t="str">
        <f>Idiomas!D187</f>
        <v>4º GRUPO L</v>
      </c>
      <c r="C127" s="342" t="str">
        <f ca="1">IF(OR(SUM(WORLDCUP!$AN$94:$AN$97)=12,WORLDCUP!$AJ$99=144),WORLDCUP!AL97,B127)</f>
        <v>4º GRUPO L</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2A</v>
      </c>
      <c r="D130" s="656"/>
      <c r="E130" s="361"/>
      <c r="F130" s="361"/>
      <c r="G130" s="361"/>
      <c r="H130" s="361"/>
      <c r="I130" s="372"/>
      <c r="J130" s="361"/>
      <c r="K130" s="361"/>
      <c r="L130" s="361"/>
      <c r="M130" s="370"/>
      <c r="N130" s="368"/>
    </row>
    <row r="131" spans="1:14" ht="15" customHeight="1" x14ac:dyDescent="0.2">
      <c r="A131" s="629"/>
      <c r="B131" s="352" t="str">
        <f t="shared" ref="B131:B145" si="0">B130</f>
        <v>Dieciseisavofinalista</v>
      </c>
      <c r="C131" s="342" t="str">
        <f ca="1">WORLDCUP!AA102</f>
        <v>1C</v>
      </c>
      <c r="D131" s="656"/>
      <c r="E131" s="361"/>
      <c r="F131" s="361"/>
      <c r="G131" s="361"/>
      <c r="H131" s="361"/>
      <c r="I131" s="372"/>
      <c r="J131" s="361"/>
      <c r="K131" s="361"/>
      <c r="L131" s="361"/>
      <c r="M131" s="370"/>
      <c r="N131" s="368"/>
    </row>
    <row r="132" spans="1:14" ht="15" customHeight="1" x14ac:dyDescent="0.2">
      <c r="A132" s="629"/>
      <c r="B132" s="352" t="str">
        <f t="shared" si="0"/>
        <v>Dieciseisavofinalista</v>
      </c>
      <c r="C132" s="342" t="str">
        <f ca="1">WORLDCUP!AA103</f>
        <v>1E</v>
      </c>
      <c r="D132" s="656"/>
      <c r="E132" s="361"/>
      <c r="F132" s="361"/>
      <c r="G132" s="361"/>
      <c r="H132" s="361"/>
      <c r="I132" s="372"/>
      <c r="J132" s="361"/>
      <c r="K132" s="361"/>
      <c r="L132" s="361"/>
      <c r="M132" s="370"/>
      <c r="N132" s="368"/>
    </row>
    <row r="133" spans="1:14" ht="15" customHeight="1" x14ac:dyDescent="0.2">
      <c r="A133" s="629"/>
      <c r="B133" s="352" t="str">
        <f t="shared" si="0"/>
        <v>Dieciseisavofinalista</v>
      </c>
      <c r="C133" s="342" t="str">
        <f ca="1">WORLDCUP!AA104</f>
        <v>1F</v>
      </c>
      <c r="D133" s="656"/>
      <c r="E133" s="361"/>
      <c r="F133" s="361"/>
      <c r="G133" s="361"/>
      <c r="H133" s="361"/>
      <c r="I133" s="372"/>
      <c r="J133" s="361"/>
      <c r="K133" s="361"/>
      <c r="L133" s="361"/>
      <c r="M133" s="370"/>
      <c r="N133" s="368"/>
    </row>
    <row r="134" spans="1:14" ht="15" customHeight="1" x14ac:dyDescent="0.2">
      <c r="A134" s="629"/>
      <c r="B134" s="352" t="str">
        <f t="shared" si="0"/>
        <v>Dieciseisavofinalista</v>
      </c>
      <c r="C134" s="342" t="str">
        <f ca="1">WORLDCUP!AA105</f>
        <v>2E</v>
      </c>
      <c r="D134" s="656"/>
      <c r="E134" s="361"/>
      <c r="F134" s="361"/>
      <c r="G134" s="361"/>
      <c r="H134" s="361"/>
      <c r="I134" s="372"/>
      <c r="J134" s="361"/>
      <c r="K134" s="361"/>
      <c r="L134" s="361"/>
      <c r="M134" s="370"/>
      <c r="N134" s="368"/>
    </row>
    <row r="135" spans="1:14" ht="15" customHeight="1" x14ac:dyDescent="0.2">
      <c r="A135" s="629"/>
      <c r="B135" s="352" t="str">
        <f t="shared" si="0"/>
        <v>Dieciseisavofinalista</v>
      </c>
      <c r="C135" s="342" t="str">
        <f ca="1">WORLDCUP!AA106</f>
        <v>1I</v>
      </c>
      <c r="D135" s="656"/>
      <c r="E135" s="361"/>
      <c r="F135" s="361"/>
      <c r="G135" s="361"/>
      <c r="H135" s="361"/>
      <c r="I135" s="372"/>
      <c r="J135" s="361"/>
      <c r="K135" s="361"/>
      <c r="L135" s="361"/>
      <c r="M135" s="370"/>
      <c r="N135" s="368"/>
    </row>
    <row r="136" spans="1:14" ht="15" customHeight="1" x14ac:dyDescent="0.2">
      <c r="A136" s="629"/>
      <c r="B136" s="352" t="str">
        <f t="shared" si="0"/>
        <v>Dieciseisavofinalista</v>
      </c>
      <c r="C136" s="342" t="str">
        <f ca="1">WORLDCUP!AA107</f>
        <v>1A</v>
      </c>
      <c r="D136" s="656"/>
      <c r="E136" s="361"/>
      <c r="F136" s="361"/>
      <c r="G136" s="361"/>
      <c r="H136" s="361"/>
      <c r="I136" s="372"/>
      <c r="J136" s="361"/>
      <c r="K136" s="361"/>
      <c r="L136" s="361"/>
      <c r="M136" s="370"/>
      <c r="N136" s="368"/>
    </row>
    <row r="137" spans="1:14" ht="15" customHeight="1" x14ac:dyDescent="0.2">
      <c r="A137" s="629"/>
      <c r="B137" s="352" t="str">
        <f t="shared" si="0"/>
        <v>Dieciseisavofinalista</v>
      </c>
      <c r="C137" s="342" t="str">
        <f ca="1">WORLDCUP!AA108</f>
        <v>1L</v>
      </c>
      <c r="D137" s="656"/>
      <c r="E137" s="361"/>
      <c r="F137" s="361"/>
      <c r="G137" s="361"/>
      <c r="H137" s="361"/>
      <c r="I137" s="372"/>
      <c r="J137" s="361"/>
      <c r="K137" s="361"/>
      <c r="L137" s="361"/>
      <c r="M137" s="370"/>
      <c r="N137" s="368"/>
    </row>
    <row r="138" spans="1:14" ht="15" customHeight="1" x14ac:dyDescent="0.2">
      <c r="A138" s="629"/>
      <c r="B138" s="352" t="str">
        <f t="shared" si="0"/>
        <v>Dieciseisavofinalista</v>
      </c>
      <c r="C138" s="342" t="str">
        <f ca="1">WORLDCUP!AA109</f>
        <v>1G</v>
      </c>
      <c r="D138" s="656"/>
      <c r="E138" s="361"/>
      <c r="F138" s="361"/>
      <c r="G138" s="361"/>
      <c r="H138" s="361"/>
      <c r="I138" s="372"/>
      <c r="J138" s="361"/>
      <c r="K138" s="361"/>
      <c r="L138" s="361"/>
      <c r="M138" s="370"/>
      <c r="N138" s="368"/>
    </row>
    <row r="139" spans="1:14" ht="15" customHeight="1" x14ac:dyDescent="0.2">
      <c r="A139" s="629"/>
      <c r="B139" s="352" t="str">
        <f t="shared" si="0"/>
        <v>Dieciseisavofinalista</v>
      </c>
      <c r="C139" s="342" t="str">
        <f ca="1">WORLDCUP!AA110</f>
        <v>1D</v>
      </c>
      <c r="D139" s="656"/>
      <c r="E139" s="361"/>
      <c r="F139" s="361"/>
      <c r="G139" s="361"/>
      <c r="H139" s="361"/>
      <c r="I139" s="372"/>
      <c r="J139" s="361"/>
      <c r="K139" s="361"/>
      <c r="L139" s="361"/>
      <c r="M139" s="370"/>
      <c r="N139" s="368"/>
    </row>
    <row r="140" spans="1:14" ht="15" customHeight="1" x14ac:dyDescent="0.2">
      <c r="A140" s="629"/>
      <c r="B140" s="352" t="str">
        <f t="shared" si="0"/>
        <v>Dieciseisavofinalista</v>
      </c>
      <c r="C140" s="342" t="str">
        <f ca="1">WORLDCUP!AA111</f>
        <v>1H</v>
      </c>
      <c r="D140" s="656"/>
      <c r="E140" s="361"/>
      <c r="F140" s="361"/>
      <c r="G140" s="361"/>
      <c r="H140" s="361"/>
      <c r="I140" s="372"/>
      <c r="J140" s="361"/>
      <c r="K140" s="361"/>
      <c r="L140" s="361"/>
      <c r="M140" s="370"/>
      <c r="N140" s="368"/>
    </row>
    <row r="141" spans="1:14" ht="15" customHeight="1" x14ac:dyDescent="0.2">
      <c r="A141" s="629"/>
      <c r="B141" s="352" t="str">
        <f t="shared" si="0"/>
        <v>Dieciseisavofinalista</v>
      </c>
      <c r="C141" s="342" t="str">
        <f ca="1">WORLDCUP!AA112</f>
        <v>2K</v>
      </c>
      <c r="D141" s="656"/>
      <c r="E141" s="361"/>
      <c r="F141" s="361"/>
      <c r="G141" s="361"/>
      <c r="H141" s="361"/>
      <c r="I141" s="372"/>
      <c r="J141" s="361"/>
      <c r="K141" s="361"/>
      <c r="L141" s="361"/>
      <c r="M141" s="370"/>
      <c r="N141" s="368"/>
    </row>
    <row r="142" spans="1:14" ht="15" customHeight="1" x14ac:dyDescent="0.2">
      <c r="A142" s="629"/>
      <c r="B142" s="352" t="str">
        <f t="shared" si="0"/>
        <v>Dieciseisavofinalista</v>
      </c>
      <c r="C142" s="342" t="str">
        <f ca="1">WORLDCUP!AA113</f>
        <v>1B</v>
      </c>
      <c r="D142" s="656"/>
      <c r="E142" s="361"/>
      <c r="F142" s="361"/>
      <c r="G142" s="361"/>
      <c r="H142" s="361"/>
      <c r="I142" s="372"/>
      <c r="J142" s="361"/>
      <c r="K142" s="361"/>
      <c r="L142" s="361"/>
      <c r="M142" s="370"/>
      <c r="N142" s="368"/>
    </row>
    <row r="143" spans="1:14" ht="15" customHeight="1" x14ac:dyDescent="0.2">
      <c r="A143" s="629"/>
      <c r="B143" s="352" t="str">
        <f t="shared" si="0"/>
        <v>Dieciseisavofinalista</v>
      </c>
      <c r="C143" s="342" t="str">
        <f ca="1">WORLDCUP!AA114</f>
        <v>2D</v>
      </c>
      <c r="D143" s="656"/>
      <c r="E143" s="361"/>
      <c r="F143" s="361"/>
      <c r="G143" s="361"/>
      <c r="H143" s="361"/>
      <c r="I143" s="372"/>
      <c r="J143" s="361"/>
      <c r="K143" s="361"/>
      <c r="L143" s="361"/>
      <c r="M143" s="370"/>
      <c r="N143" s="368"/>
    </row>
    <row r="144" spans="1:14" ht="15" customHeight="1" x14ac:dyDescent="0.2">
      <c r="A144" s="629"/>
      <c r="B144" s="352" t="str">
        <f t="shared" si="0"/>
        <v>Dieciseisavofinalista</v>
      </c>
      <c r="C144" s="342" t="str">
        <f ca="1">WORLDCUP!AA115</f>
        <v>1J</v>
      </c>
      <c r="D144" s="656"/>
      <c r="E144" s="361"/>
      <c r="F144" s="361"/>
      <c r="G144" s="361"/>
      <c r="H144" s="361"/>
      <c r="I144" s="372"/>
      <c r="J144" s="361"/>
      <c r="K144" s="361"/>
      <c r="L144" s="361"/>
      <c r="M144" s="370"/>
      <c r="N144" s="368"/>
    </row>
    <row r="145" spans="1:14" ht="15" customHeight="1" x14ac:dyDescent="0.2">
      <c r="A145" s="629"/>
      <c r="B145" s="352" t="str">
        <f t="shared" si="0"/>
        <v>Dieciseisavofinalista</v>
      </c>
      <c r="C145" s="342" t="str">
        <f ca="1">WORLDCUP!AA116</f>
        <v>1K</v>
      </c>
      <c r="D145" s="656"/>
      <c r="E145" s="361"/>
      <c r="F145" s="361"/>
      <c r="G145" s="361"/>
      <c r="H145" s="361"/>
      <c r="I145" s="372"/>
      <c r="J145" s="361"/>
      <c r="K145" s="361"/>
      <c r="L145" s="361"/>
      <c r="M145" s="370"/>
      <c r="N145" s="368"/>
    </row>
    <row r="146" spans="1:14" ht="15" customHeight="1" x14ac:dyDescent="0.2">
      <c r="A146" s="629"/>
      <c r="B146" s="352" t="str">
        <f>Idiomas!$D$188</f>
        <v>Dieciseisavofinalista</v>
      </c>
      <c r="C146" s="342" t="str">
        <f ca="1">WORLDCUP!AF101</f>
        <v>2B</v>
      </c>
      <c r="D146" s="656"/>
      <c r="E146" s="361"/>
      <c r="F146" s="361"/>
      <c r="G146" s="361"/>
      <c r="H146" s="361"/>
      <c r="I146" s="372"/>
      <c r="J146" s="361"/>
      <c r="K146" s="361"/>
      <c r="L146" s="361"/>
      <c r="M146" s="370"/>
      <c r="N146" s="368"/>
    </row>
    <row r="147" spans="1:14" ht="15" customHeight="1" x14ac:dyDescent="0.2">
      <c r="A147" s="629"/>
      <c r="B147" s="352" t="str">
        <f t="shared" ref="B147:B161" si="1">B146</f>
        <v>Dieciseisavofinalista</v>
      </c>
      <c r="C147" s="342" t="str">
        <f ca="1">WORLDCUP!AF102</f>
        <v>2F</v>
      </c>
      <c r="D147" s="656"/>
      <c r="E147" s="361"/>
      <c r="F147" s="361"/>
      <c r="G147" s="361"/>
      <c r="H147" s="361"/>
      <c r="I147" s="372"/>
      <c r="J147" s="361"/>
      <c r="K147" s="361"/>
      <c r="L147" s="361"/>
      <c r="M147" s="370"/>
      <c r="N147" s="368"/>
    </row>
    <row r="148" spans="1:14" ht="15" customHeight="1" x14ac:dyDescent="0.2">
      <c r="A148" s="629"/>
      <c r="B148" s="352" t="str">
        <f t="shared" si="1"/>
        <v>Dieciseisavofinalista</v>
      </c>
      <c r="C148" s="342" t="str">
        <f ca="1">WORLDCUP!AF103</f>
        <v>3ABCDF</v>
      </c>
      <c r="D148" s="656"/>
      <c r="E148" s="361"/>
      <c r="F148" s="361"/>
      <c r="G148" s="361"/>
      <c r="H148" s="361"/>
      <c r="I148" s="372"/>
      <c r="J148" s="361"/>
      <c r="K148" s="361"/>
      <c r="L148" s="361"/>
      <c r="M148" s="370"/>
      <c r="N148" s="368"/>
    </row>
    <row r="149" spans="1:14" ht="15" customHeight="1" x14ac:dyDescent="0.2">
      <c r="A149" s="629"/>
      <c r="B149" s="352" t="str">
        <f t="shared" si="1"/>
        <v>Dieciseisavofinalista</v>
      </c>
      <c r="C149" s="342" t="str">
        <f ca="1">WORLDCUP!AF104</f>
        <v>2C</v>
      </c>
      <c r="D149" s="656"/>
      <c r="E149" s="361"/>
      <c r="F149" s="361"/>
      <c r="G149" s="361"/>
      <c r="H149" s="361"/>
      <c r="I149" s="372"/>
      <c r="J149" s="361"/>
      <c r="K149" s="361"/>
      <c r="L149" s="361"/>
      <c r="M149" s="370"/>
      <c r="N149" s="368"/>
    </row>
    <row r="150" spans="1:14" ht="15" customHeight="1" x14ac:dyDescent="0.2">
      <c r="A150" s="629"/>
      <c r="B150" s="352" t="str">
        <f t="shared" si="1"/>
        <v>Dieciseisavofinalista</v>
      </c>
      <c r="C150" s="342" t="str">
        <f ca="1">WORLDCUP!AF105</f>
        <v>2I</v>
      </c>
      <c r="D150" s="656"/>
      <c r="E150" s="361"/>
      <c r="F150" s="361"/>
      <c r="G150" s="361"/>
      <c r="H150" s="361"/>
      <c r="I150" s="372"/>
      <c r="J150" s="361"/>
      <c r="K150" s="361"/>
      <c r="L150" s="361"/>
      <c r="M150" s="370"/>
      <c r="N150" s="368"/>
    </row>
    <row r="151" spans="1:14" ht="15" customHeight="1" x14ac:dyDescent="0.2">
      <c r="A151" s="629"/>
      <c r="B151" s="352" t="str">
        <f t="shared" si="1"/>
        <v>Dieciseisavofinalista</v>
      </c>
      <c r="C151" s="342" t="str">
        <f ca="1">WORLDCUP!AF106</f>
        <v>3CDFGH</v>
      </c>
      <c r="D151" s="656"/>
      <c r="E151" s="361"/>
      <c r="F151" s="361"/>
      <c r="G151" s="361"/>
      <c r="H151" s="361"/>
      <c r="I151" s="372"/>
      <c r="J151" s="361"/>
      <c r="K151" s="361"/>
      <c r="L151" s="361"/>
      <c r="M151" s="370"/>
      <c r="N151" s="368"/>
    </row>
    <row r="152" spans="1:14" ht="15" customHeight="1" x14ac:dyDescent="0.2">
      <c r="A152" s="629"/>
      <c r="B152" s="352" t="str">
        <f t="shared" si="1"/>
        <v>Dieciseisavofinalista</v>
      </c>
      <c r="C152" s="342" t="str">
        <f ca="1">WORLDCUP!AF107</f>
        <v>3CEFHI</v>
      </c>
      <c r="D152" s="656"/>
      <c r="E152" s="361"/>
      <c r="F152" s="361"/>
      <c r="G152" s="361"/>
      <c r="H152" s="361"/>
      <c r="I152" s="372"/>
      <c r="J152" s="361"/>
      <c r="K152" s="361"/>
      <c r="L152" s="361"/>
      <c r="M152" s="370"/>
      <c r="N152" s="368"/>
    </row>
    <row r="153" spans="1:14" ht="15" customHeight="1" x14ac:dyDescent="0.2">
      <c r="A153" s="629"/>
      <c r="B153" s="352" t="str">
        <f t="shared" si="1"/>
        <v>Dieciseisavofinalista</v>
      </c>
      <c r="C153" s="342" t="str">
        <f ca="1">WORLDCUP!AF108</f>
        <v>3EHIJK</v>
      </c>
      <c r="D153" s="656"/>
      <c r="E153" s="361"/>
      <c r="F153" s="361"/>
      <c r="G153" s="361"/>
      <c r="H153" s="361"/>
      <c r="I153" s="372"/>
      <c r="J153" s="361"/>
      <c r="K153" s="361"/>
      <c r="L153" s="361"/>
      <c r="M153" s="370"/>
      <c r="N153" s="368"/>
    </row>
    <row r="154" spans="1:14" ht="15" customHeight="1" x14ac:dyDescent="0.2">
      <c r="A154" s="629"/>
      <c r="B154" s="352" t="str">
        <f t="shared" si="1"/>
        <v>Dieciseisavofinalista</v>
      </c>
      <c r="C154" s="342" t="str">
        <f ca="1">WORLDCUP!AF109</f>
        <v>3AEHIJ</v>
      </c>
      <c r="D154" s="656"/>
      <c r="E154" s="361"/>
      <c r="F154" s="361"/>
      <c r="G154" s="361"/>
      <c r="H154" s="361"/>
      <c r="I154" s="372"/>
      <c r="J154" s="361"/>
      <c r="K154" s="361"/>
      <c r="L154" s="361"/>
      <c r="M154" s="370"/>
      <c r="N154" s="368"/>
    </row>
    <row r="155" spans="1:14" ht="15" customHeight="1" x14ac:dyDescent="0.2">
      <c r="A155" s="629"/>
      <c r="B155" s="352" t="str">
        <f t="shared" si="1"/>
        <v>Dieciseisavofinalista</v>
      </c>
      <c r="C155" s="342" t="str">
        <f ca="1">WORLDCUP!AF110</f>
        <v>3BEFIJ</v>
      </c>
      <c r="D155" s="656"/>
      <c r="E155" s="361"/>
      <c r="F155" s="361"/>
      <c r="G155" s="361"/>
      <c r="H155" s="361"/>
      <c r="I155" s="372"/>
      <c r="J155" s="361"/>
      <c r="K155" s="361"/>
      <c r="L155" s="361"/>
      <c r="M155" s="370"/>
      <c r="N155" s="368"/>
    </row>
    <row r="156" spans="1:14" ht="15" customHeight="1" x14ac:dyDescent="0.2">
      <c r="A156" s="629"/>
      <c r="B156" s="352" t="str">
        <f t="shared" si="1"/>
        <v>Dieciseisavofinalista</v>
      </c>
      <c r="C156" s="342" t="str">
        <f ca="1">WORLDCUP!AF111</f>
        <v>2J</v>
      </c>
      <c r="D156" s="656"/>
      <c r="E156" s="361"/>
      <c r="F156" s="361"/>
      <c r="G156" s="361"/>
      <c r="H156" s="361"/>
      <c r="I156" s="372"/>
      <c r="J156" s="361"/>
      <c r="K156" s="361"/>
      <c r="L156" s="361"/>
      <c r="M156" s="370"/>
      <c r="N156" s="368"/>
    </row>
    <row r="157" spans="1:14" ht="15" customHeight="1" x14ac:dyDescent="0.2">
      <c r="A157" s="629"/>
      <c r="B157" s="352" t="str">
        <f t="shared" si="1"/>
        <v>Dieciseisavofinalista</v>
      </c>
      <c r="C157" s="342" t="str">
        <f ca="1">WORLDCUP!AF112</f>
        <v>2L</v>
      </c>
      <c r="D157" s="656"/>
      <c r="E157" s="361"/>
      <c r="F157" s="361"/>
      <c r="G157" s="361"/>
      <c r="H157" s="361"/>
      <c r="I157" s="372"/>
      <c r="J157" s="361"/>
      <c r="K157" s="361"/>
      <c r="L157" s="361"/>
      <c r="M157" s="370"/>
      <c r="N157" s="368"/>
    </row>
    <row r="158" spans="1:14" ht="15" customHeight="1" x14ac:dyDescent="0.2">
      <c r="A158" s="629"/>
      <c r="B158" s="352" t="str">
        <f t="shared" si="1"/>
        <v>Dieciseisavofinalista</v>
      </c>
      <c r="C158" s="342" t="str">
        <f ca="1">WORLDCUP!AF113</f>
        <v>3EFGIJ</v>
      </c>
      <c r="D158" s="656"/>
      <c r="E158" s="361"/>
      <c r="F158" s="361"/>
      <c r="G158" s="361"/>
      <c r="H158" s="361"/>
      <c r="I158" s="372"/>
      <c r="J158" s="361"/>
      <c r="K158" s="361"/>
      <c r="L158" s="361"/>
      <c r="M158" s="370"/>
      <c r="N158" s="368"/>
    </row>
    <row r="159" spans="1:14" ht="15" customHeight="1" x14ac:dyDescent="0.2">
      <c r="A159" s="629"/>
      <c r="B159" s="352" t="str">
        <f t="shared" si="1"/>
        <v>Dieciseisavofinalista</v>
      </c>
      <c r="C159" s="342" t="str">
        <f ca="1">WORLDCUP!AF114</f>
        <v>2G</v>
      </c>
      <c r="D159" s="656"/>
      <c r="E159" s="361"/>
      <c r="F159" s="361"/>
      <c r="G159" s="361"/>
      <c r="H159" s="361"/>
      <c r="I159" s="372"/>
      <c r="J159" s="361"/>
      <c r="K159" s="361"/>
      <c r="L159" s="361"/>
      <c r="M159" s="370"/>
      <c r="N159" s="368"/>
    </row>
    <row r="160" spans="1:14" ht="15" customHeight="1" x14ac:dyDescent="0.2">
      <c r="A160" s="629"/>
      <c r="B160" s="352" t="str">
        <f t="shared" si="1"/>
        <v>Dieciseisavofinalista</v>
      </c>
      <c r="C160" s="342" t="str">
        <f ca="1">WORLDCUP!AF115</f>
        <v>2H</v>
      </c>
      <c r="D160" s="656"/>
      <c r="E160" s="361"/>
      <c r="F160" s="361"/>
      <c r="G160" s="361"/>
      <c r="H160" s="361"/>
      <c r="I160" s="372"/>
      <c r="J160" s="361"/>
      <c r="K160" s="361"/>
      <c r="L160" s="361"/>
      <c r="M160" s="370"/>
      <c r="N160" s="368"/>
    </row>
    <row r="161" spans="1:14" ht="15" customHeight="1" x14ac:dyDescent="0.2">
      <c r="A161" s="629"/>
      <c r="B161" s="352" t="str">
        <f t="shared" si="1"/>
        <v>Dieciseisavofinalista</v>
      </c>
      <c r="C161" s="342" t="str">
        <f ca="1">WORLDCUP!AF116</f>
        <v>3DEIJL</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2A-2B</v>
      </c>
      <c r="C164" s="342" t="str">
        <f ca="1">CONCATENATE(WORLDCUP!AA101,"-",WORLDCUP!AF101,"·",IF(WORLDCUP!AC101&gt;WORLDCUP!AD101,1,IF(WORLDCUP!AC101&lt;WORLDCUP!AD101,2,IF(AND(WORLDCUP!AC101=WORLDCUP!AD101,WORLDCUP!AC101&lt;&gt;"",WORLDCUP!AD101&lt;&gt;""),"X",0))),"|",WORLDCUP!AC101,"-",WORLDCUP!AD101)</f>
        <v>2A-2B·0|-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9"/>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29"/>
      <c r="E165" s="656"/>
      <c r="F165" s="656"/>
      <c r="G165" s="656"/>
      <c r="H165" s="656"/>
      <c r="I165" s="345"/>
      <c r="J165" s="361"/>
      <c r="K165" s="361"/>
      <c r="L165" s="361"/>
      <c r="M165" s="377"/>
      <c r="N165" s="368"/>
    </row>
    <row r="166" spans="1:14" ht="15" customHeight="1" x14ac:dyDescent="0.2">
      <c r="A166" s="629"/>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29"/>
      <c r="E166" s="656"/>
      <c r="F166" s="656"/>
      <c r="G166" s="656"/>
      <c r="H166" s="656"/>
      <c r="I166" s="345"/>
      <c r="J166" s="361"/>
      <c r="K166" s="361"/>
      <c r="L166" s="361"/>
      <c r="M166" s="377"/>
      <c r="N166" s="368"/>
    </row>
    <row r="167" spans="1:14" ht="15" customHeight="1" x14ac:dyDescent="0.2">
      <c r="A167" s="629"/>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29"/>
      <c r="E167" s="656"/>
      <c r="F167" s="656"/>
      <c r="G167" s="656"/>
      <c r="H167" s="656"/>
      <c r="I167" s="345"/>
      <c r="J167" s="361"/>
      <c r="K167" s="361"/>
      <c r="L167" s="361"/>
      <c r="M167" s="377"/>
      <c r="N167" s="368"/>
    </row>
    <row r="168" spans="1:14" ht="15" customHeight="1" x14ac:dyDescent="0.2">
      <c r="A168" s="629"/>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29"/>
      <c r="E168" s="361"/>
      <c r="F168" s="361"/>
      <c r="G168" s="361"/>
      <c r="H168" s="361"/>
      <c r="I168" s="345"/>
      <c r="J168" s="361"/>
      <c r="K168" s="361"/>
      <c r="L168" s="361"/>
      <c r="M168" s="377"/>
      <c r="N168" s="368"/>
    </row>
    <row r="169" spans="1:14" ht="15" customHeight="1" x14ac:dyDescent="0.2">
      <c r="A169" s="629"/>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29"/>
      <c r="E169" s="361"/>
      <c r="F169" s="361"/>
      <c r="G169" s="361"/>
      <c r="H169" s="361"/>
      <c r="I169" s="345"/>
      <c r="J169" s="361"/>
      <c r="K169" s="361"/>
      <c r="L169" s="361"/>
      <c r="M169" s="377"/>
      <c r="N169" s="368"/>
    </row>
    <row r="170" spans="1:14" ht="15" customHeight="1" x14ac:dyDescent="0.2">
      <c r="A170" s="629"/>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29"/>
      <c r="E170" s="361"/>
      <c r="F170" s="361"/>
      <c r="G170" s="361"/>
      <c r="H170" s="361"/>
      <c r="I170" s="345"/>
      <c r="J170" s="361"/>
      <c r="K170" s="361"/>
      <c r="L170" s="361"/>
      <c r="M170" s="377"/>
      <c r="N170" s="368"/>
    </row>
    <row r="171" spans="1:14" ht="15" customHeight="1" x14ac:dyDescent="0.2">
      <c r="A171" s="629"/>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9"/>
      <c r="E171" s="361"/>
      <c r="F171" s="361"/>
      <c r="G171" s="361"/>
      <c r="H171" s="361"/>
      <c r="I171" s="345"/>
      <c r="J171" s="361"/>
      <c r="K171" s="361"/>
      <c r="L171" s="361"/>
      <c r="M171" s="377"/>
      <c r="N171" s="368"/>
    </row>
    <row r="172" spans="1:14" ht="15" customHeight="1" x14ac:dyDescent="0.2">
      <c r="A172" s="629"/>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29"/>
      <c r="E172" s="361"/>
      <c r="F172" s="361"/>
      <c r="G172" s="361"/>
      <c r="H172" s="361"/>
      <c r="I172" s="345"/>
      <c r="J172" s="361"/>
      <c r="K172" s="361"/>
      <c r="L172" s="361"/>
      <c r="M172" s="377"/>
      <c r="N172" s="368"/>
    </row>
    <row r="173" spans="1:14" ht="15" customHeight="1" x14ac:dyDescent="0.2">
      <c r="A173" s="629"/>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29"/>
      <c r="E173" s="361"/>
      <c r="F173" s="361"/>
      <c r="G173" s="361"/>
      <c r="H173" s="361"/>
      <c r="I173" s="345"/>
      <c r="J173" s="361"/>
      <c r="K173" s="361"/>
      <c r="L173" s="361"/>
      <c r="M173" s="377"/>
      <c r="N173" s="368"/>
    </row>
    <row r="174" spans="1:14" ht="15" customHeight="1" x14ac:dyDescent="0.2">
      <c r="A174" s="629"/>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29"/>
      <c r="E174" s="361"/>
      <c r="F174" s="361"/>
      <c r="G174" s="361"/>
      <c r="H174" s="361"/>
      <c r="I174" s="345"/>
      <c r="J174" s="361"/>
      <c r="K174" s="361"/>
      <c r="L174" s="361"/>
      <c r="M174" s="377"/>
      <c r="N174" s="368"/>
    </row>
    <row r="175" spans="1:14" ht="15" customHeight="1" x14ac:dyDescent="0.2">
      <c r="A175" s="629"/>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9"/>
      <c r="E175" s="361"/>
      <c r="F175" s="361"/>
      <c r="G175" s="361"/>
      <c r="H175" s="361"/>
      <c r="I175" s="345"/>
      <c r="J175" s="361"/>
      <c r="K175" s="361"/>
      <c r="L175" s="361"/>
      <c r="M175" s="377"/>
      <c r="N175" s="368"/>
    </row>
    <row r="176" spans="1:14" ht="15" customHeight="1" x14ac:dyDescent="0.2">
      <c r="A176" s="629"/>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29"/>
      <c r="E176" s="361"/>
      <c r="F176" s="361"/>
      <c r="G176" s="361"/>
      <c r="H176" s="361"/>
      <c r="I176" s="345"/>
      <c r="J176" s="361"/>
      <c r="K176" s="361"/>
      <c r="L176" s="361"/>
      <c r="M176" s="377"/>
      <c r="N176" s="368"/>
    </row>
    <row r="177" spans="1:14" ht="15" customHeight="1" x14ac:dyDescent="0.2">
      <c r="A177" s="629"/>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29"/>
      <c r="E177" s="361"/>
      <c r="F177" s="361"/>
      <c r="G177" s="361"/>
      <c r="H177" s="361"/>
      <c r="I177" s="345"/>
      <c r="J177" s="361"/>
      <c r="K177" s="361"/>
      <c r="L177" s="361"/>
      <c r="M177" s="377"/>
      <c r="N177" s="368"/>
    </row>
    <row r="178" spans="1:14" ht="15" customHeight="1" x14ac:dyDescent="0.2">
      <c r="A178" s="629"/>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29"/>
      <c r="E178" s="361"/>
      <c r="F178" s="361"/>
      <c r="G178" s="361"/>
      <c r="H178" s="361"/>
      <c r="I178" s="345"/>
      <c r="J178" s="361"/>
      <c r="K178" s="361"/>
      <c r="L178" s="361"/>
      <c r="M178" s="377"/>
      <c r="N178" s="368"/>
    </row>
    <row r="179" spans="1:14" ht="15" customHeight="1" x14ac:dyDescent="0.2">
      <c r="A179" s="629"/>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9"/>
      <c r="E179" s="361"/>
      <c r="F179" s="361"/>
      <c r="G179" s="361"/>
      <c r="H179" s="361"/>
      <c r="I179" s="345"/>
      <c r="J179" s="361"/>
      <c r="K179" s="361"/>
      <c r="L179" s="361"/>
      <c r="M179" s="377"/>
      <c r="N179" s="368"/>
    </row>
    <row r="180" spans="1:14" ht="15" customHeight="1" x14ac:dyDescent="0.2">
      <c r="A180" s="223"/>
      <c r="B180" s="223"/>
      <c r="C180" s="343"/>
      <c r="D180" s="629"/>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9"/>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9"/>
      <c r="E182" s="361"/>
      <c r="F182" s="361"/>
      <c r="G182" s="361"/>
      <c r="H182" s="361"/>
      <c r="I182" s="345"/>
      <c r="J182" s="361"/>
      <c r="K182" s="361"/>
      <c r="L182" s="361"/>
      <c r="M182" s="377"/>
      <c r="N182" s="368"/>
    </row>
    <row r="183" spans="1:14" ht="15" customHeight="1" x14ac:dyDescent="0.2">
      <c r="A183" s="629"/>
      <c r="B183" s="352" t="str">
        <f t="shared" ref="B183:B197" si="2">B182</f>
        <v>Octavofinalista</v>
      </c>
      <c r="C183" s="342" t="str">
        <f>WORLDCUP!AA121</f>
        <v>W74</v>
      </c>
      <c r="D183" s="629"/>
      <c r="E183" s="361"/>
      <c r="F183" s="361"/>
      <c r="G183" s="361"/>
      <c r="H183" s="361"/>
      <c r="I183" s="345"/>
      <c r="J183" s="361"/>
      <c r="K183" s="361"/>
      <c r="L183" s="361"/>
      <c r="M183" s="377"/>
      <c r="N183" s="368"/>
    </row>
    <row r="184" spans="1:14" ht="15" customHeight="1" x14ac:dyDescent="0.2">
      <c r="A184" s="629"/>
      <c r="B184" s="352" t="str">
        <f t="shared" si="2"/>
        <v>Octavofinalista</v>
      </c>
      <c r="C184" s="342" t="str">
        <f>WORLDCUP!AA122</f>
        <v>W76</v>
      </c>
      <c r="D184" s="629"/>
      <c r="E184" s="361"/>
      <c r="F184" s="361"/>
      <c r="G184" s="361"/>
      <c r="H184" s="361"/>
      <c r="I184" s="345"/>
      <c r="J184" s="361"/>
      <c r="K184" s="361"/>
      <c r="L184" s="361"/>
      <c r="M184" s="377"/>
      <c r="N184" s="368"/>
    </row>
    <row r="185" spans="1:14" ht="15" customHeight="1" x14ac:dyDescent="0.2">
      <c r="A185" s="629"/>
      <c r="B185" s="352" t="str">
        <f t="shared" si="2"/>
        <v>Octavofinalista</v>
      </c>
      <c r="C185" s="342" t="str">
        <f>WORLDCUP!AA123</f>
        <v>W79</v>
      </c>
      <c r="D185" s="629"/>
      <c r="E185" s="361"/>
      <c r="F185" s="361"/>
      <c r="G185" s="361"/>
      <c r="H185" s="361"/>
      <c r="I185" s="345"/>
      <c r="J185" s="361"/>
      <c r="K185" s="361"/>
      <c r="L185" s="361"/>
      <c r="M185" s="377"/>
      <c r="N185" s="368"/>
    </row>
    <row r="186" spans="1:14" ht="15" customHeight="1" x14ac:dyDescent="0.2">
      <c r="A186" s="629"/>
      <c r="B186" s="352" t="str">
        <f t="shared" si="2"/>
        <v>Octavofinalista</v>
      </c>
      <c r="C186" s="342" t="str">
        <f>WORLDCUP!AA124</f>
        <v>W83</v>
      </c>
      <c r="D186" s="629"/>
      <c r="E186" s="361"/>
      <c r="F186" s="361"/>
      <c r="G186" s="361"/>
      <c r="H186" s="361"/>
      <c r="I186" s="345"/>
      <c r="J186" s="361"/>
      <c r="K186" s="361"/>
      <c r="L186" s="361"/>
      <c r="M186" s="377"/>
      <c r="N186" s="368"/>
    </row>
    <row r="187" spans="1:14" ht="15" customHeight="1" x14ac:dyDescent="0.2">
      <c r="A187" s="629"/>
      <c r="B187" s="352" t="str">
        <f t="shared" si="2"/>
        <v>Octavofinalista</v>
      </c>
      <c r="C187" s="342" t="str">
        <f>WORLDCUP!AA125</f>
        <v>W81</v>
      </c>
      <c r="D187" s="629"/>
      <c r="E187" s="361"/>
      <c r="F187" s="361"/>
      <c r="G187" s="361"/>
      <c r="H187" s="361"/>
      <c r="I187" s="345"/>
      <c r="J187" s="361"/>
      <c r="K187" s="361"/>
      <c r="L187" s="361"/>
      <c r="M187" s="377"/>
      <c r="N187" s="368"/>
    </row>
    <row r="188" spans="1:14" ht="15" customHeight="1" x14ac:dyDescent="0.2">
      <c r="A188" s="629"/>
      <c r="B188" s="352" t="str">
        <f t="shared" si="2"/>
        <v>Octavofinalista</v>
      </c>
      <c r="C188" s="342" t="str">
        <f>WORLDCUP!AA126</f>
        <v>W86</v>
      </c>
      <c r="D188" s="629"/>
      <c r="E188" s="361"/>
      <c r="F188" s="361"/>
      <c r="G188" s="361"/>
      <c r="H188" s="361"/>
      <c r="I188" s="345"/>
      <c r="J188" s="361"/>
      <c r="K188" s="361"/>
      <c r="L188" s="361"/>
      <c r="M188" s="377"/>
      <c r="N188" s="368"/>
    </row>
    <row r="189" spans="1:14" ht="15" customHeight="1" x14ac:dyDescent="0.2">
      <c r="A189" s="629"/>
      <c r="B189" s="352" t="str">
        <f t="shared" si="2"/>
        <v>Octavofinalista</v>
      </c>
      <c r="C189" s="342" t="str">
        <f>WORLDCUP!AA127</f>
        <v>W85</v>
      </c>
      <c r="D189" s="629"/>
      <c r="E189" s="361"/>
      <c r="F189" s="361"/>
      <c r="G189" s="361"/>
      <c r="H189" s="361"/>
      <c r="I189" s="345"/>
      <c r="J189" s="361"/>
      <c r="K189" s="361"/>
      <c r="L189" s="361"/>
      <c r="M189" s="377"/>
      <c r="N189" s="368"/>
    </row>
    <row r="190" spans="1:14" ht="15" customHeight="1" x14ac:dyDescent="0.2">
      <c r="A190" s="629"/>
      <c r="B190" s="352" t="str">
        <f t="shared" si="2"/>
        <v>Octavofinalista</v>
      </c>
      <c r="C190" s="342" t="str">
        <f>WORLDCUP!AF120</f>
        <v>W75</v>
      </c>
      <c r="D190" s="629"/>
      <c r="E190" s="361"/>
      <c r="F190" s="361"/>
      <c r="G190" s="361"/>
      <c r="H190" s="361"/>
      <c r="I190" s="345"/>
      <c r="J190" s="361"/>
      <c r="K190" s="361"/>
      <c r="L190" s="361"/>
      <c r="M190" s="377"/>
      <c r="N190" s="368"/>
    </row>
    <row r="191" spans="1:14" ht="15" customHeight="1" x14ac:dyDescent="0.2">
      <c r="A191" s="629"/>
      <c r="B191" s="352" t="str">
        <f t="shared" si="2"/>
        <v>Octavofinalista</v>
      </c>
      <c r="C191" s="342" t="str">
        <f>WORLDCUP!AF121</f>
        <v>W77</v>
      </c>
      <c r="D191" s="629"/>
      <c r="E191" s="361"/>
      <c r="F191" s="361"/>
      <c r="G191" s="361"/>
      <c r="H191" s="361"/>
      <c r="I191" s="345"/>
      <c r="J191" s="361"/>
      <c r="K191" s="361"/>
      <c r="L191" s="361"/>
      <c r="M191" s="377"/>
      <c r="N191" s="368"/>
    </row>
    <row r="192" spans="1:14" ht="15" customHeight="1" x14ac:dyDescent="0.2">
      <c r="A192" s="629"/>
      <c r="B192" s="352" t="str">
        <f t="shared" si="2"/>
        <v>Octavofinalista</v>
      </c>
      <c r="C192" s="342" t="str">
        <f>WORLDCUP!AF122</f>
        <v>W78</v>
      </c>
      <c r="D192" s="629"/>
      <c r="E192" s="361"/>
      <c r="F192" s="361"/>
      <c r="G192" s="361"/>
      <c r="H192" s="361"/>
      <c r="I192" s="345"/>
      <c r="J192" s="361"/>
      <c r="K192" s="361"/>
      <c r="L192" s="361"/>
      <c r="M192" s="377"/>
      <c r="N192" s="368"/>
    </row>
    <row r="193" spans="1:14" ht="15" customHeight="1" x14ac:dyDescent="0.2">
      <c r="A193" s="629"/>
      <c r="B193" s="352" t="str">
        <f t="shared" si="2"/>
        <v>Octavofinalista</v>
      </c>
      <c r="C193" s="342" t="str">
        <f>WORLDCUP!AF123</f>
        <v>W80</v>
      </c>
      <c r="D193" s="629"/>
      <c r="E193" s="361"/>
      <c r="F193" s="361"/>
      <c r="G193" s="361"/>
      <c r="H193" s="361"/>
      <c r="I193" s="345"/>
      <c r="J193" s="361"/>
      <c r="K193" s="361"/>
      <c r="L193" s="361"/>
      <c r="M193" s="377"/>
      <c r="N193" s="368"/>
    </row>
    <row r="194" spans="1:14" ht="15" customHeight="1" x14ac:dyDescent="0.2">
      <c r="A194" s="629"/>
      <c r="B194" s="352" t="str">
        <f t="shared" si="2"/>
        <v>Octavofinalista</v>
      </c>
      <c r="C194" s="342" t="str">
        <f>WORLDCUP!AF124</f>
        <v>W84</v>
      </c>
      <c r="D194" s="629"/>
      <c r="E194" s="361"/>
      <c r="F194" s="361"/>
      <c r="G194" s="361"/>
      <c r="H194" s="361"/>
      <c r="I194" s="345"/>
      <c r="J194" s="361"/>
      <c r="K194" s="361"/>
      <c r="L194" s="361"/>
      <c r="M194" s="377"/>
      <c r="N194" s="368"/>
    </row>
    <row r="195" spans="1:14" ht="15" customHeight="1" x14ac:dyDescent="0.2">
      <c r="A195" s="629"/>
      <c r="B195" s="352" t="str">
        <f t="shared" si="2"/>
        <v>Octavofinalista</v>
      </c>
      <c r="C195" s="342" t="str">
        <f>WORLDCUP!AF125</f>
        <v>W82</v>
      </c>
      <c r="D195" s="629"/>
      <c r="E195" s="361"/>
      <c r="F195" s="361"/>
      <c r="G195" s="361"/>
      <c r="H195" s="361"/>
      <c r="I195" s="345"/>
      <c r="J195" s="361"/>
      <c r="K195" s="361"/>
      <c r="L195" s="361"/>
      <c r="M195" s="377"/>
      <c r="N195" s="368"/>
    </row>
    <row r="196" spans="1:14" ht="15" customHeight="1" x14ac:dyDescent="0.2">
      <c r="A196" s="629"/>
      <c r="B196" s="352" t="str">
        <f t="shared" si="2"/>
        <v>Octavofinalista</v>
      </c>
      <c r="C196" s="342" t="str">
        <f>WORLDCUP!AF126</f>
        <v>W88</v>
      </c>
      <c r="D196" s="629"/>
      <c r="E196" s="361"/>
      <c r="F196" s="361"/>
      <c r="G196" s="361"/>
      <c r="H196" s="361"/>
      <c r="I196" s="345"/>
      <c r="J196" s="361"/>
      <c r="K196" s="361"/>
      <c r="L196" s="361"/>
      <c r="M196" s="377"/>
      <c r="N196" s="368"/>
    </row>
    <row r="197" spans="1:14" ht="15" customHeight="1" x14ac:dyDescent="0.2">
      <c r="A197" s="629"/>
      <c r="B197" s="352" t="str">
        <f t="shared" si="2"/>
        <v>Octavofinalista</v>
      </c>
      <c r="C197" s="342" t="str">
        <f>WORLDCUP!AF127</f>
        <v>W87</v>
      </c>
      <c r="D197" s="629"/>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9"/>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9"/>
      <c r="E201" s="656"/>
      <c r="F201" s="656"/>
      <c r="G201" s="656"/>
      <c r="H201" s="656"/>
      <c r="I201" s="345"/>
      <c r="J201" s="361"/>
      <c r="K201" s="361"/>
      <c r="L201" s="361"/>
      <c r="M201" s="377"/>
      <c r="N201" s="368"/>
    </row>
    <row r="202" spans="1:14" ht="15" customHeight="1" x14ac:dyDescent="0.2">
      <c r="A202" s="629"/>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9"/>
      <c r="E202" s="656"/>
      <c r="F202" s="656"/>
      <c r="G202" s="656"/>
      <c r="H202" s="656"/>
      <c r="I202" s="345"/>
      <c r="J202" s="361"/>
      <c r="K202" s="361"/>
      <c r="L202" s="361"/>
      <c r="M202" s="377"/>
      <c r="N202" s="368"/>
    </row>
    <row r="203" spans="1:14" ht="15" customHeight="1" x14ac:dyDescent="0.2">
      <c r="A203" s="629"/>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9"/>
      <c r="E203" s="656"/>
      <c r="F203" s="656"/>
      <c r="G203" s="656"/>
      <c r="H203" s="656"/>
      <c r="I203" s="345"/>
      <c r="J203" s="361"/>
      <c r="K203" s="361"/>
      <c r="L203" s="361"/>
      <c r="M203" s="377"/>
      <c r="N203" s="368"/>
    </row>
    <row r="204" spans="1:14" ht="15" customHeight="1" x14ac:dyDescent="0.2">
      <c r="A204" s="629"/>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9"/>
      <c r="E204" s="345"/>
      <c r="F204" s="345"/>
      <c r="G204" s="345"/>
      <c r="H204" s="345"/>
      <c r="I204" s="345"/>
      <c r="J204" s="361"/>
      <c r="K204" s="361"/>
      <c r="L204" s="361"/>
      <c r="M204" s="377"/>
      <c r="N204" s="368"/>
    </row>
    <row r="205" spans="1:14" ht="15" customHeight="1" x14ac:dyDescent="0.2">
      <c r="A205" s="629"/>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9"/>
      <c r="E205" s="345"/>
      <c r="F205" s="345"/>
      <c r="G205" s="345"/>
      <c r="H205" s="345"/>
      <c r="I205" s="345"/>
      <c r="J205" s="361"/>
      <c r="K205" s="361"/>
      <c r="L205" s="361"/>
      <c r="M205" s="377"/>
      <c r="N205" s="368"/>
    </row>
    <row r="206" spans="1:14" ht="15" customHeight="1" x14ac:dyDescent="0.2">
      <c r="A206" s="629"/>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9"/>
      <c r="E206" s="345"/>
      <c r="F206" s="345"/>
      <c r="G206" s="345"/>
      <c r="H206" s="345"/>
      <c r="I206" s="345"/>
      <c r="J206" s="361"/>
      <c r="K206" s="361"/>
      <c r="L206" s="361"/>
      <c r="M206" s="377"/>
      <c r="N206" s="368"/>
    </row>
    <row r="207" spans="1:14" ht="15" customHeight="1" x14ac:dyDescent="0.2">
      <c r="A207" s="629"/>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9"/>
      <c r="E207" s="345"/>
      <c r="F207" s="345"/>
      <c r="G207" s="345"/>
      <c r="H207" s="345"/>
      <c r="I207" s="345"/>
      <c r="J207" s="361"/>
      <c r="K207" s="361"/>
      <c r="L207" s="361"/>
      <c r="M207" s="377"/>
      <c r="N207" s="368"/>
    </row>
    <row r="208" spans="1:14" ht="15" customHeight="1" x14ac:dyDescent="0.2">
      <c r="A208" s="223"/>
      <c r="B208" s="223"/>
      <c r="C208" s="343"/>
      <c r="D208" s="629"/>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9"/>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9"/>
      <c r="E210" s="361"/>
      <c r="F210" s="361"/>
      <c r="G210" s="361"/>
      <c r="H210" s="361"/>
      <c r="I210" s="345"/>
      <c r="J210" s="361"/>
      <c r="K210" s="361"/>
      <c r="L210" s="361"/>
      <c r="M210" s="377"/>
      <c r="N210" s="368"/>
    </row>
    <row r="211" spans="1:14" ht="15" customHeight="1" x14ac:dyDescent="0.2">
      <c r="A211" s="629"/>
      <c r="B211" s="352" t="str">
        <f t="shared" ref="B211:B217" si="3">B210</f>
        <v>Cuartofinalista</v>
      </c>
      <c r="C211" s="342" t="str">
        <f>WORLDCUP!AA132</f>
        <v>W93</v>
      </c>
      <c r="D211" s="629"/>
      <c r="E211" s="361"/>
      <c r="F211" s="361"/>
      <c r="G211" s="361"/>
      <c r="H211" s="361"/>
      <c r="I211" s="345"/>
      <c r="J211" s="361"/>
      <c r="K211" s="361"/>
      <c r="L211" s="361"/>
      <c r="M211" s="377"/>
      <c r="N211" s="368"/>
    </row>
    <row r="212" spans="1:14" ht="15" customHeight="1" x14ac:dyDescent="0.2">
      <c r="A212" s="629"/>
      <c r="B212" s="352" t="str">
        <f t="shared" si="3"/>
        <v>Cuartofinalista</v>
      </c>
      <c r="C212" s="342" t="str">
        <f>WORLDCUP!AA133</f>
        <v>W91</v>
      </c>
      <c r="D212" s="629"/>
      <c r="E212" s="361"/>
      <c r="F212" s="361"/>
      <c r="G212" s="361"/>
      <c r="H212" s="361"/>
      <c r="I212" s="345"/>
      <c r="J212" s="361"/>
      <c r="K212" s="361"/>
      <c r="L212" s="361"/>
      <c r="M212" s="377"/>
      <c r="N212" s="368"/>
    </row>
    <row r="213" spans="1:14" ht="15" customHeight="1" x14ac:dyDescent="0.2">
      <c r="A213" s="629"/>
      <c r="B213" s="352" t="str">
        <f t="shared" si="3"/>
        <v>Cuartofinalista</v>
      </c>
      <c r="C213" s="342" t="str">
        <f>WORLDCUP!AA134</f>
        <v>W95</v>
      </c>
      <c r="D213" s="629"/>
      <c r="E213" s="361"/>
      <c r="F213" s="361"/>
      <c r="G213" s="361"/>
      <c r="H213" s="361"/>
      <c r="I213" s="345"/>
      <c r="J213" s="361"/>
      <c r="K213" s="361"/>
      <c r="L213" s="361"/>
      <c r="M213" s="377"/>
      <c r="N213" s="368"/>
    </row>
    <row r="214" spans="1:14" ht="15" customHeight="1" x14ac:dyDescent="0.2">
      <c r="A214" s="629"/>
      <c r="B214" s="352" t="str">
        <f t="shared" si="3"/>
        <v>Cuartofinalista</v>
      </c>
      <c r="C214" s="342" t="str">
        <f>WORLDCUP!AF131</f>
        <v>W90</v>
      </c>
      <c r="D214" s="629"/>
      <c r="E214" s="361"/>
      <c r="F214" s="361"/>
      <c r="G214" s="361"/>
      <c r="H214" s="361"/>
      <c r="I214" s="345"/>
      <c r="J214" s="361"/>
      <c r="K214" s="361"/>
      <c r="L214" s="361"/>
      <c r="M214" s="377"/>
      <c r="N214" s="368"/>
    </row>
    <row r="215" spans="1:14" ht="15" customHeight="1" x14ac:dyDescent="0.2">
      <c r="A215" s="629"/>
      <c r="B215" s="352" t="str">
        <f t="shared" si="3"/>
        <v>Cuartofinalista</v>
      </c>
      <c r="C215" s="342" t="str">
        <f>WORLDCUP!AF132</f>
        <v>W94</v>
      </c>
      <c r="D215" s="629"/>
      <c r="E215" s="361"/>
      <c r="F215" s="361"/>
      <c r="G215" s="361"/>
      <c r="H215" s="361"/>
      <c r="I215" s="345"/>
      <c r="J215" s="361"/>
      <c r="K215" s="361"/>
      <c r="L215" s="361"/>
      <c r="M215" s="377"/>
      <c r="N215" s="368"/>
    </row>
    <row r="216" spans="1:14" ht="15" customHeight="1" x14ac:dyDescent="0.2">
      <c r="A216" s="629"/>
      <c r="B216" s="352" t="str">
        <f t="shared" si="3"/>
        <v>Cuartofinalista</v>
      </c>
      <c r="C216" s="342" t="str">
        <f>WORLDCUP!AF133</f>
        <v>W92</v>
      </c>
      <c r="D216" s="629"/>
      <c r="E216" s="361"/>
      <c r="F216" s="361"/>
      <c r="G216" s="361"/>
      <c r="H216" s="361"/>
      <c r="I216" s="345"/>
      <c r="J216" s="361"/>
      <c r="K216" s="361"/>
      <c r="L216" s="361"/>
      <c r="M216" s="377"/>
      <c r="N216" s="368"/>
    </row>
    <row r="217" spans="1:14" ht="15" customHeight="1" x14ac:dyDescent="0.2">
      <c r="A217" s="629"/>
      <c r="B217" s="352" t="str">
        <f t="shared" si="3"/>
        <v>Cuartofinalista</v>
      </c>
      <c r="C217" s="342" t="str">
        <f>WORLDCUP!AF134</f>
        <v>W96</v>
      </c>
      <c r="D217" s="629"/>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9"/>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9"/>
      <c r="E221" s="656"/>
      <c r="F221" s="656"/>
      <c r="G221" s="656"/>
      <c r="H221" s="656"/>
      <c r="I221" s="345"/>
      <c r="J221" s="361"/>
      <c r="K221" s="361"/>
      <c r="L221" s="361"/>
      <c r="M221" s="377"/>
      <c r="N221" s="368"/>
    </row>
    <row r="222" spans="1:14" ht="15" customHeight="1" x14ac:dyDescent="0.2">
      <c r="A222" s="629"/>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9"/>
      <c r="E222" s="656"/>
      <c r="F222" s="656"/>
      <c r="G222" s="656"/>
      <c r="H222" s="656"/>
      <c r="I222" s="345"/>
      <c r="J222" s="361"/>
      <c r="K222" s="361"/>
      <c r="L222" s="361"/>
      <c r="M222" s="377"/>
      <c r="N222" s="368"/>
    </row>
    <row r="223" spans="1:14" ht="15" customHeight="1" x14ac:dyDescent="0.2">
      <c r="A223" s="629"/>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9"/>
      <c r="E223" s="656"/>
      <c r="F223" s="656"/>
      <c r="G223" s="656"/>
      <c r="H223" s="656"/>
      <c r="I223" s="345"/>
      <c r="J223" s="361"/>
      <c r="K223" s="361"/>
      <c r="L223" s="361"/>
      <c r="M223" s="377"/>
      <c r="N223" s="368"/>
    </row>
    <row r="224" spans="1:14" x14ac:dyDescent="0.2">
      <c r="A224" s="223"/>
      <c r="B224" s="223"/>
      <c r="C224" s="343"/>
      <c r="D224" s="629"/>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9"/>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9"/>
      <c r="E226" s="361"/>
      <c r="F226" s="361"/>
      <c r="G226" s="361"/>
      <c r="H226" s="361"/>
      <c r="I226" s="345"/>
      <c r="J226" s="361"/>
      <c r="K226" s="361"/>
      <c r="L226" s="361"/>
      <c r="M226" s="377"/>
      <c r="N226" s="368"/>
    </row>
    <row r="227" spans="1:14" ht="15" customHeight="1" x14ac:dyDescent="0.2">
      <c r="A227" s="629"/>
      <c r="B227" s="352" t="str">
        <f>Idiomas!$D$191</f>
        <v>Semifinalista</v>
      </c>
      <c r="C227" s="342" t="str">
        <f>WORLDCUP!AA139</f>
        <v>W99</v>
      </c>
      <c r="D227" s="629"/>
      <c r="E227" s="361"/>
      <c r="F227" s="361"/>
      <c r="G227" s="361"/>
      <c r="H227" s="361"/>
      <c r="I227" s="345"/>
      <c r="J227" s="361"/>
      <c r="K227" s="361"/>
      <c r="L227" s="361"/>
      <c r="M227" s="377"/>
      <c r="N227" s="368"/>
    </row>
    <row r="228" spans="1:14" ht="15" customHeight="1" x14ac:dyDescent="0.2">
      <c r="A228" s="629"/>
      <c r="B228" s="352" t="str">
        <f>Idiomas!$D$191</f>
        <v>Semifinalista</v>
      </c>
      <c r="C228" s="342" t="str">
        <f>WORLDCUP!AF138</f>
        <v>W98</v>
      </c>
      <c r="D228" s="629"/>
      <c r="E228" s="361"/>
      <c r="F228" s="361"/>
      <c r="G228" s="361"/>
      <c r="H228" s="361"/>
      <c r="I228" s="345"/>
      <c r="J228" s="361"/>
      <c r="K228" s="361"/>
      <c r="L228" s="361"/>
      <c r="M228" s="377"/>
      <c r="N228" s="368"/>
    </row>
    <row r="229" spans="1:14" ht="15" customHeight="1" x14ac:dyDescent="0.2">
      <c r="A229" s="629"/>
      <c r="B229" s="352" t="str">
        <f>Idiomas!$D$191</f>
        <v>Semifinalista</v>
      </c>
      <c r="C229" s="342" t="str">
        <f>WORLDCUP!AF139</f>
        <v>W100</v>
      </c>
      <c r="D229" s="629"/>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9"/>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9"/>
      <c r="E233" s="656"/>
      <c r="F233" s="656"/>
      <c r="G233" s="656"/>
      <c r="H233" s="656"/>
      <c r="I233" s="345"/>
      <c r="J233" s="361"/>
      <c r="K233" s="361"/>
      <c r="L233" s="361"/>
      <c r="M233" s="377"/>
      <c r="N233" s="368"/>
    </row>
    <row r="234" spans="1:14" ht="15" customHeight="1" x14ac:dyDescent="0.2">
      <c r="A234" s="223"/>
      <c r="B234" s="223"/>
      <c r="C234" s="343"/>
      <c r="D234" s="629"/>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9"/>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9"/>
      <c r="E236" s="365"/>
      <c r="F236" s="365"/>
      <c r="G236" s="365"/>
      <c r="H236" s="365"/>
      <c r="I236" s="345"/>
      <c r="J236" s="361"/>
      <c r="K236" s="361"/>
      <c r="L236" s="361"/>
      <c r="M236" s="377"/>
      <c r="N236" s="368"/>
    </row>
    <row r="237" spans="1:14" ht="15" customHeight="1" x14ac:dyDescent="0.2">
      <c r="A237" s="629"/>
      <c r="B237" s="352" t="str">
        <f>Idiomas!D192</f>
        <v>3º y 4º puesto</v>
      </c>
      <c r="C237" s="342" t="str">
        <f>WORLDCUP!AF143</f>
        <v>L102</v>
      </c>
      <c r="D237" s="629"/>
      <c r="E237" s="365"/>
      <c r="F237" s="365"/>
      <c r="G237" s="365"/>
      <c r="H237" s="365"/>
      <c r="I237" s="345"/>
      <c r="J237" s="361"/>
      <c r="K237" s="361"/>
      <c r="L237" s="361"/>
      <c r="M237" s="377"/>
      <c r="N237" s="368"/>
    </row>
    <row r="238" spans="1:14" ht="15" customHeight="1" x14ac:dyDescent="0.2">
      <c r="A238" s="223"/>
      <c r="B238" s="223"/>
      <c r="C238" s="343"/>
      <c r="D238" s="629"/>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9"/>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9"/>
      <c r="E240" s="361"/>
      <c r="F240" s="361"/>
      <c r="G240" s="361"/>
      <c r="H240" s="361"/>
      <c r="I240" s="345"/>
      <c r="J240" s="361"/>
      <c r="K240" s="361"/>
      <c r="L240" s="361"/>
      <c r="M240" s="377"/>
      <c r="N240" s="368"/>
    </row>
    <row r="241" spans="1:14" ht="15" customHeight="1" x14ac:dyDescent="0.2">
      <c r="A241" s="629"/>
      <c r="B241" s="352" t="str">
        <f>B240</f>
        <v>Finalista</v>
      </c>
      <c r="C241" s="342" t="str">
        <f>WORLDCUP!AF147</f>
        <v>W102</v>
      </c>
      <c r="D241" s="629"/>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9"/>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9"/>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9"/>
      <c r="E247" s="367"/>
      <c r="F247" s="367"/>
      <c r="G247" s="367"/>
      <c r="H247" s="367"/>
      <c r="I247" s="372"/>
      <c r="J247" s="361"/>
      <c r="K247" s="361"/>
      <c r="L247" s="361"/>
      <c r="M247" s="377"/>
      <c r="N247" s="368"/>
    </row>
    <row r="248" spans="1:14" ht="15" customHeight="1" x14ac:dyDescent="0.2">
      <c r="A248" s="223"/>
      <c r="B248" s="223"/>
      <c r="C248" s="343"/>
      <c r="D248" s="629"/>
      <c r="E248" s="365"/>
      <c r="F248" s="365"/>
      <c r="G248" s="365"/>
      <c r="H248" s="365"/>
      <c r="I248" s="372"/>
      <c r="J248" s="361"/>
      <c r="K248" s="361"/>
      <c r="L248" s="361"/>
      <c r="M248" s="377"/>
      <c r="N248" s="368"/>
    </row>
    <row r="249" spans="1:14" ht="19" customHeight="1" x14ac:dyDescent="0.25">
      <c r="A249" s="223"/>
      <c r="B249" s="350" t="str">
        <f>Idiomas!D139</f>
        <v>CUADRO DE HONOR</v>
      </c>
      <c r="C249" s="343"/>
      <c r="D249" s="629"/>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9"/>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9"/>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9"/>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9"/>
      <c r="G253" s="629"/>
      <c r="H253" s="629"/>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9"/>
      <c r="F254" s="629"/>
      <c r="G254" s="629"/>
      <c r="H254" s="629"/>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9"/>
      <c r="F255" s="629"/>
      <c r="G255" s="629"/>
      <c r="H255" s="629"/>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9"/>
      <c r="F256" s="629"/>
      <c r="G256" s="629"/>
      <c r="H256" s="629"/>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6</v>
      </c>
      <c r="J4" s="438">
        <f ca="1">+INDEX(WORLDCUP!$AT$6:$AT$97,MATCH(L4,WORLDCUP!$AI$6:$AI$97,0))</f>
        <v>3</v>
      </c>
      <c r="K4" s="439" t="str">
        <f ca="1">+INDEX(WORLDCUP!$AR$6:$AR$97,MATCH(L4,WORLDCUP!$AI$6:$AI$97,0))&amp;"-"&amp;INDEX(WORLDCUP!$AS$6:$AS$97,MATCH(L4,WORLDCUP!$AI$6:$AI$97,0))</f>
        <v>3-0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Egi</v>
      </c>
      <c r="U4" s="437">
        <f ca="1">+INDEX(WORLDCUP!$AM$6:$AM$97,MATCH(X4,WORLDCUP!$AI$6:$AI$97,0))</f>
        <v>4</v>
      </c>
      <c r="V4" s="438">
        <f ca="1">+INDEX(WORLDCUP!$AT$6:$AT$97,MATCH(X4,WORLDCUP!$AI$6:$AI$97,0))</f>
        <v>2</v>
      </c>
      <c r="W4" s="439" t="str">
        <f ca="1">+INDEX(WORLDCUP!$AR$6:$AR$97,MATCH(X4,WORLDCUP!$AI$6:$AI$97,0))&amp;"-"&amp;INDEX(WORLDCUP!$AS$6:$AS$97,MATCH(X4,WORLDCUP!$AI$6:$AI$97,0))</f>
        <v>4-2</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Cor</v>
      </c>
      <c r="I5" s="38">
        <f ca="1">+INDEX(WORLDCUP!$AM$6:$AM$97,MATCH(L5,WORLDCUP!$AI$6:$AI$97,0))</f>
        <v>3</v>
      </c>
      <c r="J5" s="39">
        <f ca="1">+INDEX(WORLDCUP!$AT$6:$AT$97,MATCH(L5,WORLDCUP!$AI$6:$AI$97,0))</f>
        <v>0</v>
      </c>
      <c r="K5" s="43" t="str">
        <f ca="1">+INDEX(WORLDCUP!$AR$6:$AR$97,MATCH(L5,WORLDCUP!$AI$6:$AI$97,0))&amp;"-"&amp;INDEX(WORLDCUP!$AS$6:$AS$97,MATCH(L5,WORLDCUP!$AI$6:$AI$97,0))</f>
        <v>2-2</v>
      </c>
      <c r="L5" s="181" t="s">
        <v>71</v>
      </c>
      <c r="M5" s="181">
        <v>39</v>
      </c>
      <c r="N5" s="440"/>
      <c r="O5" s="432" t="str">
        <f ca="1">+MID(INDEX(WORLDCUP!$AA$4:$AA$147,MATCH(M5,WORLDCUP!$AH$4:$AH$147,0)),1,3)</f>
        <v>Bél</v>
      </c>
      <c r="P5" s="433">
        <f>IF(ISBLANK(INDEX(WORLDCUP!$AC$4:$AC$147,MATCH(M5,WORLDCUP!$AH$4:$AH$147,0))),"",INDEX(WORLDCUP!$AC$4:$AC$147,MATCH(M5,WORLDCUP!$AH$4:$AH$147,0)))</f>
        <v>0</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Irá</v>
      </c>
      <c r="U5" s="38">
        <f ca="1">+INDEX(WORLDCUP!$AM$6:$AM$97,MATCH(X5,WORLDCUP!$AI$6:$AI$97,0))</f>
        <v>2</v>
      </c>
      <c r="V5" s="39">
        <f ca="1">+INDEX(WORLDCUP!$AT$6:$AT$97,MATCH(X5,WORLDCUP!$AI$6:$AI$97,0))</f>
        <v>0</v>
      </c>
      <c r="W5" s="43" t="str">
        <f ca="1">+INDEX(WORLDCUP!$AR$6:$AR$97,MATCH(X5,WORLDCUP!$AI$6:$AI$97,0))&amp;"-"&amp;INDEX(WORLDCUP!$AS$6:$AS$97,MATCH(X5,WORLDCUP!$AI$6:$AI$97,0))</f>
        <v>2-2</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Rep</v>
      </c>
      <c r="I6" s="38">
        <f ca="1">+INDEX(WORLDCUP!$AM$6:$AM$97,MATCH(L6,WORLDCUP!$AI$6:$AI$97,0))</f>
        <v>1</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Bél</v>
      </c>
      <c r="U6" s="38">
        <f ca="1">+INDEX(WORLDCUP!$AM$6:$AM$97,MATCH(X6,WORLDCUP!$AI$6:$AI$97,0))</f>
        <v>2</v>
      </c>
      <c r="V6" s="39">
        <f ca="1">+INDEX(WORLDCUP!$AT$6:$AT$97,MATCH(X6,WORLDCUP!$AI$6:$AI$97,0))</f>
        <v>0</v>
      </c>
      <c r="W6" s="43" t="str">
        <f ca="1">+INDEX(WORLDCUP!$AR$6:$AR$97,MATCH(X6,WORLDCUP!$AI$6:$AI$97,0))&amp;"-"&amp;INDEX(WORLDCUP!$AS$6:$AS$97,MATCH(X6,WORLDCUP!$AI$6:$AI$97,0))</f>
        <v>1-1</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Sud</v>
      </c>
      <c r="I7" s="465">
        <f ca="1">+INDEX(WORLDCUP!$AM$6:$AM$97,MATCH(L7,WORLDCUP!$AI$6:$AI$97,0))</f>
        <v>1</v>
      </c>
      <c r="J7" s="466">
        <f ca="1">+INDEX(WORLDCUP!$AT$6:$AT$97,MATCH(L7,WORLDCUP!$AI$6:$AI$97,0))</f>
        <v>-2</v>
      </c>
      <c r="K7" s="467" t="str">
        <f ca="1">+INDEX(WORLDCUP!$AR$6:$AR$97,MATCH(L7,WORLDCUP!$AI$6:$AI$97,0))&amp;"-"&amp;INDEX(WORLDCUP!$AS$6:$AS$97,MATCH(L7,WORLDCUP!$AI$6:$AI$97,0))</f>
        <v>1-3</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Nue</v>
      </c>
      <c r="U7" s="465">
        <f ca="1">+INDEX(WORLDCUP!$AM$6:$AM$97,MATCH(X7,WORLDCUP!$AI$6:$AI$97,0))</f>
        <v>1</v>
      </c>
      <c r="V7" s="466">
        <f ca="1">+INDEX(WORLDCUP!$AT$6:$AT$97,MATCH(X7,WORLDCUP!$AI$6:$AI$97,0))</f>
        <v>-2</v>
      </c>
      <c r="W7" s="467" t="str">
        <f ca="1">+INDEX(WORLDCUP!$AR$6:$AR$97,MATCH(X7,WORLDCUP!$AI$6:$AI$97,0))&amp;"-"&amp;INDEX(WORLDCUP!$AS$6:$AS$97,MATCH(X7,WORLDCUP!$AI$6:$AI$97,0))</f>
        <v>3-5</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Can</v>
      </c>
      <c r="I12" s="437">
        <f ca="1">+INDEX(WORLDCUP!$AM$6:$AM$97,MATCH(L12,WORLDCUP!$AI$6:$AI$97,0))</f>
        <v>4</v>
      </c>
      <c r="J12" s="438">
        <f ca="1">+INDEX(WORLDCUP!$AT$6:$AT$97,MATCH(L12,WORLDCUP!$AI$6:$AI$97,0))</f>
        <v>6</v>
      </c>
      <c r="K12" s="439" t="str">
        <f ca="1">+INDEX(WORLDCUP!$AR$6:$AR$97,MATCH(L12,WORLDCUP!$AI$6:$AI$97,0))&amp;"-"&amp;INDEX(WORLDCUP!$AS$6:$AS$97,MATCH(L12,WORLDCUP!$AI$6:$AI$97,0))</f>
        <v>7-1</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4</v>
      </c>
      <c r="V12" s="438">
        <f ca="1">+INDEX(WORLDCUP!$AT$6:$AT$97,MATCH(X12,WORLDCUP!$AI$6:$AI$97,0))</f>
        <v>4</v>
      </c>
      <c r="W12" s="439" t="str">
        <f ca="1">+INDEX(WORLDCUP!$AR$6:$AR$97,MATCH(X12,WORLDCUP!$AI$6:$AI$97,0))&amp;"-"&amp;INDEX(WORLDCUP!$AS$6:$AS$97,MATCH(X12,WORLDCUP!$AI$6:$AI$97,0))</f>
        <v>4-0</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Sui</v>
      </c>
      <c r="I13" s="38">
        <f ca="1">+INDEX(WORLDCUP!$AM$6:$AM$97,MATCH(L13,WORLDCUP!$AI$6:$AI$97,0))</f>
        <v>4</v>
      </c>
      <c r="J13" s="39">
        <f ca="1">+INDEX(WORLDCUP!$AT$6:$AT$97,MATCH(L13,WORLDCUP!$AI$6:$AI$97,0))</f>
        <v>3</v>
      </c>
      <c r="K13" s="43" t="str">
        <f ca="1">+INDEX(WORLDCUP!$AR$6:$AR$97,MATCH(L13,WORLDCUP!$AI$6:$AI$97,0))&amp;"-"&amp;INDEX(WORLDCUP!$AS$6:$AS$97,MATCH(L13,WORLDCUP!$AI$6:$AI$97,0))</f>
        <v>5-2</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Uru</v>
      </c>
      <c r="U13" s="38">
        <f ca="1">+INDEX(WORLDCUP!$AM$6:$AM$97,MATCH(X13,WORLDCUP!$AI$6:$AI$97,0))</f>
        <v>2</v>
      </c>
      <c r="V13" s="39">
        <f ca="1">+INDEX(WORLDCUP!$AT$6:$AT$97,MATCH(X13,WORLDCUP!$AI$6:$AI$97,0))</f>
        <v>0</v>
      </c>
      <c r="W13" s="43" t="str">
        <f ca="1">+INDEX(WORLDCUP!$AR$6:$AR$97,MATCH(X13,WORLDCUP!$AI$6:$AI$97,0))&amp;"-"&amp;INDEX(WORLDCUP!$AS$6:$AS$97,MATCH(X13,WORLDCUP!$AI$6:$AI$97,0))</f>
        <v>3-3</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1</v>
      </c>
      <c r="J14" s="39">
        <f ca="1">+INDEX(WORLDCUP!$AT$6:$AT$97,MATCH(L14,WORLDCUP!$AI$6:$AI$97,0))</f>
        <v>-3</v>
      </c>
      <c r="K14" s="43" t="str">
        <f ca="1">+INDEX(WORLDCUP!$AR$6:$AR$97,MATCH(L14,WORLDCUP!$AI$6:$AI$97,0))&amp;"-"&amp;INDEX(WORLDCUP!$AS$6:$AS$97,MATCH(L14,WORLDCUP!$AI$6:$AI$97,0))</f>
        <v>2-5</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2</v>
      </c>
      <c r="R14" s="434" t="str">
        <f ca="1">+MID(INDEX(WORLDCUP!$AF$4:$AF$147,MATCH(M14,WORLDCUP!$AH$4:$AH$147,0)),1,3)</f>
        <v>Cab</v>
      </c>
      <c r="S14" s="455">
        <v>3</v>
      </c>
      <c r="T14" s="456" t="str">
        <f ca="1">+MID(INDEX(WORLDCUP!$AL$6:$AL$97,MATCH(X14,WORLDCUP!$AI$6:$AI$97,0)),1,3)</f>
        <v>Cab</v>
      </c>
      <c r="U14" s="38">
        <f ca="1">+INDEX(WORLDCUP!$AM$6:$AM$97,MATCH(X14,WORLDCUP!$AI$6:$AI$97,0))</f>
        <v>2</v>
      </c>
      <c r="V14" s="39">
        <f ca="1">+INDEX(WORLDCUP!$AT$6:$AT$97,MATCH(X14,WORLDCUP!$AI$6:$AI$97,0))</f>
        <v>0</v>
      </c>
      <c r="W14" s="43" t="str">
        <f ca="1">+INDEX(WORLDCUP!$AR$6:$AR$97,MATCH(X14,WORLDCUP!$AI$6:$AI$97,0))&amp;"-"&amp;INDEX(WORLDCUP!$AS$6:$AS$97,MATCH(X14,WORLDCUP!$AI$6:$AI$97,0))</f>
        <v>2-2</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-6</v>
      </c>
      <c r="K15" s="467" t="str">
        <f ca="1">+INDEX(WORLDCUP!$AR$6:$AR$97,MATCH(L15,WORLDCUP!$AI$6:$AI$97,0))&amp;"-"&amp;INDEX(WORLDCUP!$AS$6:$AS$97,MATCH(L15,WORLDCUP!$AI$6:$AI$97,0))</f>
        <v>1-7</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Ara</v>
      </c>
      <c r="U15" s="465">
        <f ca="1">+INDEX(WORLDCUP!$AM$6:$AM$97,MATCH(X15,WORLDCUP!$AI$6:$AI$97,0))</f>
        <v>1</v>
      </c>
      <c r="V15" s="466">
        <f ca="1">+INDEX(WORLDCUP!$AT$6:$AT$97,MATCH(X15,WORLDCUP!$AI$6:$AI$97,0))</f>
        <v>-4</v>
      </c>
      <c r="W15" s="467" t="str">
        <f ca="1">+INDEX(WORLDCUP!$AR$6:$AR$97,MATCH(X15,WORLDCUP!$AI$6:$AI$97,0))&amp;"-"&amp;INDEX(WORLDCUP!$AS$6:$AS$97,MATCH(X15,WORLDCUP!$AI$6:$AI$97,0))</f>
        <v>1-5</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4</v>
      </c>
      <c r="J20" s="438">
        <f ca="1">+INDEX(WORLDCUP!$AT$6:$AT$97,MATCH(L20,WORLDCUP!$AI$6:$AI$97,0))</f>
        <v>3</v>
      </c>
      <c r="K20" s="439" t="str">
        <f ca="1">+INDEX(WORLDCUP!$AR$6:$AR$97,MATCH(L20,WORLDCUP!$AI$6:$AI$97,0))&amp;"-"&amp;INDEX(WORLDCUP!$AS$6:$AS$97,MATCH(L20,WORLDCUP!$AI$6:$AI$97,0))</f>
        <v>4-1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Fra</v>
      </c>
      <c r="U20" s="437">
        <f ca="1">+INDEX(WORLDCUP!$AM$6:$AM$97,MATCH(X20,WORLDCUP!$AI$6:$AI$97,0))</f>
        <v>6</v>
      </c>
      <c r="V20" s="438">
        <f ca="1">+INDEX(WORLDCUP!$AT$6:$AT$97,MATCH(X20,WORLDCUP!$AI$6:$AI$97,0))</f>
        <v>5</v>
      </c>
      <c r="W20" s="439" t="str">
        <f ca="1">+INDEX(WORLDCUP!$AR$6:$AR$97,MATCH(X20,WORLDCUP!$AI$6:$AI$97,0))&amp;"-"&amp;INDEX(WORLDCUP!$AS$6:$AS$97,MATCH(X20,WORLDCUP!$AI$6:$AI$97,0))</f>
        <v>6-1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Mar</v>
      </c>
      <c r="I21" s="38">
        <f ca="1">+INDEX(WORLDCUP!$AM$6:$AM$97,MATCH(L21,WORLDCUP!$AI$6:$AI$97,0))</f>
        <v>4</v>
      </c>
      <c r="J21" s="39">
        <f ca="1">+INDEX(WORLDCUP!$AT$6:$AT$97,MATCH(L21,WORLDCUP!$AI$6:$AI$97,0))</f>
        <v>1</v>
      </c>
      <c r="K21" s="43" t="str">
        <f ca="1">+INDEX(WORLDCUP!$AR$6:$AR$97,MATCH(L21,WORLDCUP!$AI$6:$AI$97,0))&amp;"-"&amp;INDEX(WORLDCUP!$AS$6:$AS$97,MATCH(L21,WORLDCUP!$AI$6:$AI$97,0))</f>
        <v>2-1</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6</v>
      </c>
      <c r="V21" s="39">
        <f ca="1">+INDEX(WORLDCUP!$AT$6:$AT$97,MATCH(X21,WORLDCUP!$AI$6:$AI$97,0))</f>
        <v>4</v>
      </c>
      <c r="W21" s="43" t="str">
        <f ca="1">+INDEX(WORLDCUP!$AR$6:$AR$97,MATCH(X21,WORLDCUP!$AI$6:$AI$97,0))&amp;"-"&amp;INDEX(WORLDCUP!$AS$6:$AS$97,MATCH(X21,WORLDCUP!$AI$6:$AI$97,0))</f>
        <v>7-3</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0</v>
      </c>
      <c r="K22" s="43" t="str">
        <f ca="1">+INDEX(WORLDCUP!$AR$6:$AR$97,MATCH(L22,WORLDCUP!$AI$6:$AI$97,0))&amp;"-"&amp;INDEX(WORLDCUP!$AS$6:$AS$97,MATCH(L22,WORLDCUP!$AI$6:$AI$97,0))</f>
        <v>1-1</v>
      </c>
      <c r="L22" s="181" t="s">
        <v>81</v>
      </c>
      <c r="M22" s="181">
        <v>41</v>
      </c>
      <c r="N22" s="510"/>
      <c r="O22" s="432" t="str">
        <f ca="1">+MID(INDEX(WORLDCUP!$AA$4:$AA$147,MATCH(M22,WORLDCUP!$AH$4:$AH$147,0)),1,3)</f>
        <v>Nor</v>
      </c>
      <c r="P22" s="433">
        <f>IF(ISBLANK(INDEX(WORLDCUP!$AC$4:$AC$147,MATCH(M22,WORLDCUP!$AH$4:$AH$147,0))),"",INDEX(WORLDCUP!$AC$4:$AC$147,MATCH(M22,WORLDCUP!$AH$4:$AH$147,0)))</f>
        <v>3</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0</v>
      </c>
      <c r="V22" s="39">
        <f ca="1">+INDEX(WORLDCUP!$AT$6:$AT$97,MATCH(X22,WORLDCUP!$AI$6:$AI$97,0))</f>
        <v>-3</v>
      </c>
      <c r="W22" s="43" t="str">
        <f ca="1">+INDEX(WORLDCUP!$AR$6:$AR$97,MATCH(X22,WORLDCUP!$AI$6:$AI$97,0))&amp;"-"&amp;INDEX(WORLDCUP!$AS$6:$AS$97,MATCH(X22,WORLDCUP!$AI$6:$AI$97,0))</f>
        <v>3-6</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-4</v>
      </c>
      <c r="K23" s="467" t="str">
        <f ca="1">+INDEX(WORLDCUP!$AR$6:$AR$97,MATCH(L23,WORLDCUP!$AI$6:$AI$97,0))&amp;"-"&amp;INDEX(WORLDCUP!$AS$6:$AS$97,MATCH(L23,WORLDCUP!$AI$6:$AI$97,0))</f>
        <v>0-4</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-6</v>
      </c>
      <c r="W23" s="467" t="str">
        <f ca="1">+INDEX(WORLDCUP!$AR$6:$AR$97,MATCH(X23,WORLDCUP!$AI$6:$AI$97,0))&amp;"-"&amp;INDEX(WORLDCUP!$AS$6:$AS$97,MATCH(X23,WORLDCUP!$AI$6:$AI$97,0))</f>
        <v>1-7</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5</v>
      </c>
      <c r="K28" s="439" t="str">
        <f ca="1">+INDEX(WORLDCUP!$AR$6:$AR$97,MATCH(L28,WORLDCUP!$AI$6:$AI$97,0))&amp;"-"&amp;INDEX(WORLDCUP!$AS$6:$AS$97,MATCH(L28,WORLDCUP!$AI$6:$AI$97,0))</f>
        <v>6-1</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6</v>
      </c>
      <c r="V28" s="438">
        <f ca="1">+INDEX(WORLDCUP!$AT$6:$AT$97,MATCH(X28,WORLDCUP!$AI$6:$AI$97,0))</f>
        <v>5</v>
      </c>
      <c r="W28" s="439" t="str">
        <f ca="1">+INDEX(WORLDCUP!$AR$6:$AR$97,MATCH(X28,WORLDCUP!$AI$6:$AI$97,0))&amp;"-"&amp;INDEX(WORLDCUP!$AS$6:$AS$97,MATCH(X28,WORLDCUP!$AI$6:$AI$97,0))</f>
        <v>5-0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3</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3</v>
      </c>
      <c r="V29" s="39">
        <f ca="1">+INDEX(WORLDCUP!$AT$6:$AT$97,MATCH(X29,WORLDCUP!$AI$6:$AI$97,0))</f>
        <v>0</v>
      </c>
      <c r="W29" s="43" t="str">
        <f ca="1">+INDEX(WORLDCUP!$AR$6:$AR$97,MATCH(X29,WORLDCUP!$AI$6:$AI$97,0))&amp;"-"&amp;INDEX(WORLDCUP!$AS$6:$AS$97,MATCH(X29,WORLDCUP!$AI$6:$AI$97,0))</f>
        <v>3-3</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3</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Arg</v>
      </c>
      <c r="U30" s="38">
        <f ca="1">+INDEX(WORLDCUP!$AM$6:$AM$97,MATCH(X30,WORLDCUP!$AI$6:$AI$97,0))</f>
        <v>3</v>
      </c>
      <c r="V30" s="39">
        <f ca="1">+INDEX(WORLDCUP!$AT$6:$AT$97,MATCH(X30,WORLDCUP!$AI$6:$AI$97,0))</f>
        <v>-2</v>
      </c>
      <c r="W30" s="43" t="str">
        <f ca="1">+INDEX(WORLDCUP!$AR$6:$AR$97,MATCH(X30,WORLDCUP!$AI$6:$AI$97,0))&amp;"-"&amp;INDEX(WORLDCUP!$AS$6:$AS$97,MATCH(X30,WORLDCUP!$AI$6:$AI$97,0))</f>
        <v>2-4</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Tur</v>
      </c>
      <c r="I31" s="465">
        <f ca="1">+INDEX(WORLDCUP!$AM$6:$AM$97,MATCH(L31,WORLDCUP!$AI$6:$AI$97,0))</f>
        <v>0</v>
      </c>
      <c r="J31" s="466">
        <f ca="1">+INDEX(WORLDCUP!$AT$6:$AT$97,MATCH(L31,WORLDCUP!$AI$6:$AI$97,0))</f>
        <v>-3</v>
      </c>
      <c r="K31" s="467" t="str">
        <f ca="1">+INDEX(WORLDCUP!$AR$6:$AR$97,MATCH(L31,WORLDCUP!$AI$6:$AI$97,0))&amp;"-"&amp;INDEX(WORLDCUP!$AS$6:$AS$97,MATCH(L31,WORLDCUP!$AI$6:$AI$97,0))</f>
        <v>0-3</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-3</v>
      </c>
      <c r="W31" s="467" t="str">
        <f ca="1">+INDEX(WORLDCUP!$AR$6:$AR$97,MATCH(X31,WORLDCUP!$AI$6:$AI$97,0))&amp;"-"&amp;INDEX(WORLDCUP!$AS$6:$AS$97,MATCH(X31,WORLDCUP!$AI$6:$AI$97,0))</f>
        <v>2-5</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6</v>
      </c>
      <c r="J36" s="438">
        <f ca="1">+INDEX(WORLDCUP!$AT$6:$AT$97,MATCH(L36,WORLDCUP!$AI$6:$AI$97,0))</f>
        <v>7</v>
      </c>
      <c r="K36" s="439" t="str">
        <f ca="1">+INDEX(WORLDCUP!$AR$6:$AR$97,MATCH(L36,WORLDCUP!$AI$6:$AI$97,0))&amp;"-"&amp;INDEX(WORLDCUP!$AS$6:$AS$97,MATCH(L36,WORLDCUP!$AI$6:$AI$97,0))</f>
        <v>9-2</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6</v>
      </c>
      <c r="V36" s="438">
        <f ca="1">+INDEX(WORLDCUP!$AT$6:$AT$97,MATCH(X36,WORLDCUP!$AI$6:$AI$97,0))</f>
        <v>3</v>
      </c>
      <c r="W36" s="439" t="str">
        <f ca="1">+INDEX(WORLDCUP!$AR$6:$AR$97,MATCH(X36,WORLDCUP!$AI$6:$AI$97,0))&amp;"-"&amp;INDEX(WORLDCUP!$AS$6:$AS$97,MATCH(X36,WORLDCUP!$AI$6:$AI$97,0))</f>
        <v>4-1</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3</v>
      </c>
      <c r="J37" s="39">
        <f ca="1">+INDEX(WORLDCUP!$AT$6:$AT$97,MATCH(L37,WORLDCUP!$AI$6:$AI$97,0))</f>
        <v>0</v>
      </c>
      <c r="K37" s="43" t="str">
        <f ca="1">+INDEX(WORLDCUP!$AR$6:$AR$97,MATCH(L37,WORLDCUP!$AI$6:$AI$97,0))&amp;"-"&amp;INDEX(WORLDCUP!$AS$6:$AS$97,MATCH(L37,WORLDCUP!$AI$6:$AI$97,0))</f>
        <v>2-2</v>
      </c>
      <c r="L37" s="181" t="s">
        <v>89</v>
      </c>
      <c r="M37" s="181">
        <v>47</v>
      </c>
      <c r="N37" s="549"/>
      <c r="O37" s="432" t="str">
        <f ca="1">+MID(INDEX(WORLDCUP!$AA$4:$AA$147,MATCH(M37,WORLDCUP!$AH$4:$AH$147,0)),1,3)</f>
        <v>Por</v>
      </c>
      <c r="P37" s="433">
        <f>IF(ISBLANK(INDEX(WORLDCUP!$AC$4:$AC$147,MATCH(M37,WORLDCUP!$AH$4:$AH$147,0))),"",INDEX(WORLDCUP!$AC$4:$AC$147,MATCH(M37,WORLDCUP!$AH$4:$AH$147,0)))</f>
        <v>5</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Por</v>
      </c>
      <c r="U37" s="38">
        <f ca="1">+INDEX(WORLDCUP!$AM$6:$AM$97,MATCH(X37,WORLDCUP!$AI$6:$AI$97,0))</f>
        <v>4</v>
      </c>
      <c r="V37" s="39">
        <f ca="1">+INDEX(WORLDCUP!$AT$6:$AT$97,MATCH(X37,WORLDCUP!$AI$6:$AI$97,0))</f>
        <v>5</v>
      </c>
      <c r="W37" s="43" t="str">
        <f ca="1">+INDEX(WORLDCUP!$AR$6:$AR$97,MATCH(X37,WORLDCUP!$AI$6:$AI$97,0))&amp;"-"&amp;INDEX(WORLDCUP!$AS$6:$AS$97,MATCH(X37,WORLDCUP!$AI$6:$AI$97,0))</f>
        <v>6-1</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0</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1</v>
      </c>
      <c r="J38" s="39">
        <f ca="1">+INDEX(WORLDCUP!$AT$6:$AT$97,MATCH(L38,WORLDCUP!$AI$6:$AI$97,0))</f>
        <v>-1</v>
      </c>
      <c r="K38" s="43" t="str">
        <f ca="1">+INDEX(WORLDCUP!$AR$6:$AR$97,MATCH(L38,WORLDCUP!$AI$6:$AI$97,0))&amp;"-"&amp;INDEX(WORLDCUP!$AS$6:$AS$97,MATCH(L38,WORLDCUP!$AI$6:$AI$97,0))</f>
        <v>0-1</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1</v>
      </c>
      <c r="V38" s="39">
        <f ca="1">+INDEX(WORLDCUP!$AT$6:$AT$97,MATCH(X38,WORLDCUP!$AI$6:$AI$97,0))</f>
        <v>-1</v>
      </c>
      <c r="W38" s="43" t="str">
        <f ca="1">+INDEX(WORLDCUP!$AR$6:$AR$97,MATCH(X38,WORLDCUP!$AI$6:$AI$97,0))&amp;"-"&amp;INDEX(WORLDCUP!$AS$6:$AS$97,MATCH(X38,WORLDCUP!$AI$6:$AI$97,0))</f>
        <v>1-2</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Cur</v>
      </c>
      <c r="I39" s="465">
        <f ca="1">+INDEX(WORLDCUP!$AM$6:$AM$97,MATCH(L39,WORLDCUP!$AI$6:$AI$97,0))</f>
        <v>1</v>
      </c>
      <c r="J39" s="466">
        <f ca="1">+INDEX(WORLDCUP!$AT$6:$AT$97,MATCH(L39,WORLDCUP!$AI$6:$AI$97,0))</f>
        <v>-6</v>
      </c>
      <c r="K39" s="467" t="str">
        <f ca="1">+INDEX(WORLDCUP!$AR$6:$AR$97,MATCH(L39,WORLDCUP!$AI$6:$AI$97,0))&amp;"-"&amp;INDEX(WORLDCUP!$AS$6:$AS$97,MATCH(L39,WORLDCUP!$AI$6:$AI$97,0))</f>
        <v>1-7</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-7</v>
      </c>
      <c r="W39" s="467" t="str">
        <f ca="1">+INDEX(WORLDCUP!$AR$6:$AR$97,MATCH(X39,WORLDCUP!$AI$6:$AI$97,0))&amp;"-"&amp;INDEX(WORLDCUP!$AS$6:$AS$97,MATCH(X39,WORLDCUP!$AI$6:$AI$97,0))</f>
        <v>1-8</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4</v>
      </c>
      <c r="J44" s="438">
        <f ca="1">+INDEX(WORLDCUP!$AT$6:$AT$97,MATCH(L44,WORLDCUP!$AI$6:$AI$97,0))</f>
        <v>4</v>
      </c>
      <c r="K44" s="439" t="str">
        <f ca="1">+INDEX(WORLDCUP!$AR$6:$AR$97,MATCH(L44,WORLDCUP!$AI$6:$AI$97,0))&amp;"-"&amp;INDEX(WORLDCUP!$AS$6:$AS$97,MATCH(L44,WORLDCUP!$AI$6:$AI$97,0))</f>
        <v>7-3</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4</v>
      </c>
      <c r="V44" s="438">
        <f ca="1">+INDEX(WORLDCUP!$AT$6:$AT$97,MATCH(X44,WORLDCUP!$AI$6:$AI$97,0))</f>
        <v>2</v>
      </c>
      <c r="W44" s="439" t="str">
        <f ca="1">+INDEX(WORLDCUP!$AR$6:$AR$97,MATCH(X44,WORLDCUP!$AI$6:$AI$97,0))&amp;"-"&amp;INDEX(WORLDCUP!$AS$6:$AS$97,MATCH(X44,WORLDCUP!$AI$6:$AI$97,0))</f>
        <v>4-2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5</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4</v>
      </c>
      <c r="J45" s="39">
        <f ca="1">+INDEX(WORLDCUP!$AT$6:$AT$97,MATCH(L45,WORLDCUP!$AI$6:$AI$97,0))</f>
        <v>4</v>
      </c>
      <c r="K45" s="43" t="str">
        <f ca="1">+INDEX(WORLDCUP!$AR$6:$AR$97,MATCH(L45,WORLDCUP!$AI$6:$AI$97,0))&amp;"-"&amp;INDEX(WORLDCUP!$AS$6:$AS$97,MATCH(L45,WORLDCUP!$AI$6:$AI$97,0))</f>
        <v>6-2</v>
      </c>
      <c r="L45" s="181" t="s">
        <v>93</v>
      </c>
      <c r="M45" s="181">
        <v>45</v>
      </c>
      <c r="N45" s="556"/>
      <c r="O45" s="432" t="str">
        <f ca="1">+MID(INDEX(WORLDCUP!$AA$4:$AA$147,MATCH(M45,WORLDCUP!$AH$4:$AH$147,0)),1,3)</f>
        <v>Ing</v>
      </c>
      <c r="P45" s="433">
        <f>IF(ISBLANK(INDEX(WORLDCUP!$AC$4:$AC$147,MATCH(M45,WORLDCUP!$AH$4:$AH$147,0))),"",INDEX(WORLDCUP!$AC$4:$AC$147,MATCH(M45,WORLDCUP!$AH$4:$AH$147,0)))</f>
        <v>0</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Gha</v>
      </c>
      <c r="U45" s="38">
        <f ca="1">+INDEX(WORLDCUP!$AM$6:$AM$97,MATCH(X45,WORLDCUP!$AI$6:$AI$97,0))</f>
        <v>4</v>
      </c>
      <c r="V45" s="39">
        <f ca="1">+INDEX(WORLDCUP!$AT$6:$AT$97,MATCH(X45,WORLDCUP!$AI$6:$AI$97,0))</f>
        <v>1</v>
      </c>
      <c r="W45" s="43" t="str">
        <f ca="1">+INDEX(WORLDCUP!$AR$6:$AR$97,MATCH(X45,WORLDCUP!$AI$6:$AI$97,0))&amp;"-"&amp;INDEX(WORLDCUP!$AS$6:$AS$97,MATCH(X45,WORLDCUP!$AI$6:$AI$97,0))</f>
        <v>1-0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4</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0</v>
      </c>
      <c r="K46" s="43" t="str">
        <f ca="1">+INDEX(WORLDCUP!$AR$6:$AR$97,MATCH(L46,WORLDCUP!$AI$6:$AI$97,0))&amp;"-"&amp;INDEX(WORLDCUP!$AS$6:$AS$97,MATCH(L46,WORLDCUP!$AI$6:$AI$97,0))</f>
        <v>6-6</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1</v>
      </c>
      <c r="R46" s="434" t="str">
        <f ca="1">+MID(INDEX(WORLDCUP!$AF$4:$AF$147,MATCH(M46,WORLDCUP!$AH$4:$AH$147,0)),1,3)</f>
        <v>Cro</v>
      </c>
      <c r="S46" s="455">
        <v>3</v>
      </c>
      <c r="T46" s="456" t="str">
        <f ca="1">+MID(INDEX(WORLDCUP!$AL$6:$AL$97,MATCH(X46,WORLDCUP!$AI$6:$AI$97,0)),1,3)</f>
        <v>Cro</v>
      </c>
      <c r="U46" s="38">
        <f ca="1">+INDEX(WORLDCUP!$AM$6:$AM$97,MATCH(X46,WORLDCUP!$AI$6:$AI$97,0))</f>
        <v>3</v>
      </c>
      <c r="V46" s="39">
        <f ca="1">+INDEX(WORLDCUP!$AT$6:$AT$97,MATCH(X46,WORLDCUP!$AI$6:$AI$97,0))</f>
        <v>-1</v>
      </c>
      <c r="W46" s="43" t="str">
        <f ca="1">+INDEX(WORLDCUP!$AR$6:$AR$97,MATCH(X46,WORLDCUP!$AI$6:$AI$97,0))&amp;"-"&amp;INDEX(WORLDCUP!$AS$6:$AS$97,MATCH(X46,WORLDCUP!$AI$6:$AI$97,0))</f>
        <v>3-4</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-8</v>
      </c>
      <c r="K47" s="467" t="str">
        <f ca="1">+INDEX(WORLDCUP!$AR$6:$AR$97,MATCH(L47,WORLDCUP!$AI$6:$AI$97,0))&amp;"-"&amp;INDEX(WORLDCUP!$AS$6:$AS$97,MATCH(L47,WORLDCUP!$AI$6:$AI$97,0))</f>
        <v>1-9</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-2</v>
      </c>
      <c r="W47" s="467" t="str">
        <f ca="1">+INDEX(WORLDCUP!$AR$6:$AR$97,MATCH(X47,WORLDCUP!$AI$6:$AI$97,0))&amp;"-"&amp;INDEX(WORLDCUP!$AS$6:$AS$97,MATCH(X47,WORLDCUP!$AI$6:$AI$97,0))</f>
        <v>0-2</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Argelia</v>
      </c>
      <c r="E2" s="9" t="str">
        <f ca="1">+WORLDCUP!BD66</f>
        <v>Senegal</v>
      </c>
      <c r="F2" s="9" t="str">
        <f ca="1">+WORLDCUP!BD63</f>
        <v>Suecia</v>
      </c>
      <c r="G2" s="9" t="str">
        <f ca="1">+WORLDCUP!BD65</f>
        <v>Cabo Verde</v>
      </c>
      <c r="H2" s="9" t="str">
        <f ca="1">+WORLDCUP!BD64</f>
        <v>Bélgica</v>
      </c>
      <c r="I2" s="9" t="str">
        <f ca="1">+WORLDCUP!BD69</f>
        <v>Croacia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Cabo Verde</v>
      </c>
      <c r="D3" s="9" t="str">
        <f ca="1">+WORLDCUP!BD64</f>
        <v>Bélgica</v>
      </c>
      <c r="E3" s="9" t="str">
        <f ca="1">+WORLDCUP!BD66</f>
        <v>Senegal</v>
      </c>
      <c r="F3" s="9" t="str">
        <f ca="1">+WORLDCUP!BD61</f>
        <v>Paraguay</v>
      </c>
      <c r="G3" s="9" t="str">
        <f ca="1">+WORLDCUP!BD67</f>
        <v>Argelia</v>
      </c>
      <c r="H3" s="9" t="str">
        <f ca="1">+WORLDCUP!BD63</f>
        <v>Suecia</v>
      </c>
      <c r="I3" s="9" t="str">
        <f ca="1">+WORLDCUP!BD69</f>
        <v>Croacia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Argelia</v>
      </c>
      <c r="E4" s="9" t="str">
        <f ca="1">+WORLDCUP!BD66</f>
        <v>Senegal</v>
      </c>
      <c r="F4" s="9" t="str">
        <f ca="1">+WORLDCUP!BD61</f>
        <v>Paraguay</v>
      </c>
      <c r="G4" s="9" t="str">
        <f ca="1">+WORLDCUP!BD65</f>
        <v>Cabo Verde</v>
      </c>
      <c r="H4" s="9" t="str">
        <f ca="1">+WORLDCUP!BD64</f>
        <v>Bélgica</v>
      </c>
      <c r="I4" s="9" t="str">
        <f ca="1">+WORLDCUP!BD69</f>
        <v>Croacia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Argelia</v>
      </c>
      <c r="E5" s="9" t="str">
        <f ca="1">+WORLDCUP!BD66</f>
        <v>Senegal</v>
      </c>
      <c r="F5" s="9" t="str">
        <f ca="1">+WORLDCUP!BD61</f>
        <v>Paraguay</v>
      </c>
      <c r="G5" s="9" t="str">
        <f ca="1">+WORLDCUP!BD65</f>
        <v>Cabo Verde</v>
      </c>
      <c r="H5" s="9" t="str">
        <f ca="1">+WORLDCUP!BD63</f>
        <v>Suecia</v>
      </c>
      <c r="I5" s="9" t="str">
        <f ca="1">+WORLDCUP!BD69</f>
        <v>Croacia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Bélgica</v>
      </c>
      <c r="E6" s="9" t="str">
        <f ca="1">+WORLDCUP!BD66</f>
        <v>Senegal</v>
      </c>
      <c r="F6" s="9" t="str">
        <f ca="1">+WORLDCUP!BD61</f>
        <v>Paraguay</v>
      </c>
      <c r="G6" s="9" t="str">
        <f ca="1">+WORLDCUP!BD67</f>
        <v>Argelia</v>
      </c>
      <c r="H6" s="9" t="str">
        <f ca="1">+WORLDCUP!BD63</f>
        <v>Suecia</v>
      </c>
      <c r="I6" s="9" t="str">
        <f ca="1">+WORLDCUP!BD69</f>
        <v>Croacia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Bélgica</v>
      </c>
      <c r="E7" s="9" t="str">
        <f ca="1">+WORLDCUP!BD67</f>
        <v>Argelia</v>
      </c>
      <c r="F7" s="9" t="str">
        <f ca="1">+WORLDCUP!BD61</f>
        <v>Paraguay</v>
      </c>
      <c r="G7" s="9" t="str">
        <f ca="1">+WORLDCUP!BD65</f>
        <v>Cabo Verde</v>
      </c>
      <c r="H7" s="9" t="str">
        <f ca="1">+WORLDCUP!BD63</f>
        <v>Suecia</v>
      </c>
      <c r="I7" s="9" t="str">
        <f ca="1">+WORLDCUP!BD69</f>
        <v>Croacia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Bélgica</v>
      </c>
      <c r="E8" s="9" t="str">
        <f ca="1">+WORLDCUP!BD66</f>
        <v>Senegal</v>
      </c>
      <c r="F8" s="9" t="str">
        <f ca="1">+WORLDCUP!BD61</f>
        <v>Paraguay</v>
      </c>
      <c r="G8" s="9" t="str">
        <f ca="1">+WORLDCUP!BD65</f>
        <v>Cabo Verde</v>
      </c>
      <c r="H8" s="9" t="str">
        <f ca="1">+WORLDCUP!BD63</f>
        <v>Suecia</v>
      </c>
      <c r="I8" s="9" t="str">
        <f ca="1">+WORLDCUP!BD69</f>
        <v>Croacia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Bélgica</v>
      </c>
      <c r="E9" s="9" t="str">
        <f ca="1">+WORLDCUP!BD67</f>
        <v>Argelia</v>
      </c>
      <c r="F9" s="9" t="str">
        <f ca="1">+WORLDCUP!BD61</f>
        <v>Paraguay</v>
      </c>
      <c r="G9" s="9" t="str">
        <f ca="1">+WORLDCUP!BD65</f>
        <v>Cabo Verde</v>
      </c>
      <c r="H9" s="9" t="str">
        <f ca="1">+WORLDCUP!BD63</f>
        <v>Suecia</v>
      </c>
      <c r="I9" s="9" t="str">
        <f ca="1">+WORLDCUP!BD69</f>
        <v>Croacia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Bélgica</v>
      </c>
      <c r="E10" s="9" t="str">
        <f ca="1">+WORLDCUP!BD67</f>
        <v>Argelia</v>
      </c>
      <c r="F10" s="9" t="str">
        <f ca="1">+WORLDCUP!BD61</f>
        <v>Paraguay</v>
      </c>
      <c r="G10" s="9" t="str">
        <f ca="1">+WORLDCUP!BD65</f>
        <v>Cabo Verde</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Cabo Verde</v>
      </c>
      <c r="D11" s="9" t="str">
        <f ca="1">+WORLDCUP!BD64</f>
        <v>Bélgica</v>
      </c>
      <c r="E11" s="9" t="str">
        <f ca="1">+WORLDCUP!BD66</f>
        <v>Senegal</v>
      </c>
      <c r="F11" s="9" t="str">
        <f ca="1">+WORLDCUP!BD60</f>
        <v>Escocia</v>
      </c>
      <c r="G11" s="9" t="str">
        <f ca="1">+WORLDCUP!BD67</f>
        <v>Argelia</v>
      </c>
      <c r="H11" s="9" t="str">
        <f ca="1">+WORLDCUP!BD63</f>
        <v>Suecia</v>
      </c>
      <c r="I11" s="9" t="str">
        <f ca="1">+WORLDCUP!BD69</f>
        <v>Croacia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Argelia</v>
      </c>
      <c r="E12" s="9" t="str">
        <f ca="1">+WORLDCUP!BD66</f>
        <v>Senegal</v>
      </c>
      <c r="F12" s="9" t="str">
        <f ca="1">+WORLDCUP!BD60</f>
        <v>Escocia</v>
      </c>
      <c r="G12" s="9" t="str">
        <f ca="1">+WORLDCUP!BD65</f>
        <v>Cabo Verde</v>
      </c>
      <c r="H12" s="9" t="str">
        <f ca="1">+WORLDCUP!BD64</f>
        <v>Bélgica</v>
      </c>
      <c r="I12" s="9" t="str">
        <f ca="1">+WORLDCUP!BD69</f>
        <v>Croacia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Argelia</v>
      </c>
      <c r="E13" s="9" t="str">
        <f ca="1">+WORLDCUP!BD66</f>
        <v>Senegal</v>
      </c>
      <c r="F13" s="9" t="str">
        <f ca="1">+WORLDCUP!BD60</f>
        <v>Escocia</v>
      </c>
      <c r="G13" s="9" t="str">
        <f ca="1">+WORLDCUP!BD65</f>
        <v>Cabo Verde</v>
      </c>
      <c r="H13" s="9" t="str">
        <f ca="1">+WORLDCUP!BD63</f>
        <v>Suecia</v>
      </c>
      <c r="I13" s="9" t="str">
        <f ca="1">+WORLDCUP!BD69</f>
        <v>Croacia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Bélgica</v>
      </c>
      <c r="E14" s="9" t="str">
        <f ca="1">+WORLDCUP!BD66</f>
        <v>Senegal</v>
      </c>
      <c r="F14" s="9" t="str">
        <f ca="1">+WORLDCUP!BD60</f>
        <v>Escocia</v>
      </c>
      <c r="G14" s="9" t="str">
        <f ca="1">+WORLDCUP!BD67</f>
        <v>Argelia</v>
      </c>
      <c r="H14" s="9" t="str">
        <f ca="1">+WORLDCUP!BD63</f>
        <v>Suecia</v>
      </c>
      <c r="I14" s="9" t="str">
        <f ca="1">+WORLDCUP!BD69</f>
        <v>Croacia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Bélgica</v>
      </c>
      <c r="E15" s="9" t="str">
        <f ca="1">+WORLDCUP!BD67</f>
        <v>Argelia</v>
      </c>
      <c r="F15" s="9" t="str">
        <f ca="1">+WORLDCUP!BD60</f>
        <v>Escocia</v>
      </c>
      <c r="G15" s="9" t="str">
        <f ca="1">+WORLDCUP!BD65</f>
        <v>Cabo Verde</v>
      </c>
      <c r="H15" s="9" t="str">
        <f ca="1">+WORLDCUP!BD63</f>
        <v>Suecia</v>
      </c>
      <c r="I15" s="9" t="str">
        <f ca="1">+WORLDCUP!BD69</f>
        <v>Croacia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Bélgica</v>
      </c>
      <c r="E16" s="9" t="str">
        <f ca="1">+WORLDCUP!BD66</f>
        <v>Senegal</v>
      </c>
      <c r="F16" s="9" t="str">
        <f ca="1">+WORLDCUP!BD60</f>
        <v>Escocia</v>
      </c>
      <c r="G16" s="9" t="str">
        <f ca="1">+WORLDCUP!BD65</f>
        <v>Cabo Verde</v>
      </c>
      <c r="H16" s="9" t="str">
        <f ca="1">+WORLDCUP!BD63</f>
        <v>Suecia</v>
      </c>
      <c r="I16" s="9" t="str">
        <f ca="1">+WORLDCUP!BD69</f>
        <v>Croacia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Bélgica</v>
      </c>
      <c r="E17" s="9" t="str">
        <f ca="1">+WORLDCUP!BD67</f>
        <v>Argelia</v>
      </c>
      <c r="F17" s="9" t="str">
        <f ca="1">+WORLDCUP!BD60</f>
        <v>Escocia</v>
      </c>
      <c r="G17" s="9" t="str">
        <f ca="1">+WORLDCUP!BD65</f>
        <v>Cabo Verde</v>
      </c>
      <c r="H17" s="9" t="str">
        <f ca="1">+WORLDCUP!BD63</f>
        <v>Suecia</v>
      </c>
      <c r="I17" s="9" t="str">
        <f ca="1">+WORLDCUP!BD69</f>
        <v>Croacia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Bélgica</v>
      </c>
      <c r="E18" s="9" t="str">
        <f ca="1">+WORLDCUP!BD67</f>
        <v>Argelia</v>
      </c>
      <c r="F18" s="9" t="str">
        <f ca="1">+WORLDCUP!BD60</f>
        <v>Escocia</v>
      </c>
      <c r="G18" s="9" t="str">
        <f ca="1">+WORLDCUP!BD65</f>
        <v>Cabo Verde</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Cabo Verde</v>
      </c>
      <c r="D19" s="9" t="str">
        <f ca="1">+WORLDCUP!BD64</f>
        <v>Bélgica</v>
      </c>
      <c r="E19" s="9" t="str">
        <f ca="1">+WORLDCUP!BD66</f>
        <v>Senegal</v>
      </c>
      <c r="F19" s="9" t="str">
        <f ca="1">+WORLDCUP!BD60</f>
        <v>Escocia</v>
      </c>
      <c r="G19" s="9" t="str">
        <f ca="1">+WORLDCUP!BD67</f>
        <v>Argelia</v>
      </c>
      <c r="H19" s="9" t="str">
        <f ca="1">+WORLDCUP!BD61</f>
        <v>Paraguay</v>
      </c>
      <c r="I19" s="9" t="str">
        <f ca="1">+WORLDCUP!BD69</f>
        <v>Croacia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Paraguay</v>
      </c>
      <c r="G20" s="9" t="str">
        <f ca="1">+WORLDCUP!BD65</f>
        <v>Cabo Verde</v>
      </c>
      <c r="H20" s="9" t="str">
        <f ca="1">+WORLDCUP!BD63</f>
        <v>Suecia</v>
      </c>
      <c r="I20" s="9" t="str">
        <f ca="1">+WORLDCUP!BD69</f>
        <v>Croacia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Bélgica</v>
      </c>
      <c r="E21" s="9" t="str">
        <f ca="1">+WORLDCUP!BD66</f>
        <v>Senegal</v>
      </c>
      <c r="F21" s="9" t="str">
        <f ca="1">+WORLDCUP!BD61</f>
        <v>Paraguay</v>
      </c>
      <c r="G21" s="9" t="str">
        <f ca="1">+WORLDCUP!BD67</f>
        <v>Argelia</v>
      </c>
      <c r="H21" s="9" t="str">
        <f ca="1">+WORLDCUP!BD63</f>
        <v>Suecia</v>
      </c>
      <c r="I21" s="9" t="str">
        <f ca="1">+WORLDCUP!BD69</f>
        <v>Croacia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Bélgica</v>
      </c>
      <c r="E22" s="9" t="str">
        <f ca="1">+WORLDCUP!BD67</f>
        <v>Argelia</v>
      </c>
      <c r="F22" s="9" t="str">
        <f ca="1">+WORLDCUP!BD61</f>
        <v>Paraguay</v>
      </c>
      <c r="G22" s="9" t="str">
        <f ca="1">+WORLDCUP!BD65</f>
        <v>Cabo Verde</v>
      </c>
      <c r="H22" s="9" t="str">
        <f ca="1">+WORLDCUP!BD63</f>
        <v>Suecia</v>
      </c>
      <c r="I22" s="9" t="str">
        <f ca="1">+WORLDCUP!BD69</f>
        <v>Croacia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Bélgica</v>
      </c>
      <c r="E23" s="9" t="str">
        <f ca="1">+WORLDCUP!BD66</f>
        <v>Senegal</v>
      </c>
      <c r="F23" s="9" t="str">
        <f ca="1">+WORLDCUP!BD61</f>
        <v>Paraguay</v>
      </c>
      <c r="G23" s="9" t="str">
        <f ca="1">+WORLDCUP!BD65</f>
        <v>Cabo Verde</v>
      </c>
      <c r="H23" s="9" t="str">
        <f ca="1">+WORLDCUP!BD63</f>
        <v>Suecia</v>
      </c>
      <c r="I23" s="9" t="str">
        <f ca="1">+WORLDCUP!BD69</f>
        <v>Croacia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Bélgica</v>
      </c>
      <c r="E24" s="9" t="str">
        <f ca="1">+WORLDCUP!BD67</f>
        <v>Argelia</v>
      </c>
      <c r="F24" s="9" t="str">
        <f ca="1">+WORLDCUP!BD61</f>
        <v>Paraguay</v>
      </c>
      <c r="G24" s="9" t="str">
        <f ca="1">+WORLDCUP!BD65</f>
        <v>Cabo Verde</v>
      </c>
      <c r="H24" s="9" t="str">
        <f ca="1">+WORLDCUP!BD63</f>
        <v>Suecia</v>
      </c>
      <c r="I24" s="9" t="str">
        <f ca="1">+WORLDCUP!BD69</f>
        <v>Croacia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Bélgica</v>
      </c>
      <c r="E25" s="9" t="str">
        <f ca="1">+WORLDCUP!BD67</f>
        <v>Argelia</v>
      </c>
      <c r="F25" s="9" t="str">
        <f ca="1">+WORLDCUP!BD61</f>
        <v>Paraguay</v>
      </c>
      <c r="G25" s="9" t="str">
        <f ca="1">+WORLDCUP!BD65</f>
        <v>Cabo Verde</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Argelia</v>
      </c>
      <c r="E26" s="9" t="str">
        <f ca="1">+WORLDCUP!BD66</f>
        <v>Senegal</v>
      </c>
      <c r="F26" s="9" t="str">
        <f ca="1">+WORLDCUP!BD60</f>
        <v>Escocia</v>
      </c>
      <c r="G26" s="9" t="str">
        <f ca="1">+WORLDCUP!BD65</f>
        <v>Cabo Verde</v>
      </c>
      <c r="H26" s="9" t="str">
        <f ca="1">+WORLDCUP!BD61</f>
        <v>Paraguay</v>
      </c>
      <c r="I26" s="9" t="str">
        <f ca="1">+WORLDCUP!BD69</f>
        <v>Croacia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Bélgica</v>
      </c>
      <c r="E27" s="9" t="str">
        <f ca="1">+WORLDCUP!BD66</f>
        <v>Senegal</v>
      </c>
      <c r="F27" s="9" t="str">
        <f ca="1">+WORLDCUP!BD60</f>
        <v>Escocia</v>
      </c>
      <c r="G27" s="9" t="str">
        <f ca="1">+WORLDCUP!BD67</f>
        <v>Argelia</v>
      </c>
      <c r="H27" s="9" t="str">
        <f ca="1">+WORLDCUP!BD61</f>
        <v>Paraguay</v>
      </c>
      <c r="I27" s="9" t="str">
        <f ca="1">+WORLDCUP!BD69</f>
        <v>Croacia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Bélgica</v>
      </c>
      <c r="E28" s="9" t="str">
        <f ca="1">+WORLDCUP!BD67</f>
        <v>Argelia</v>
      </c>
      <c r="F28" s="9" t="str">
        <f ca="1">+WORLDCUP!BD60</f>
        <v>Escocia</v>
      </c>
      <c r="G28" s="9" t="str">
        <f ca="1">+WORLDCUP!BD65</f>
        <v>Cabo Verde</v>
      </c>
      <c r="H28" s="9" t="str">
        <f ca="1">+WORLDCUP!BD61</f>
        <v>Paraguay</v>
      </c>
      <c r="I28" s="9" t="str">
        <f ca="1">+WORLDCUP!BD69</f>
        <v>Croacia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Bélgica</v>
      </c>
      <c r="E29" s="9" t="str">
        <f ca="1">+WORLDCUP!BD66</f>
        <v>Senegal</v>
      </c>
      <c r="F29" s="9" t="str">
        <f ca="1">+WORLDCUP!BD60</f>
        <v>Escocia</v>
      </c>
      <c r="G29" s="9" t="str">
        <f ca="1">+WORLDCUP!BD65</f>
        <v>Cabo Verde</v>
      </c>
      <c r="H29" s="9" t="str">
        <f ca="1">+WORLDCUP!BD61</f>
        <v>Paraguay</v>
      </c>
      <c r="I29" s="9" t="str">
        <f ca="1">+WORLDCUP!BD69</f>
        <v>Croacia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Bélgica</v>
      </c>
      <c r="E30" s="9" t="str">
        <f ca="1">+WORLDCUP!BD67</f>
        <v>Argelia</v>
      </c>
      <c r="F30" s="9" t="str">
        <f ca="1">+WORLDCUP!BD60</f>
        <v>Escocia</v>
      </c>
      <c r="G30" s="9" t="str">
        <f ca="1">+WORLDCUP!BD65</f>
        <v>Cabo Verde</v>
      </c>
      <c r="H30" s="9" t="str">
        <f ca="1">+WORLDCUP!BD61</f>
        <v>Paraguay</v>
      </c>
      <c r="I30" s="9" t="str">
        <f ca="1">+WORLDCUP!BD69</f>
        <v>Croacia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Bélgica</v>
      </c>
      <c r="E31" s="9" t="str">
        <f ca="1">+WORLDCUP!BD67</f>
        <v>Argelia</v>
      </c>
      <c r="F31" s="9" t="str">
        <f ca="1">+WORLDCUP!BD60</f>
        <v>Escocia</v>
      </c>
      <c r="G31" s="9" t="str">
        <f ca="1">+WORLDCUP!BD65</f>
        <v>Cabo Verde</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Croacia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Ecuador</v>
      </c>
      <c r="F33" s="9" t="str">
        <f ca="1">+WORLDCUP!BD61</f>
        <v>Paraguay</v>
      </c>
      <c r="G33" s="9" t="str">
        <f ca="1">+WORLDCUP!BD65</f>
        <v>Cabo Verde</v>
      </c>
      <c r="H33" s="9" t="str">
        <f ca="1">+WORLDCUP!BD63</f>
        <v>Suecia</v>
      </c>
      <c r="I33" s="9" t="str">
        <f ca="1">+WORLDCUP!BD69</f>
        <v>Croacia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Paraguay</v>
      </c>
      <c r="G34" s="9" t="str">
        <f ca="1">+WORLDCUP!BD65</f>
        <v>Cabo Verde</v>
      </c>
      <c r="H34" s="9" t="str">
        <f ca="1">+WORLDCUP!BD63</f>
        <v>Suecia</v>
      </c>
      <c r="I34" s="9" t="str">
        <f ca="1">+WORLDCUP!BD69</f>
        <v>Croacia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Ecuador</v>
      </c>
      <c r="F35" s="9" t="str">
        <f ca="1">+WORLDCUP!BD61</f>
        <v>Paraguay</v>
      </c>
      <c r="G35" s="9" t="str">
        <f ca="1">+WORLDCUP!BD65</f>
        <v>Cabo Verde</v>
      </c>
      <c r="H35" s="9" t="str">
        <f ca="1">+WORLDCUP!BD63</f>
        <v>Suecia</v>
      </c>
      <c r="I35" s="9" t="str">
        <f ca="1">+WORLDCUP!BD69</f>
        <v>Croacia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Ecuador</v>
      </c>
      <c r="F36" s="9" t="str">
        <f ca="1">+WORLDCUP!BD61</f>
        <v>Paraguay</v>
      </c>
      <c r="G36" s="9" t="str">
        <f ca="1">+WORLDCUP!BD65</f>
        <v>Cabo Verde</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Bélgica</v>
      </c>
      <c r="E37" s="9" t="str">
        <f ca="1">+WORLDCUP!BD62</f>
        <v>Ecuador</v>
      </c>
      <c r="F37" s="9" t="str">
        <f ca="1">+WORLDCUP!BD61</f>
        <v>Paraguay</v>
      </c>
      <c r="G37" s="9" t="str">
        <f ca="1">+WORLDCUP!BD67</f>
        <v>Argelia</v>
      </c>
      <c r="H37" s="9" t="str">
        <f ca="1">+WORLDCUP!BD63</f>
        <v>Suecia</v>
      </c>
      <c r="I37" s="9" t="str">
        <f ca="1">+WORLDCUP!BD69</f>
        <v>Croacia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Bélgica</v>
      </c>
      <c r="E38" s="9" t="str">
        <f ca="1">+WORLDCUP!BD62</f>
        <v>Ecuador</v>
      </c>
      <c r="F38" s="9" t="str">
        <f ca="1">+WORLDCUP!BD61</f>
        <v>Paraguay</v>
      </c>
      <c r="G38" s="9" t="str">
        <f ca="1">+WORLDCUP!BD66</f>
        <v>Senegal</v>
      </c>
      <c r="H38" s="9" t="str">
        <f ca="1">+WORLDCUP!BD63</f>
        <v>Suecia</v>
      </c>
      <c r="I38" s="9" t="str">
        <f ca="1">+WORLDCUP!BD69</f>
        <v>Croacia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Bélgica</v>
      </c>
      <c r="E39" s="9" t="str">
        <f ca="1">+WORLDCUP!BD62</f>
        <v>Ecuador</v>
      </c>
      <c r="F39" s="9" t="str">
        <f ca="1">+WORLDCUP!BD61</f>
        <v>Paraguay</v>
      </c>
      <c r="G39" s="9" t="str">
        <f ca="1">+WORLDCUP!BD67</f>
        <v>Argelia</v>
      </c>
      <c r="H39" s="9" t="str">
        <f ca="1">+WORLDCUP!BD63</f>
        <v>Suecia</v>
      </c>
      <c r="I39" s="9" t="str">
        <f ca="1">+WORLDCUP!BD69</f>
        <v>Croacia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Bélgica</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Bélgica</v>
      </c>
      <c r="E41" s="9" t="str">
        <f ca="1">+WORLDCUP!BD62</f>
        <v>Ecuador</v>
      </c>
      <c r="F41" s="9" t="str">
        <f ca="1">+WORLDCUP!BD61</f>
        <v>Paraguay</v>
      </c>
      <c r="G41" s="9" t="str">
        <f ca="1">+WORLDCUP!BD65</f>
        <v>Cabo Verde</v>
      </c>
      <c r="H41" s="9" t="str">
        <f ca="1">+WORLDCUP!BD63</f>
        <v>Suecia</v>
      </c>
      <c r="I41" s="9" t="str">
        <f ca="1">+WORLDCUP!BD69</f>
        <v>Croacia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Bélgica</v>
      </c>
      <c r="E42" s="9" t="str">
        <f ca="1">+WORLDCUP!BD67</f>
        <v>Argelia</v>
      </c>
      <c r="F42" s="9" t="str">
        <f ca="1">+WORLDCUP!BD61</f>
        <v>Paraguay</v>
      </c>
      <c r="G42" s="9" t="str">
        <f ca="1">+WORLDCUP!BD65</f>
        <v>Cabo Verde</v>
      </c>
      <c r="H42" s="9" t="str">
        <f ca="1">+WORLDCUP!BD63</f>
        <v>Suecia</v>
      </c>
      <c r="I42" s="9" t="str">
        <f ca="1">+WORLDCUP!BD69</f>
        <v>Croacia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Bélgica</v>
      </c>
      <c r="E43" s="9" t="str">
        <f ca="1">+WORLDCUP!BD67</f>
        <v>Argelia</v>
      </c>
      <c r="F43" s="9" t="str">
        <f ca="1">+WORLDCUP!BD61</f>
        <v>Paraguay</v>
      </c>
      <c r="G43" s="9" t="str">
        <f ca="1">+WORLDCUP!BD65</f>
        <v>Cabo Verde</v>
      </c>
      <c r="H43" s="9" t="str">
        <f ca="1">+WORLDCUP!BD63</f>
        <v>Suecia</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Bélgica</v>
      </c>
      <c r="E44" s="9" t="str">
        <f ca="1">+WORLDCUP!BD62</f>
        <v>Ecuador</v>
      </c>
      <c r="F44" s="9" t="str">
        <f ca="1">+WORLDCUP!BD61</f>
        <v>Paraguay</v>
      </c>
      <c r="G44" s="9" t="str">
        <f ca="1">+WORLDCUP!BD65</f>
        <v>Cabo Verde</v>
      </c>
      <c r="H44" s="9" t="str">
        <f ca="1">+WORLDCUP!BD63</f>
        <v>Suecia</v>
      </c>
      <c r="I44" s="9" t="str">
        <f ca="1">+WORLDCUP!BD69</f>
        <v>Croacia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Bélgica</v>
      </c>
      <c r="E45" s="9" t="str">
        <f ca="1">+WORLDCUP!BD62</f>
        <v>Ecuador</v>
      </c>
      <c r="F45" s="9" t="str">
        <f ca="1">+WORLDCUP!BD61</f>
        <v>Paraguay</v>
      </c>
      <c r="G45" s="9" t="str">
        <f ca="1">+WORLDCUP!BD65</f>
        <v>Cabo Verde</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Bélgica</v>
      </c>
      <c r="E46" s="9" t="str">
        <f ca="1">+WORLDCUP!BD67</f>
        <v>Argelia</v>
      </c>
      <c r="F46" s="9" t="str">
        <f ca="1">+WORLDCUP!BD61</f>
        <v>Paraguay</v>
      </c>
      <c r="G46" s="9" t="str">
        <f ca="1">+WORLDCUP!BD65</f>
        <v>Cabo Verde</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Cabo Verde</v>
      </c>
      <c r="D47" s="9" t="str">
        <f ca="1">+WORLDCUP!BD67</f>
        <v>Argelia</v>
      </c>
      <c r="E47" s="9" t="str">
        <f ca="1">+WORLDCUP!BD59</f>
        <v>Bosnia y Herzegovina</v>
      </c>
      <c r="F47" s="9" t="str">
        <f ca="1">+WORLDCUP!BD63</f>
        <v>Suecia</v>
      </c>
      <c r="G47" s="9" t="str">
        <f ca="1">+WORLDCUP!BD66</f>
        <v>Senegal</v>
      </c>
      <c r="H47" s="9" t="str">
        <f ca="1">+WORLDCUP!BD64</f>
        <v>Bélgica</v>
      </c>
      <c r="I47" s="9" t="str">
        <f ca="1">+WORLDCUP!BD69</f>
        <v>Croacia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Argelia</v>
      </c>
      <c r="E48" s="9" t="str">
        <f ca="1">+WORLDCUP!BD66</f>
        <v>Senegal</v>
      </c>
      <c r="F48" s="9" t="str">
        <f ca="1">+WORLDCUP!BD59</f>
        <v>Bosnia y Herzegovina</v>
      </c>
      <c r="G48" s="9" t="str">
        <f ca="1">+WORLDCUP!BD65</f>
        <v>Cabo Verde</v>
      </c>
      <c r="H48" s="9" t="str">
        <f ca="1">+WORLDCUP!BD64</f>
        <v>Bélgica</v>
      </c>
      <c r="I48" s="9" t="str">
        <f ca="1">+WORLDCUP!BD69</f>
        <v>Croacia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Cabo Verde</v>
      </c>
      <c r="I49" s="9" t="str">
        <f ca="1">+WORLDCUP!BD69</f>
        <v>Croacia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Bélgica</v>
      </c>
      <c r="I50" s="9" t="str">
        <f ca="1">+WORLDCUP!BD69</f>
        <v>Croacia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Argelia</v>
      </c>
      <c r="E51" s="9" t="str">
        <f ca="1">+WORLDCUP!BD59</f>
        <v>Bosnia y Herzegovina</v>
      </c>
      <c r="F51" s="9" t="str">
        <f ca="1">+WORLDCUP!BD63</f>
        <v>Suecia</v>
      </c>
      <c r="G51" s="9" t="str">
        <f ca="1">+WORLDCUP!BD65</f>
        <v>Cabo Verde</v>
      </c>
      <c r="H51" s="9" t="str">
        <f ca="1">+WORLDCUP!BD64</f>
        <v>Bélgica</v>
      </c>
      <c r="I51" s="9" t="str">
        <f ca="1">+WORLDCUP!BD69</f>
        <v>Croacia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Bélgica</v>
      </c>
      <c r="E52" s="9" t="str">
        <f ca="1">+WORLDCUP!BD59</f>
        <v>Bosnia y Herzegovina</v>
      </c>
      <c r="F52" s="9" t="str">
        <f ca="1">+WORLDCUP!BD63</f>
        <v>Suecia</v>
      </c>
      <c r="G52" s="9" t="str">
        <f ca="1">+WORLDCUP!BD66</f>
        <v>Senegal</v>
      </c>
      <c r="H52" s="9" t="str">
        <f ca="1">+WORLDCUP!BD65</f>
        <v>Cabo Verde</v>
      </c>
      <c r="I52" s="9" t="str">
        <f ca="1">+WORLDCUP!BD69</f>
        <v>Croacia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Argelia</v>
      </c>
      <c r="E53" s="9" t="str">
        <f ca="1">+WORLDCUP!BD59</f>
        <v>Bosnia y Herzegovina</v>
      </c>
      <c r="F53" s="9" t="str">
        <f ca="1">+WORLDCUP!BD63</f>
        <v>Suecia</v>
      </c>
      <c r="G53" s="9" t="str">
        <f ca="1">+WORLDCUP!BD65</f>
        <v>Cabo Verde</v>
      </c>
      <c r="H53" s="9" t="str">
        <f ca="1">+WORLDCUP!BD64</f>
        <v>Bélgica</v>
      </c>
      <c r="I53" s="9" t="str">
        <f ca="1">+WORLDCUP!BD69</f>
        <v>Croacia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Argelia</v>
      </c>
      <c r="E54" s="9" t="str">
        <f ca="1">+WORLDCUP!BD59</f>
        <v>Bosnia y Herzegovina</v>
      </c>
      <c r="F54" s="9" t="str">
        <f ca="1">+WORLDCUP!BD63</f>
        <v>Suecia</v>
      </c>
      <c r="G54" s="9" t="str">
        <f ca="1">+WORLDCUP!BD65</f>
        <v>Cabo Verde</v>
      </c>
      <c r="H54" s="9" t="str">
        <f ca="1">+WORLDCUP!BD64</f>
        <v>Bélgica</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Cabo Verde</v>
      </c>
      <c r="D55" s="9" t="str">
        <f ca="1">+WORLDCUP!BD67</f>
        <v>Argelia</v>
      </c>
      <c r="E55" s="9" t="str">
        <f ca="1">+WORLDCUP!BD59</f>
        <v>Bosnia y Herzegovina</v>
      </c>
      <c r="F55" s="9" t="str">
        <f ca="1">+WORLDCUP!BD61</f>
        <v>Paraguay</v>
      </c>
      <c r="G55" s="9" t="str">
        <f ca="1">+WORLDCUP!BD66</f>
        <v>Senegal</v>
      </c>
      <c r="H55" s="9" t="str">
        <f ca="1">+WORLDCUP!BD64</f>
        <v>Bélgica</v>
      </c>
      <c r="I55" s="9" t="str">
        <f ca="1">+WORLDCUP!BD69</f>
        <v>Croacia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Cabo Verde</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Croacia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Bélgica</v>
      </c>
      <c r="E57" s="9" t="str">
        <f ca="1">+WORLDCUP!BD59</f>
        <v>Bosnia y Herzegovina</v>
      </c>
      <c r="F57" s="9" t="str">
        <f ca="1">+WORLDCUP!BD61</f>
        <v>Paraguay</v>
      </c>
      <c r="G57" s="9" t="str">
        <f ca="1">+WORLDCUP!BD67</f>
        <v>Argelia</v>
      </c>
      <c r="H57" s="9" t="str">
        <f ca="1">+WORLDCUP!BD63</f>
        <v>Suecia</v>
      </c>
      <c r="I57" s="9" t="str">
        <f ca="1">+WORLDCUP!BD69</f>
        <v>Croacia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Cabo Verde</v>
      </c>
      <c r="D58" s="9" t="str">
        <f ca="1">+WORLDCUP!BD64</f>
        <v>Bélgica</v>
      </c>
      <c r="E58" s="9" t="str">
        <f ca="1">+WORLDCUP!BD59</f>
        <v>Bosnia y Herzegovina</v>
      </c>
      <c r="F58" s="9" t="str">
        <f ca="1">+WORLDCUP!BD61</f>
        <v>Paraguay</v>
      </c>
      <c r="G58" s="9" t="str">
        <f ca="1">+WORLDCUP!BD67</f>
        <v>Argelia</v>
      </c>
      <c r="H58" s="9" t="str">
        <f ca="1">+WORLDCUP!BD63</f>
        <v>Suecia</v>
      </c>
      <c r="I58" s="9" t="str">
        <f ca="1">+WORLDCUP!BD69</f>
        <v>Croacia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Cabo Verde</v>
      </c>
      <c r="D59" s="9" t="str">
        <f ca="1">+WORLDCUP!BD64</f>
        <v>Bélgica</v>
      </c>
      <c r="E59" s="9" t="str">
        <f ca="1">+WORLDCUP!BD59</f>
        <v>Bosnia y Herzegovina</v>
      </c>
      <c r="F59" s="9" t="str">
        <f ca="1">+WORLDCUP!BD61</f>
        <v>Paraguay</v>
      </c>
      <c r="G59" s="9" t="str">
        <f ca="1">+WORLDCUP!BD66</f>
        <v>Senegal</v>
      </c>
      <c r="H59" s="9" t="str">
        <f ca="1">+WORLDCUP!BD63</f>
        <v>Suecia</v>
      </c>
      <c r="I59" s="9" t="str">
        <f ca="1">+WORLDCUP!BD69</f>
        <v>Croacia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Cabo Verde</v>
      </c>
      <c r="D60" s="9" t="str">
        <f ca="1">+WORLDCUP!BD64</f>
        <v>Bélgica</v>
      </c>
      <c r="E60" s="9" t="str">
        <f ca="1">+WORLDCUP!BD59</f>
        <v>Bosnia y Herzegovina</v>
      </c>
      <c r="F60" s="9" t="str">
        <f ca="1">+WORLDCUP!BD61</f>
        <v>Paraguay</v>
      </c>
      <c r="G60" s="9" t="str">
        <f ca="1">+WORLDCUP!BD67</f>
        <v>Argelia</v>
      </c>
      <c r="H60" s="9" t="str">
        <f ca="1">+WORLDCUP!BD63</f>
        <v>Suecia</v>
      </c>
      <c r="I60" s="9" t="str">
        <f ca="1">+WORLDCUP!BD69</f>
        <v>Croacia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Cabo Verde</v>
      </c>
      <c r="D61" s="9" t="str">
        <f ca="1">+WORLDCUP!BD64</f>
        <v>Bélgica</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Cabo Verde</v>
      </c>
      <c r="I62" s="9" t="str">
        <f ca="1">+WORLDCUP!BD69</f>
        <v>Croacia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Bélgica</v>
      </c>
      <c r="I63" s="9" t="str">
        <f ca="1">+WORLDCUP!BD69</f>
        <v>Croacia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Cabo Verde</v>
      </c>
      <c r="H64" s="9" t="str">
        <f ca="1">+WORLDCUP!BD64</f>
        <v>Bélgica</v>
      </c>
      <c r="I64" s="9" t="str">
        <f ca="1">+WORLDCUP!BD69</f>
        <v>Croacia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Bélgica</v>
      </c>
      <c r="E65" s="9" t="str">
        <f ca="1">+WORLDCUP!BD59</f>
        <v>Bosnia y Herzegovina</v>
      </c>
      <c r="F65" s="9" t="str">
        <f ca="1">+WORLDCUP!BD61</f>
        <v>Paraguay</v>
      </c>
      <c r="G65" s="9" t="str">
        <f ca="1">+WORLDCUP!BD66</f>
        <v>Senegal</v>
      </c>
      <c r="H65" s="9" t="str">
        <f ca="1">+WORLDCUP!BD65</f>
        <v>Cabo Verde</v>
      </c>
      <c r="I65" s="9" t="str">
        <f ca="1">+WORLDCUP!BD69</f>
        <v>Croacia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Cabo Verde</v>
      </c>
      <c r="H66" s="9" t="str">
        <f ca="1">+WORLDCUP!BD64</f>
        <v>Bélgica</v>
      </c>
      <c r="I66" s="9" t="str">
        <f ca="1">+WORLDCUP!BD69</f>
        <v>Croacia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Cabo Verde</v>
      </c>
      <c r="H67" s="9" t="str">
        <f ca="1">+WORLDCUP!BD64</f>
        <v>Bélgica</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Croacia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Cabo Verde</v>
      </c>
      <c r="H69" s="9" t="str">
        <f ca="1">+WORLDCUP!BD63</f>
        <v>Suecia</v>
      </c>
      <c r="I69" s="9" t="str">
        <f ca="1">+WORLDCUP!BD69</f>
        <v>Croacia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Cabo Verde</v>
      </c>
      <c r="H70" s="9" t="str">
        <f ca="1">+WORLDCUP!BD63</f>
        <v>Suecia</v>
      </c>
      <c r="I70" s="9" t="str">
        <f ca="1">+WORLDCUP!BD69</f>
        <v>Croacia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Cabo Verde</v>
      </c>
      <c r="H71" s="9" t="str">
        <f ca="1">+WORLDCUP!BD63</f>
        <v>Suecia</v>
      </c>
      <c r="I71" s="9" t="str">
        <f ca="1">+WORLDCUP!BD69</f>
        <v>Croacia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Cabo Verde</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Bélgica</v>
      </c>
      <c r="E73" s="9" t="str">
        <f ca="1">+WORLDCUP!BD59</f>
        <v>Bosnia y Herzegovina</v>
      </c>
      <c r="F73" s="9" t="str">
        <f ca="1">+WORLDCUP!BD61</f>
        <v>Paraguay</v>
      </c>
      <c r="G73" s="9" t="str">
        <f ca="1">+WORLDCUP!BD67</f>
        <v>Argelia</v>
      </c>
      <c r="H73" s="9" t="str">
        <f ca="1">+WORLDCUP!BD63</f>
        <v>Suecia</v>
      </c>
      <c r="I73" s="9" t="str">
        <f ca="1">+WORLDCUP!BD69</f>
        <v>Croacia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Bélgica</v>
      </c>
      <c r="E74" s="9" t="str">
        <f ca="1">+WORLDCUP!BD59</f>
        <v>Bosnia y Herzegovina</v>
      </c>
      <c r="F74" s="9" t="str">
        <f ca="1">+WORLDCUP!BD61</f>
        <v>Paraguay</v>
      </c>
      <c r="G74" s="9" t="str">
        <f ca="1">+WORLDCUP!BD66</f>
        <v>Senegal</v>
      </c>
      <c r="H74" s="9" t="str">
        <f ca="1">+WORLDCUP!BD63</f>
        <v>Suecia</v>
      </c>
      <c r="I74" s="9" t="str">
        <f ca="1">+WORLDCUP!BD69</f>
        <v>Croacia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Bélgica</v>
      </c>
      <c r="E75" s="9" t="str">
        <f ca="1">+WORLDCUP!BD59</f>
        <v>Bosnia y Herzegovina</v>
      </c>
      <c r="F75" s="9" t="str">
        <f ca="1">+WORLDCUP!BD61</f>
        <v>Paraguay</v>
      </c>
      <c r="G75" s="9" t="str">
        <f ca="1">+WORLDCUP!BD67</f>
        <v>Argelia</v>
      </c>
      <c r="H75" s="9" t="str">
        <f ca="1">+WORLDCUP!BD63</f>
        <v>Suecia</v>
      </c>
      <c r="I75" s="9" t="str">
        <f ca="1">+WORLDCUP!BD69</f>
        <v>Croacia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Bélgica</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Bélgica</v>
      </c>
      <c r="E77" s="9" t="str">
        <f ca="1">+WORLDCUP!BD59</f>
        <v>Bosnia y Herzegovina</v>
      </c>
      <c r="F77" s="9" t="str">
        <f ca="1">+WORLDCUP!BD61</f>
        <v>Paraguay</v>
      </c>
      <c r="G77" s="9" t="str">
        <f ca="1">+WORLDCUP!BD65</f>
        <v>Cabo Verde</v>
      </c>
      <c r="H77" s="9" t="str">
        <f ca="1">+WORLDCUP!BD63</f>
        <v>Suecia</v>
      </c>
      <c r="I77" s="9" t="str">
        <f ca="1">+WORLDCUP!BD69</f>
        <v>Croacia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Cabo Verde</v>
      </c>
      <c r="D78" s="9" t="str">
        <f ca="1">+WORLDCUP!BD64</f>
        <v>Bélgica</v>
      </c>
      <c r="E78" s="9" t="str">
        <f ca="1">+WORLDCUP!BD59</f>
        <v>Bosnia y Herzegovina</v>
      </c>
      <c r="F78" s="9" t="str">
        <f ca="1">+WORLDCUP!BD61</f>
        <v>Paraguay</v>
      </c>
      <c r="G78" s="9" t="str">
        <f ca="1">+WORLDCUP!BD67</f>
        <v>Argelia</v>
      </c>
      <c r="H78" s="9" t="str">
        <f ca="1">+WORLDCUP!BD63</f>
        <v>Suecia</v>
      </c>
      <c r="I78" s="9" t="str">
        <f ca="1">+WORLDCUP!BD69</f>
        <v>Croacia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Cabo Verde</v>
      </c>
      <c r="D79" s="9" t="str">
        <f ca="1">+WORLDCUP!BD64</f>
        <v>Bélgica</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Bélgica</v>
      </c>
      <c r="E80" s="9" t="str">
        <f ca="1">+WORLDCUP!BD59</f>
        <v>Bosnia y Herzegovina</v>
      </c>
      <c r="F80" s="9" t="str">
        <f ca="1">+WORLDCUP!BD61</f>
        <v>Paraguay</v>
      </c>
      <c r="G80" s="9" t="str">
        <f ca="1">+WORLDCUP!BD65</f>
        <v>Cabo Verde</v>
      </c>
      <c r="H80" s="9" t="str">
        <f ca="1">+WORLDCUP!BD63</f>
        <v>Suecia</v>
      </c>
      <c r="I80" s="9" t="str">
        <f ca="1">+WORLDCUP!BD69</f>
        <v>Croacia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Bélgica</v>
      </c>
      <c r="E81" s="9" t="str">
        <f ca="1">+WORLDCUP!BD59</f>
        <v>Bosnia y Herzegovina</v>
      </c>
      <c r="F81" s="9" t="str">
        <f ca="1">+WORLDCUP!BD61</f>
        <v>Paraguay</v>
      </c>
      <c r="G81" s="9" t="str">
        <f ca="1">+WORLDCUP!BD65</f>
        <v>Cabo Verde</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Cabo Verde</v>
      </c>
      <c r="D82" s="9" t="str">
        <f ca="1">+WORLDCUP!BD64</f>
        <v>Bélgica</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Cabo Verde</v>
      </c>
      <c r="D83" s="9" t="str">
        <f ca="1">+WORLDCUP!BD67</f>
        <v>Argelia</v>
      </c>
      <c r="E83" s="9" t="str">
        <f ca="1">+WORLDCUP!BD59</f>
        <v>Bosnia y Herzegovina</v>
      </c>
      <c r="F83" s="9" t="str">
        <f ca="1">+WORLDCUP!BD60</f>
        <v>Escocia</v>
      </c>
      <c r="G83" s="9" t="str">
        <f ca="1">+WORLDCUP!BD66</f>
        <v>Senegal</v>
      </c>
      <c r="H83" s="9" t="str">
        <f ca="1">+WORLDCUP!BD64</f>
        <v>Bélgica</v>
      </c>
      <c r="I83" s="9" t="str">
        <f ca="1">+WORLDCUP!BD69</f>
        <v>Croacia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Cabo Verde</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Croacia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Bélgica</v>
      </c>
      <c r="E85" s="9" t="str">
        <f ca="1">+WORLDCUP!BD59</f>
        <v>Bosnia y Herzegovina</v>
      </c>
      <c r="F85" s="9" t="str">
        <f ca="1">+WORLDCUP!BD60</f>
        <v>Escocia</v>
      </c>
      <c r="G85" s="9" t="str">
        <f ca="1">+WORLDCUP!BD67</f>
        <v>Argelia</v>
      </c>
      <c r="H85" s="9" t="str">
        <f ca="1">+WORLDCUP!BD63</f>
        <v>Suecia</v>
      </c>
      <c r="I85" s="9" t="str">
        <f ca="1">+WORLDCUP!BD69</f>
        <v>Croacia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Cabo Verde</v>
      </c>
      <c r="D86" s="9" t="str">
        <f ca="1">+WORLDCUP!BD64</f>
        <v>Bélgica</v>
      </c>
      <c r="E86" s="9" t="str">
        <f ca="1">+WORLDCUP!BD59</f>
        <v>Bosnia y Herzegovina</v>
      </c>
      <c r="F86" s="9" t="str">
        <f ca="1">+WORLDCUP!BD60</f>
        <v>Escocia</v>
      </c>
      <c r="G86" s="9" t="str">
        <f ca="1">+WORLDCUP!BD67</f>
        <v>Argelia</v>
      </c>
      <c r="H86" s="9" t="str">
        <f ca="1">+WORLDCUP!BD63</f>
        <v>Suecia</v>
      </c>
      <c r="I86" s="9" t="str">
        <f ca="1">+WORLDCUP!BD69</f>
        <v>Croacia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Cabo Verde</v>
      </c>
      <c r="D87" s="9" t="str">
        <f ca="1">+WORLDCUP!BD64</f>
        <v>Bélgica</v>
      </c>
      <c r="E87" s="9" t="str">
        <f ca="1">+WORLDCUP!BD59</f>
        <v>Bosnia y Herzegovina</v>
      </c>
      <c r="F87" s="9" t="str">
        <f ca="1">+WORLDCUP!BD60</f>
        <v>Escocia</v>
      </c>
      <c r="G87" s="9" t="str">
        <f ca="1">+WORLDCUP!BD66</f>
        <v>Senegal</v>
      </c>
      <c r="H87" s="9" t="str">
        <f ca="1">+WORLDCUP!BD63</f>
        <v>Suecia</v>
      </c>
      <c r="I87" s="9" t="str">
        <f ca="1">+WORLDCUP!BD69</f>
        <v>Croacia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Cabo Verde</v>
      </c>
      <c r="D88" s="9" t="str">
        <f ca="1">+WORLDCUP!BD64</f>
        <v>Bélgica</v>
      </c>
      <c r="E88" s="9" t="str">
        <f ca="1">+WORLDCUP!BD59</f>
        <v>Bosnia y Herzegovina</v>
      </c>
      <c r="F88" s="9" t="str">
        <f ca="1">+WORLDCUP!BD60</f>
        <v>Escocia</v>
      </c>
      <c r="G88" s="9" t="str">
        <f ca="1">+WORLDCUP!BD67</f>
        <v>Argelia</v>
      </c>
      <c r="H88" s="9" t="str">
        <f ca="1">+WORLDCUP!BD63</f>
        <v>Suecia</v>
      </c>
      <c r="I88" s="9" t="str">
        <f ca="1">+WORLDCUP!BD69</f>
        <v>Croacia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Cabo Verde</v>
      </c>
      <c r="D89" s="9" t="str">
        <f ca="1">+WORLDCUP!BD64</f>
        <v>Bélgica</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Cabo Verde</v>
      </c>
      <c r="I90" s="9" t="str">
        <f ca="1">+WORLDCUP!BD69</f>
        <v>Croacia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Bélgica</v>
      </c>
      <c r="I91" s="9" t="str">
        <f ca="1">+WORLDCUP!BD69</f>
        <v>Croacia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Cabo Verde</v>
      </c>
      <c r="H92" s="9" t="str">
        <f ca="1">+WORLDCUP!BD64</f>
        <v>Bélgica</v>
      </c>
      <c r="I92" s="9" t="str">
        <f ca="1">+WORLDCUP!BD69</f>
        <v>Croacia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Bélgica</v>
      </c>
      <c r="E93" s="9" t="str">
        <f ca="1">+WORLDCUP!BD59</f>
        <v>Bosnia y Herzegovina</v>
      </c>
      <c r="F93" s="9" t="str">
        <f ca="1">+WORLDCUP!BD60</f>
        <v>Escocia</v>
      </c>
      <c r="G93" s="9" t="str">
        <f ca="1">+WORLDCUP!BD66</f>
        <v>Senegal</v>
      </c>
      <c r="H93" s="9" t="str">
        <f ca="1">+WORLDCUP!BD65</f>
        <v>Cabo Verde</v>
      </c>
      <c r="I93" s="9" t="str">
        <f ca="1">+WORLDCUP!BD69</f>
        <v>Croacia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Argelia</v>
      </c>
      <c r="E94" s="9" t="str">
        <f ca="1">+WORLDCUP!BD59</f>
        <v>Bosnia y Herzegovina</v>
      </c>
      <c r="F94" s="9" t="str">
        <f ca="1">+WORLDCUP!BD60</f>
        <v>Escocia</v>
      </c>
      <c r="G94" s="9" t="str">
        <f ca="1">+WORLDCUP!BD65</f>
        <v>Cabo Verde</v>
      </c>
      <c r="H94" s="9" t="str">
        <f ca="1">+WORLDCUP!BD64</f>
        <v>Bélgica</v>
      </c>
      <c r="I94" s="9" t="str">
        <f ca="1">+WORLDCUP!BD69</f>
        <v>Croacia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Argelia</v>
      </c>
      <c r="E95" s="9" t="str">
        <f ca="1">+WORLDCUP!BD59</f>
        <v>Bosnia y Herzegovina</v>
      </c>
      <c r="F95" s="9" t="str">
        <f ca="1">+WORLDCUP!BD60</f>
        <v>Escocia</v>
      </c>
      <c r="G95" s="9" t="str">
        <f ca="1">+WORLDCUP!BD65</f>
        <v>Cabo Verde</v>
      </c>
      <c r="H95" s="9" t="str">
        <f ca="1">+WORLDCUP!BD64</f>
        <v>Bélgica</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Croacia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Cabo Verde</v>
      </c>
      <c r="H97" s="9" t="str">
        <f ca="1">+WORLDCUP!BD63</f>
        <v>Suecia</v>
      </c>
      <c r="I97" s="9" t="str">
        <f ca="1">+WORLDCUP!BD69</f>
        <v>Croacia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Cabo Verde</v>
      </c>
      <c r="H98" s="9" t="str">
        <f ca="1">+WORLDCUP!BD63</f>
        <v>Suecia</v>
      </c>
      <c r="I98" s="9" t="str">
        <f ca="1">+WORLDCUP!BD69</f>
        <v>Croacia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Argelia</v>
      </c>
      <c r="E99" s="9" t="str">
        <f ca="1">+WORLDCUP!BD59</f>
        <v>Bosnia y Herzegovina</v>
      </c>
      <c r="F99" s="9" t="str">
        <f ca="1">+WORLDCUP!BD60</f>
        <v>Escocia</v>
      </c>
      <c r="G99" s="9" t="str">
        <f ca="1">+WORLDCUP!BD65</f>
        <v>Cabo Verde</v>
      </c>
      <c r="H99" s="9" t="str">
        <f ca="1">+WORLDCUP!BD63</f>
        <v>Suecia</v>
      </c>
      <c r="I99" s="9" t="str">
        <f ca="1">+WORLDCUP!BD69</f>
        <v>Croacia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Cabo Verde</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Bélgica</v>
      </c>
      <c r="E101" s="9" t="str">
        <f ca="1">+WORLDCUP!BD59</f>
        <v>Bosnia y Herzegovina</v>
      </c>
      <c r="F101" s="9" t="str">
        <f ca="1">+WORLDCUP!BD60</f>
        <v>Escocia</v>
      </c>
      <c r="G101" s="9" t="str">
        <f ca="1">+WORLDCUP!BD67</f>
        <v>Argelia</v>
      </c>
      <c r="H101" s="9" t="str">
        <f ca="1">+WORLDCUP!BD63</f>
        <v>Suecia</v>
      </c>
      <c r="I101" s="9" t="str">
        <f ca="1">+WORLDCUP!BD69</f>
        <v>Croacia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Bélgica</v>
      </c>
      <c r="E102" s="9" t="str">
        <f ca="1">+WORLDCUP!BD59</f>
        <v>Bosnia y Herzegovina</v>
      </c>
      <c r="F102" s="9" t="str">
        <f ca="1">+WORLDCUP!BD60</f>
        <v>Escocia</v>
      </c>
      <c r="G102" s="9" t="str">
        <f ca="1">+WORLDCUP!BD66</f>
        <v>Senegal</v>
      </c>
      <c r="H102" s="9" t="str">
        <f ca="1">+WORLDCUP!BD63</f>
        <v>Suecia</v>
      </c>
      <c r="I102" s="9" t="str">
        <f ca="1">+WORLDCUP!BD69</f>
        <v>Croacia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Bélgica</v>
      </c>
      <c r="E103" s="9" t="str">
        <f ca="1">+WORLDCUP!BD59</f>
        <v>Bosnia y Herzegovina</v>
      </c>
      <c r="F103" s="9" t="str">
        <f ca="1">+WORLDCUP!BD60</f>
        <v>Escocia</v>
      </c>
      <c r="G103" s="9" t="str">
        <f ca="1">+WORLDCUP!BD67</f>
        <v>Argelia</v>
      </c>
      <c r="H103" s="9" t="str">
        <f ca="1">+WORLDCUP!BD63</f>
        <v>Suecia</v>
      </c>
      <c r="I103" s="9" t="str">
        <f ca="1">+WORLDCUP!BD69</f>
        <v>Croacia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Bélgica</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Bélgica</v>
      </c>
      <c r="E105" s="9" t="str">
        <f ca="1">+WORLDCUP!BD59</f>
        <v>Bosnia y Herzegovina</v>
      </c>
      <c r="F105" s="9" t="str">
        <f ca="1">+WORLDCUP!BD60</f>
        <v>Escocia</v>
      </c>
      <c r="G105" s="9" t="str">
        <f ca="1">+WORLDCUP!BD65</f>
        <v>Cabo Verde</v>
      </c>
      <c r="H105" s="9" t="str">
        <f ca="1">+WORLDCUP!BD63</f>
        <v>Suecia</v>
      </c>
      <c r="I105" s="9" t="str">
        <f ca="1">+WORLDCUP!BD69</f>
        <v>Croacia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Cabo Verde</v>
      </c>
      <c r="D106" s="9" t="str">
        <f ca="1">+WORLDCUP!BD64</f>
        <v>Bélgica</v>
      </c>
      <c r="E106" s="9" t="str">
        <f ca="1">+WORLDCUP!BD59</f>
        <v>Bosnia y Herzegovina</v>
      </c>
      <c r="F106" s="9" t="str">
        <f ca="1">+WORLDCUP!BD60</f>
        <v>Escocia</v>
      </c>
      <c r="G106" s="9" t="str">
        <f ca="1">+WORLDCUP!BD67</f>
        <v>Argelia</v>
      </c>
      <c r="H106" s="9" t="str">
        <f ca="1">+WORLDCUP!BD63</f>
        <v>Suecia</v>
      </c>
      <c r="I106" s="9" t="str">
        <f ca="1">+WORLDCUP!BD69</f>
        <v>Croacia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Cabo Verde</v>
      </c>
      <c r="D107" s="9" t="str">
        <f ca="1">+WORLDCUP!BD64</f>
        <v>Bélgica</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Bélgica</v>
      </c>
      <c r="E108" s="9" t="str">
        <f ca="1">+WORLDCUP!BD59</f>
        <v>Bosnia y Herzegovina</v>
      </c>
      <c r="F108" s="9" t="str">
        <f ca="1">+WORLDCUP!BD60</f>
        <v>Escocia</v>
      </c>
      <c r="G108" s="9" t="str">
        <f ca="1">+WORLDCUP!BD65</f>
        <v>Cabo Verde</v>
      </c>
      <c r="H108" s="9" t="str">
        <f ca="1">+WORLDCUP!BD63</f>
        <v>Suecia</v>
      </c>
      <c r="I108" s="9" t="str">
        <f ca="1">+WORLDCUP!BD69</f>
        <v>Croacia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Bélgica</v>
      </c>
      <c r="E109" s="9" t="str">
        <f ca="1">+WORLDCUP!BD59</f>
        <v>Bosnia y Herzegovina</v>
      </c>
      <c r="F109" s="9" t="str">
        <f ca="1">+WORLDCUP!BD60</f>
        <v>Escocia</v>
      </c>
      <c r="G109" s="9" t="str">
        <f ca="1">+WORLDCUP!BD65</f>
        <v>Cabo Verde</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Cabo Verde</v>
      </c>
      <c r="D110" s="9" t="str">
        <f ca="1">+WORLDCUP!BD64</f>
        <v>Bélgica</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Cabo Verde</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Croacia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Bélgica</v>
      </c>
      <c r="E112" s="9" t="str">
        <f ca="1">+WORLDCUP!BD59</f>
        <v>Bosnia y Herzegovina</v>
      </c>
      <c r="F112" s="9" t="str">
        <f ca="1">+WORLDCUP!BD60</f>
        <v>Escocia</v>
      </c>
      <c r="G112" s="9" t="str">
        <f ca="1">+WORLDCUP!BD67</f>
        <v>Argelia</v>
      </c>
      <c r="H112" s="9" t="str">
        <f ca="1">+WORLDCUP!BD61</f>
        <v>Paraguay</v>
      </c>
      <c r="I112" s="9" t="str">
        <f ca="1">+WORLDCUP!BD69</f>
        <v>Croacia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Cabo Verde</v>
      </c>
      <c r="D113" s="9" t="str">
        <f ca="1">+WORLDCUP!BD64</f>
        <v>Bélgica</v>
      </c>
      <c r="E113" s="9" t="str">
        <f ca="1">+WORLDCUP!BD59</f>
        <v>Bosnia y Herzegovina</v>
      </c>
      <c r="F113" s="9" t="str">
        <f ca="1">+WORLDCUP!BD60</f>
        <v>Escocia</v>
      </c>
      <c r="G113" s="9" t="str">
        <f ca="1">+WORLDCUP!BD67</f>
        <v>Argelia</v>
      </c>
      <c r="H113" s="9" t="str">
        <f ca="1">+WORLDCUP!BD61</f>
        <v>Paraguay</v>
      </c>
      <c r="I113" s="9" t="str">
        <f ca="1">+WORLDCUP!BD69</f>
        <v>Croacia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Cabo Verde</v>
      </c>
      <c r="D114" s="9" t="str">
        <f ca="1">+WORLDCUP!BD64</f>
        <v>Bélgica</v>
      </c>
      <c r="E114" s="9" t="str">
        <f ca="1">+WORLDCUP!BD59</f>
        <v>Bosnia y Herzegovina</v>
      </c>
      <c r="F114" s="9" t="str">
        <f ca="1">+WORLDCUP!BD60</f>
        <v>Escocia</v>
      </c>
      <c r="G114" s="9" t="str">
        <f ca="1">+WORLDCUP!BD66</f>
        <v>Senegal</v>
      </c>
      <c r="H114" s="9" t="str">
        <f ca="1">+WORLDCUP!BD61</f>
        <v>Paraguay</v>
      </c>
      <c r="I114" s="9" t="str">
        <f ca="1">+WORLDCUP!BD69</f>
        <v>Croacia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Cabo Verde</v>
      </c>
      <c r="D115" s="9" t="str">
        <f ca="1">+WORLDCUP!BD64</f>
        <v>Bélgica</v>
      </c>
      <c r="E115" s="9" t="str">
        <f ca="1">+WORLDCUP!BD59</f>
        <v>Bosnia y Herzegovina</v>
      </c>
      <c r="F115" s="9" t="str">
        <f ca="1">+WORLDCUP!BD60</f>
        <v>Escocia</v>
      </c>
      <c r="G115" s="9" t="str">
        <f ca="1">+WORLDCUP!BD67</f>
        <v>Argelia</v>
      </c>
      <c r="H115" s="9" t="str">
        <f ca="1">+WORLDCUP!BD61</f>
        <v>Paraguay</v>
      </c>
      <c r="I115" s="9" t="str">
        <f ca="1">+WORLDCUP!BD69</f>
        <v>Croacia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Cabo Verde</v>
      </c>
      <c r="D116" s="9" t="str">
        <f ca="1">+WORLDCUP!BD64</f>
        <v>Bélgica</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Croacia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Cabo Verde</v>
      </c>
      <c r="H118" s="9" t="str">
        <f ca="1">+WORLDCUP!BD63</f>
        <v>Suecia</v>
      </c>
      <c r="I118" s="9" t="str">
        <f ca="1">+WORLDCUP!BD69</f>
        <v>Croacia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Cabo Verde</v>
      </c>
      <c r="H119" s="9" t="str">
        <f ca="1">+WORLDCUP!BD63</f>
        <v>Suecia</v>
      </c>
      <c r="I119" s="9" t="str">
        <f ca="1">+WORLDCUP!BD69</f>
        <v>Croacia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Cabo Verde</v>
      </c>
      <c r="H120" s="9" t="str">
        <f ca="1">+WORLDCUP!BD63</f>
        <v>Suecia</v>
      </c>
      <c r="I120" s="9" t="str">
        <f ca="1">+WORLDCUP!BD69</f>
        <v>Croacia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Cabo Verde</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Bélgica</v>
      </c>
      <c r="E122" s="9" t="str">
        <f ca="1">+WORLDCUP!BD59</f>
        <v>Bosnia y Herzegovina</v>
      </c>
      <c r="F122" s="9" t="str">
        <f ca="1">+WORLDCUP!BD61</f>
        <v>Paraguay</v>
      </c>
      <c r="G122" s="9" t="str">
        <f ca="1">+WORLDCUP!BD67</f>
        <v>Argelia</v>
      </c>
      <c r="H122" s="9" t="str">
        <f ca="1">+WORLDCUP!BD63</f>
        <v>Suecia</v>
      </c>
      <c r="I122" s="9" t="str">
        <f ca="1">+WORLDCUP!BD69</f>
        <v>Croacia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Bélgica</v>
      </c>
      <c r="E123" s="9" t="str">
        <f ca="1">+WORLDCUP!BD59</f>
        <v>Bosnia y Herzegovina</v>
      </c>
      <c r="F123" s="9" t="str">
        <f ca="1">+WORLDCUP!BD61</f>
        <v>Paraguay</v>
      </c>
      <c r="G123" s="9" t="str">
        <f ca="1">+WORLDCUP!BD66</f>
        <v>Senegal</v>
      </c>
      <c r="H123" s="9" t="str">
        <f ca="1">+WORLDCUP!BD63</f>
        <v>Suecia</v>
      </c>
      <c r="I123" s="9" t="str">
        <f ca="1">+WORLDCUP!BD69</f>
        <v>Croacia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Bélgica</v>
      </c>
      <c r="E124" s="9" t="str">
        <f ca="1">+WORLDCUP!BD59</f>
        <v>Bosnia y Herzegovina</v>
      </c>
      <c r="F124" s="9" t="str">
        <f ca="1">+WORLDCUP!BD61</f>
        <v>Paraguay</v>
      </c>
      <c r="G124" s="9" t="str">
        <f ca="1">+WORLDCUP!BD67</f>
        <v>Argelia</v>
      </c>
      <c r="H124" s="9" t="str">
        <f ca="1">+WORLDCUP!BD63</f>
        <v>Suecia</v>
      </c>
      <c r="I124" s="9" t="str">
        <f ca="1">+WORLDCUP!BD69</f>
        <v>Croacia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Bélgica</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Bélgica</v>
      </c>
      <c r="E126" s="9" t="str">
        <f ca="1">+WORLDCUP!BD59</f>
        <v>Bosnia y Herzegovina</v>
      </c>
      <c r="F126" s="9" t="str">
        <f ca="1">+WORLDCUP!BD61</f>
        <v>Paraguay</v>
      </c>
      <c r="G126" s="9" t="str">
        <f ca="1">+WORLDCUP!BD65</f>
        <v>Cabo Verde</v>
      </c>
      <c r="H126" s="9" t="str">
        <f ca="1">+WORLDCUP!BD63</f>
        <v>Suecia</v>
      </c>
      <c r="I126" s="9" t="str">
        <f ca="1">+WORLDCUP!BD69</f>
        <v>Croacia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Bélgica</v>
      </c>
      <c r="E127" s="9" t="str">
        <f ca="1">+WORLDCUP!BD59</f>
        <v>Bosnia y Herzegovina</v>
      </c>
      <c r="F127" s="9" t="str">
        <f ca="1">+WORLDCUP!BD61</f>
        <v>Paraguay</v>
      </c>
      <c r="G127" s="9" t="str">
        <f ca="1">+WORLDCUP!BD65</f>
        <v>Cabo Verde</v>
      </c>
      <c r="H127" s="9" t="str">
        <f ca="1">+WORLDCUP!BD63</f>
        <v>Suecia</v>
      </c>
      <c r="I127" s="9" t="str">
        <f ca="1">+WORLDCUP!BD69</f>
        <v>Croacia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Cabo Verde</v>
      </c>
      <c r="D128" s="9" t="str">
        <f ca="1">+WORLDCUP!BD64</f>
        <v>Bélgica</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Bélgica</v>
      </c>
      <c r="E129" s="9" t="str">
        <f ca="1">+WORLDCUP!BD59</f>
        <v>Bosnia y Herzegovina</v>
      </c>
      <c r="F129" s="9" t="str">
        <f ca="1">+WORLDCUP!BD61</f>
        <v>Paraguay</v>
      </c>
      <c r="G129" s="9" t="str">
        <f ca="1">+WORLDCUP!BD65</f>
        <v>Cabo Verde</v>
      </c>
      <c r="H129" s="9" t="str">
        <f ca="1">+WORLDCUP!BD63</f>
        <v>Suecia</v>
      </c>
      <c r="I129" s="9" t="str">
        <f ca="1">+WORLDCUP!BD69</f>
        <v>Croacia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Bélgica</v>
      </c>
      <c r="E130" s="9" t="str">
        <f ca="1">+WORLDCUP!BD59</f>
        <v>Bosnia y Herzegovina</v>
      </c>
      <c r="F130" s="9" t="str">
        <f ca="1">+WORLDCUP!BD61</f>
        <v>Paraguay</v>
      </c>
      <c r="G130" s="9" t="str">
        <f ca="1">+WORLDCUP!BD65</f>
        <v>Cabo Verde</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Cabo Verde</v>
      </c>
      <c r="D131" s="9" t="str">
        <f ca="1">+WORLDCUP!BD64</f>
        <v>Bélgica</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Croacia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Cabo Verde</v>
      </c>
      <c r="H133" s="9" t="str">
        <f ca="1">+WORLDCUP!BD61</f>
        <v>Paraguay</v>
      </c>
      <c r="I133" s="9" t="str">
        <f ca="1">+WORLDCUP!BD69</f>
        <v>Croacia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Cabo Verde</v>
      </c>
      <c r="H134" s="9" t="str">
        <f ca="1">+WORLDCUP!BD61</f>
        <v>Paraguay</v>
      </c>
      <c r="I134" s="9" t="str">
        <f ca="1">+WORLDCUP!BD69</f>
        <v>Croacia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Cabo Verde</v>
      </c>
      <c r="H135" s="9" t="str">
        <f ca="1">+WORLDCUP!BD61</f>
        <v>Paraguay</v>
      </c>
      <c r="I135" s="9" t="str">
        <f ca="1">+WORLDCUP!BD69</f>
        <v>Croacia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Cabo Verde</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Bélgica</v>
      </c>
      <c r="E137" s="9" t="str">
        <f ca="1">+WORLDCUP!BD59</f>
        <v>Bosnia y Herzegovina</v>
      </c>
      <c r="F137" s="9" t="str">
        <f ca="1">+WORLDCUP!BD60</f>
        <v>Escocia</v>
      </c>
      <c r="G137" s="9" t="str">
        <f ca="1">+WORLDCUP!BD67</f>
        <v>Argelia</v>
      </c>
      <c r="H137" s="9" t="str">
        <f ca="1">+WORLDCUP!BD61</f>
        <v>Paraguay</v>
      </c>
      <c r="I137" s="9" t="str">
        <f ca="1">+WORLDCUP!BD69</f>
        <v>Croacia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Bélgica</v>
      </c>
      <c r="E138" s="9" t="str">
        <f ca="1">+WORLDCUP!BD59</f>
        <v>Bosnia y Herzegovina</v>
      </c>
      <c r="F138" s="9" t="str">
        <f ca="1">+WORLDCUP!BD60</f>
        <v>Escocia</v>
      </c>
      <c r="G138" s="9" t="str">
        <f ca="1">+WORLDCUP!BD66</f>
        <v>Senegal</v>
      </c>
      <c r="H138" s="9" t="str">
        <f ca="1">+WORLDCUP!BD61</f>
        <v>Paraguay</v>
      </c>
      <c r="I138" s="9" t="str">
        <f ca="1">+WORLDCUP!BD69</f>
        <v>Croacia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Bélgica</v>
      </c>
      <c r="E139" s="9" t="str">
        <f ca="1">+WORLDCUP!BD59</f>
        <v>Bosnia y Herzegovina</v>
      </c>
      <c r="F139" s="9" t="str">
        <f ca="1">+WORLDCUP!BD60</f>
        <v>Escocia</v>
      </c>
      <c r="G139" s="9" t="str">
        <f ca="1">+WORLDCUP!BD67</f>
        <v>Argelia</v>
      </c>
      <c r="H139" s="9" t="str">
        <f ca="1">+WORLDCUP!BD61</f>
        <v>Paraguay</v>
      </c>
      <c r="I139" s="9" t="str">
        <f ca="1">+WORLDCUP!BD69</f>
        <v>Croacia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Bélgica</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Bélgica</v>
      </c>
      <c r="E141" s="9" t="str">
        <f ca="1">+WORLDCUP!BD59</f>
        <v>Bosnia y Herzegovina</v>
      </c>
      <c r="F141" s="9" t="str">
        <f ca="1">+WORLDCUP!BD60</f>
        <v>Escocia</v>
      </c>
      <c r="G141" s="9" t="str">
        <f ca="1">+WORLDCUP!BD65</f>
        <v>Cabo Verde</v>
      </c>
      <c r="H141" s="9" t="str">
        <f ca="1">+WORLDCUP!BD61</f>
        <v>Paraguay</v>
      </c>
      <c r="I141" s="9" t="str">
        <f ca="1">+WORLDCUP!BD69</f>
        <v>Croacia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Cabo Verde</v>
      </c>
      <c r="D142" s="9" t="str">
        <f ca="1">+WORLDCUP!BD64</f>
        <v>Bélgica</v>
      </c>
      <c r="E142" s="9" t="str">
        <f ca="1">+WORLDCUP!BD59</f>
        <v>Bosnia y Herzegovina</v>
      </c>
      <c r="F142" s="9" t="str">
        <f ca="1">+WORLDCUP!BD60</f>
        <v>Escocia</v>
      </c>
      <c r="G142" s="9" t="str">
        <f ca="1">+WORLDCUP!BD67</f>
        <v>Argelia</v>
      </c>
      <c r="H142" s="9" t="str">
        <f ca="1">+WORLDCUP!BD61</f>
        <v>Paraguay</v>
      </c>
      <c r="I142" s="9" t="str">
        <f ca="1">+WORLDCUP!BD69</f>
        <v>Croacia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Cabo Verde</v>
      </c>
      <c r="D143" s="9" t="str">
        <f ca="1">+WORLDCUP!BD64</f>
        <v>Bélgica</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Bélgica</v>
      </c>
      <c r="E144" s="9" t="str">
        <f ca="1">+WORLDCUP!BD59</f>
        <v>Bosnia y Herzegovina</v>
      </c>
      <c r="F144" s="9" t="str">
        <f ca="1">+WORLDCUP!BD60</f>
        <v>Escocia</v>
      </c>
      <c r="G144" s="9" t="str">
        <f ca="1">+WORLDCUP!BD65</f>
        <v>Cabo Verde</v>
      </c>
      <c r="H144" s="9" t="str">
        <f ca="1">+WORLDCUP!BD61</f>
        <v>Paraguay</v>
      </c>
      <c r="I144" s="9" t="str">
        <f ca="1">+WORLDCUP!BD69</f>
        <v>Croacia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Bélgica</v>
      </c>
      <c r="E145" s="9" t="str">
        <f ca="1">+WORLDCUP!BD59</f>
        <v>Bosnia y Herzegovina</v>
      </c>
      <c r="F145" s="9" t="str">
        <f ca="1">+WORLDCUP!BD60</f>
        <v>Escocia</v>
      </c>
      <c r="G145" s="9" t="str">
        <f ca="1">+WORLDCUP!BD65</f>
        <v>Cabo Verde</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Cabo Verde</v>
      </c>
      <c r="D146" s="9" t="str">
        <f ca="1">+WORLDCUP!BD64</f>
        <v>Bélgica</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Croacia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Croacia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Croacia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Cabo Verde</v>
      </c>
      <c r="H151" s="9" t="str">
        <f ca="1">+WORLDCUP!BD63</f>
        <v>Suecia</v>
      </c>
      <c r="I151" s="9" t="str">
        <f ca="1">+WORLDCUP!BD69</f>
        <v>Croacia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Cabo Verde</v>
      </c>
      <c r="H152" s="9" t="str">
        <f ca="1">+WORLDCUP!BD63</f>
        <v>Suecia</v>
      </c>
      <c r="I152" s="9" t="str">
        <f ca="1">+WORLDCUP!BD69</f>
        <v>Croacia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Cabo Verde</v>
      </c>
      <c r="H153" s="9" t="str">
        <f ca="1">+WORLDCUP!BD63</f>
        <v>Suecia</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Cabo Verde</v>
      </c>
      <c r="H154" s="9" t="str">
        <f ca="1">+WORLDCUP!BD63</f>
        <v>Suecia</v>
      </c>
      <c r="I154" s="9" t="str">
        <f ca="1">+WORLDCUP!BD69</f>
        <v>Croacia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Cabo Verde</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Cabo Verde</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Bélgica</v>
      </c>
      <c r="E157" s="9" t="str">
        <f ca="1">+WORLDCUP!BD59</f>
        <v>Bosnia y Herzegovina</v>
      </c>
      <c r="F157" s="9" t="str">
        <f ca="1">+WORLDCUP!BD61</f>
        <v>Paraguay</v>
      </c>
      <c r="G157" s="9" t="str">
        <f ca="1">+WORLDCUP!BD62</f>
        <v>Ecuador</v>
      </c>
      <c r="H157" s="9" t="str">
        <f ca="1">+WORLDCUP!BD63</f>
        <v>Suecia</v>
      </c>
      <c r="I157" s="9" t="str">
        <f ca="1">+WORLDCUP!BD69</f>
        <v>Croacia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Bélgica</v>
      </c>
      <c r="E158" s="9" t="str">
        <f ca="1">+WORLDCUP!BD59</f>
        <v>Bosnia y Herzegovina</v>
      </c>
      <c r="F158" s="9" t="str">
        <f ca="1">+WORLDCUP!BD61</f>
        <v>Paraguay</v>
      </c>
      <c r="G158" s="9" t="str">
        <f ca="1">+WORLDCUP!BD67</f>
        <v>Argelia</v>
      </c>
      <c r="H158" s="9" t="str">
        <f ca="1">+WORLDCUP!BD63</f>
        <v>Suecia</v>
      </c>
      <c r="I158" s="9" t="str">
        <f ca="1">+WORLDCUP!BD69</f>
        <v>Croacia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Bélgica</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Bélgica</v>
      </c>
      <c r="E160" s="9" t="str">
        <f ca="1">+WORLDCUP!BD59</f>
        <v>Bosnia y Herzegovina</v>
      </c>
      <c r="F160" s="9" t="str">
        <f ca="1">+WORLDCUP!BD61</f>
        <v>Paraguay</v>
      </c>
      <c r="G160" s="9" t="str">
        <f ca="1">+WORLDCUP!BD62</f>
        <v>Ecuador</v>
      </c>
      <c r="H160" s="9" t="str">
        <f ca="1">+WORLDCUP!BD63</f>
        <v>Suecia</v>
      </c>
      <c r="I160" s="9" t="str">
        <f ca="1">+WORLDCUP!BD69</f>
        <v>Croacia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Bélgica</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Bélgica</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Bélgica</v>
      </c>
      <c r="E163" s="9" t="str">
        <f ca="1">+WORLDCUP!BD59</f>
        <v>Bosnia y Herzegovina</v>
      </c>
      <c r="F163" s="9" t="str">
        <f ca="1">+WORLDCUP!BD61</f>
        <v>Paraguay</v>
      </c>
      <c r="G163" s="9" t="str">
        <f ca="1">+WORLDCUP!BD65</f>
        <v>Cabo Verde</v>
      </c>
      <c r="H163" s="9" t="str">
        <f ca="1">+WORLDCUP!BD63</f>
        <v>Suecia</v>
      </c>
      <c r="I163" s="9" t="str">
        <f ca="1">+WORLDCUP!BD69</f>
        <v>Croacia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Bélgica</v>
      </c>
      <c r="E164" s="9" t="str">
        <f ca="1">+WORLDCUP!BD59</f>
        <v>Bosnia y Herzegovina</v>
      </c>
      <c r="F164" s="9" t="str">
        <f ca="1">+WORLDCUP!BD61</f>
        <v>Paraguay</v>
      </c>
      <c r="G164" s="9" t="str">
        <f ca="1">+WORLDCUP!BD65</f>
        <v>Cabo Verde</v>
      </c>
      <c r="H164" s="9" t="str">
        <f ca="1">+WORLDCUP!BD63</f>
        <v>Suecia</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Cabo Verde</v>
      </c>
      <c r="D165" s="9" t="str">
        <f ca="1">+WORLDCUP!BD64</f>
        <v>Bélgica</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Bélgica</v>
      </c>
      <c r="E166" s="9" t="str">
        <f ca="1">+WORLDCUP!BD59</f>
        <v>Bosnia y Herzegovina</v>
      </c>
      <c r="F166" s="9" t="str">
        <f ca="1">+WORLDCUP!BD61</f>
        <v>Paraguay</v>
      </c>
      <c r="G166" s="9" t="str">
        <f ca="1">+WORLDCUP!BD65</f>
        <v>Cabo Verde</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Cabo Verde</v>
      </c>
      <c r="D167" s="9" t="str">
        <f ca="1">+WORLDCUP!BD67</f>
        <v>Argelia</v>
      </c>
      <c r="E167" s="9" t="str">
        <f ca="1">+WORLDCUP!BD66</f>
        <v>Senegal</v>
      </c>
      <c r="F167" s="9" t="str">
        <f ca="1">+WORLDCUP!BD63</f>
        <v>Suecia</v>
      </c>
      <c r="G167" s="9" t="str">
        <f ca="1">+WORLDCUP!BD58</f>
        <v>República Checa</v>
      </c>
      <c r="H167" s="9" t="str">
        <f ca="1">+WORLDCUP!BD64</f>
        <v>Bélgica</v>
      </c>
      <c r="I167" s="9" t="str">
        <f ca="1">+WORLDCUP!BD69</f>
        <v>Croacia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Argelia</v>
      </c>
      <c r="E168" s="9" t="str">
        <f ca="1">+WORLDCUP!BD66</f>
        <v>Senegal</v>
      </c>
      <c r="F168" s="9" t="str">
        <f ca="1">+WORLDCUP!BD58</f>
        <v>República Checa</v>
      </c>
      <c r="G168" s="9" t="str">
        <f ca="1">+WORLDCUP!BD65</f>
        <v>Cabo Verde</v>
      </c>
      <c r="H168" s="9" t="str">
        <f ca="1">+WORLDCUP!BD64</f>
        <v>Bélgica</v>
      </c>
      <c r="I168" s="9" t="str">
        <f ca="1">+WORLDCUP!BD69</f>
        <v>Croacia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Argelia</v>
      </c>
      <c r="E169" s="9" t="str">
        <f ca="1">+WORLDCUP!BD66</f>
        <v>Senegal</v>
      </c>
      <c r="F169" s="9" t="str">
        <f ca="1">+WORLDCUP!BD63</f>
        <v>Suecia</v>
      </c>
      <c r="G169" s="9" t="str">
        <f ca="1">+WORLDCUP!BD58</f>
        <v>República Checa</v>
      </c>
      <c r="H169" s="9" t="str">
        <f ca="1">+WORLDCUP!BD65</f>
        <v>Cabo Verde</v>
      </c>
      <c r="I169" s="9" t="str">
        <f ca="1">+WORLDCUP!BD69</f>
        <v>Croacia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Argelia</v>
      </c>
      <c r="E170" s="9" t="str">
        <f ca="1">+WORLDCUP!BD66</f>
        <v>Senegal</v>
      </c>
      <c r="F170" s="9" t="str">
        <f ca="1">+WORLDCUP!BD63</f>
        <v>Suecia</v>
      </c>
      <c r="G170" s="9" t="str">
        <f ca="1">+WORLDCUP!BD58</f>
        <v>República Checa</v>
      </c>
      <c r="H170" s="9" t="str">
        <f ca="1">+WORLDCUP!BD64</f>
        <v>Bélgica</v>
      </c>
      <c r="I170" s="9" t="str">
        <f ca="1">+WORLDCUP!BD69</f>
        <v>Croacia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Bélgica</v>
      </c>
      <c r="E171" s="9" t="str">
        <f ca="1">+WORLDCUP!BD67</f>
        <v>Argelia</v>
      </c>
      <c r="F171" s="9" t="str">
        <f ca="1">+WORLDCUP!BD63</f>
        <v>Suecia</v>
      </c>
      <c r="G171" s="9" t="str">
        <f ca="1">+WORLDCUP!BD58</f>
        <v>República Checa</v>
      </c>
      <c r="H171" s="9" t="str">
        <f ca="1">+WORLDCUP!BD65</f>
        <v>Cabo Verde</v>
      </c>
      <c r="I171" s="9" t="str">
        <f ca="1">+WORLDCUP!BD69</f>
        <v>Croacia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Bélgica</v>
      </c>
      <c r="E172" s="9" t="str">
        <f ca="1">+WORLDCUP!BD66</f>
        <v>Senegal</v>
      </c>
      <c r="F172" s="9" t="str">
        <f ca="1">+WORLDCUP!BD63</f>
        <v>Suecia</v>
      </c>
      <c r="G172" s="9" t="str">
        <f ca="1">+WORLDCUP!BD58</f>
        <v>República Checa</v>
      </c>
      <c r="H172" s="9" t="str">
        <f ca="1">+WORLDCUP!BD65</f>
        <v>Cabo Verde</v>
      </c>
      <c r="I172" s="9" t="str">
        <f ca="1">+WORLDCUP!BD69</f>
        <v>Croacia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Bélgica</v>
      </c>
      <c r="E173" s="9" t="str">
        <f ca="1">+WORLDCUP!BD67</f>
        <v>Argelia</v>
      </c>
      <c r="F173" s="9" t="str">
        <f ca="1">+WORLDCUP!BD63</f>
        <v>Suecia</v>
      </c>
      <c r="G173" s="9" t="str">
        <f ca="1">+WORLDCUP!BD58</f>
        <v>República Checa</v>
      </c>
      <c r="H173" s="9" t="str">
        <f ca="1">+WORLDCUP!BD65</f>
        <v>Cabo Verde</v>
      </c>
      <c r="I173" s="9" t="str">
        <f ca="1">+WORLDCUP!BD69</f>
        <v>Croacia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Bélgica</v>
      </c>
      <c r="E174" s="9" t="str">
        <f ca="1">+WORLDCUP!BD67</f>
        <v>Argelia</v>
      </c>
      <c r="F174" s="9" t="str">
        <f ca="1">+WORLDCUP!BD63</f>
        <v>Suecia</v>
      </c>
      <c r="G174" s="9" t="str">
        <f ca="1">+WORLDCUP!BD58</f>
        <v>República Checa</v>
      </c>
      <c r="H174" s="9" t="str">
        <f ca="1">+WORLDCUP!BD65</f>
        <v>Cabo Verde</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Cabo Verde</v>
      </c>
      <c r="D175" s="9" t="str">
        <f ca="1">+WORLDCUP!BD67</f>
        <v>Argelia</v>
      </c>
      <c r="E175" s="9" t="str">
        <f ca="1">+WORLDCUP!BD66</f>
        <v>Senegal</v>
      </c>
      <c r="F175" s="9" t="str">
        <f ca="1">+WORLDCUP!BD61</f>
        <v>Paraguay</v>
      </c>
      <c r="G175" s="9" t="str">
        <f ca="1">+WORLDCUP!BD58</f>
        <v>República Checa</v>
      </c>
      <c r="H175" s="9" t="str">
        <f ca="1">+WORLDCUP!BD64</f>
        <v>Bélgica</v>
      </c>
      <c r="I175" s="9" t="str">
        <f ca="1">+WORLDCUP!BD69</f>
        <v>Croacia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Cabo Verde</v>
      </c>
      <c r="D176" s="9" t="str">
        <f ca="1">+WORLDCUP!BD67</f>
        <v>Argelia</v>
      </c>
      <c r="E176" s="9" t="str">
        <f ca="1">+WORLDCUP!BD66</f>
        <v>Senegal</v>
      </c>
      <c r="F176" s="9" t="str">
        <f ca="1">+WORLDCUP!BD61</f>
        <v>Paraguay</v>
      </c>
      <c r="G176" s="9" t="str">
        <f ca="1">+WORLDCUP!BD58</f>
        <v>República Checa</v>
      </c>
      <c r="H176" s="9" t="str">
        <f ca="1">+WORLDCUP!BD63</f>
        <v>Suecia</v>
      </c>
      <c r="I176" s="9" t="str">
        <f ca="1">+WORLDCUP!BD69</f>
        <v>Croacia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Bélgica</v>
      </c>
      <c r="E177" s="9" t="str">
        <f ca="1">+WORLDCUP!BD67</f>
        <v>Argelia</v>
      </c>
      <c r="F177" s="9" t="str">
        <f ca="1">+WORLDCUP!BD61</f>
        <v>Paraguay</v>
      </c>
      <c r="G177" s="9" t="str">
        <f ca="1">+WORLDCUP!BD58</f>
        <v>República Checa</v>
      </c>
      <c r="H177" s="9" t="str">
        <f ca="1">+WORLDCUP!BD63</f>
        <v>Suecia</v>
      </c>
      <c r="I177" s="9" t="str">
        <f ca="1">+WORLDCUP!BD69</f>
        <v>Croacia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Cabo Verde</v>
      </c>
      <c r="D178" s="9" t="str">
        <f ca="1">+WORLDCUP!BD64</f>
        <v>Bélgica</v>
      </c>
      <c r="E178" s="9" t="str">
        <f ca="1">+WORLDCUP!BD67</f>
        <v>Argelia</v>
      </c>
      <c r="F178" s="9" t="str">
        <f ca="1">+WORLDCUP!BD61</f>
        <v>Paraguay</v>
      </c>
      <c r="G178" s="9" t="str">
        <f ca="1">+WORLDCUP!BD58</f>
        <v>República Checa</v>
      </c>
      <c r="H178" s="9" t="str">
        <f ca="1">+WORLDCUP!BD63</f>
        <v>Suecia</v>
      </c>
      <c r="I178" s="9" t="str">
        <f ca="1">+WORLDCUP!BD69</f>
        <v>Croacia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Cabo Verde</v>
      </c>
      <c r="D179" s="9" t="str">
        <f ca="1">+WORLDCUP!BD64</f>
        <v>Bélgica</v>
      </c>
      <c r="E179" s="9" t="str">
        <f ca="1">+WORLDCUP!BD66</f>
        <v>Senegal</v>
      </c>
      <c r="F179" s="9" t="str">
        <f ca="1">+WORLDCUP!BD61</f>
        <v>Paraguay</v>
      </c>
      <c r="G179" s="9" t="str">
        <f ca="1">+WORLDCUP!BD58</f>
        <v>República Checa</v>
      </c>
      <c r="H179" s="9" t="str">
        <f ca="1">+WORLDCUP!BD63</f>
        <v>Suecia</v>
      </c>
      <c r="I179" s="9" t="str">
        <f ca="1">+WORLDCUP!BD69</f>
        <v>Croacia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Cabo Verde</v>
      </c>
      <c r="D180" s="9" t="str">
        <f ca="1">+WORLDCUP!BD64</f>
        <v>Bélgica</v>
      </c>
      <c r="E180" s="9" t="str">
        <f ca="1">+WORLDCUP!BD67</f>
        <v>Argelia</v>
      </c>
      <c r="F180" s="9" t="str">
        <f ca="1">+WORLDCUP!BD61</f>
        <v>Paraguay</v>
      </c>
      <c r="G180" s="9" t="str">
        <f ca="1">+WORLDCUP!BD58</f>
        <v>República Checa</v>
      </c>
      <c r="H180" s="9" t="str">
        <f ca="1">+WORLDCUP!BD63</f>
        <v>Suecia</v>
      </c>
      <c r="I180" s="9" t="str">
        <f ca="1">+WORLDCUP!BD69</f>
        <v>Croacia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Cabo Verde</v>
      </c>
      <c r="D181" s="9" t="str">
        <f ca="1">+WORLDCUP!BD64</f>
        <v>Bélgica</v>
      </c>
      <c r="E181" s="9" t="str">
        <f ca="1">+WORLDCUP!BD67</f>
        <v>Argelia</v>
      </c>
      <c r="F181" s="9" t="str">
        <f ca="1">+WORLDCUP!BD61</f>
        <v>Paraguay</v>
      </c>
      <c r="G181" s="9" t="str">
        <f ca="1">+WORLDCUP!BD58</f>
        <v>República Checa</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Argelia</v>
      </c>
      <c r="E182" s="9" t="str">
        <f ca="1">+WORLDCUP!BD66</f>
        <v>Senegal</v>
      </c>
      <c r="F182" s="9" t="str">
        <f ca="1">+WORLDCUP!BD61</f>
        <v>Paraguay</v>
      </c>
      <c r="G182" s="9" t="str">
        <f ca="1">+WORLDCUP!BD58</f>
        <v>República Checa</v>
      </c>
      <c r="H182" s="9" t="str">
        <f ca="1">+WORLDCUP!BD65</f>
        <v>Cabo Verde</v>
      </c>
      <c r="I182" s="9" t="str">
        <f ca="1">+WORLDCUP!BD69</f>
        <v>Croacia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Argelia</v>
      </c>
      <c r="E183" s="9" t="str">
        <f ca="1">+WORLDCUP!BD66</f>
        <v>Senegal</v>
      </c>
      <c r="F183" s="9" t="str">
        <f ca="1">+WORLDCUP!BD61</f>
        <v>Paraguay</v>
      </c>
      <c r="G183" s="9" t="str">
        <f ca="1">+WORLDCUP!BD58</f>
        <v>República Checa</v>
      </c>
      <c r="H183" s="9" t="str">
        <f ca="1">+WORLDCUP!BD64</f>
        <v>Bélgica</v>
      </c>
      <c r="I183" s="9" t="str">
        <f ca="1">+WORLDCUP!BD69</f>
        <v>Croacia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Bélgica</v>
      </c>
      <c r="E184" s="9" t="str">
        <f ca="1">+WORLDCUP!BD67</f>
        <v>Argelia</v>
      </c>
      <c r="F184" s="9" t="str">
        <f ca="1">+WORLDCUP!BD61</f>
        <v>Paraguay</v>
      </c>
      <c r="G184" s="9" t="str">
        <f ca="1">+WORLDCUP!BD58</f>
        <v>República Checa</v>
      </c>
      <c r="H184" s="9" t="str">
        <f ca="1">+WORLDCUP!BD65</f>
        <v>Cabo Verde</v>
      </c>
      <c r="I184" s="9" t="str">
        <f ca="1">+WORLDCUP!BD69</f>
        <v>Croacia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Bélgica</v>
      </c>
      <c r="E185" s="9" t="str">
        <f ca="1">+WORLDCUP!BD66</f>
        <v>Senegal</v>
      </c>
      <c r="F185" s="9" t="str">
        <f ca="1">+WORLDCUP!BD61</f>
        <v>Paraguay</v>
      </c>
      <c r="G185" s="9" t="str">
        <f ca="1">+WORLDCUP!BD58</f>
        <v>República Checa</v>
      </c>
      <c r="H185" s="9" t="str">
        <f ca="1">+WORLDCUP!BD65</f>
        <v>Cabo Verde</v>
      </c>
      <c r="I185" s="9" t="str">
        <f ca="1">+WORLDCUP!BD69</f>
        <v>Croacia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Bélgica</v>
      </c>
      <c r="E186" s="9" t="str">
        <f ca="1">+WORLDCUP!BD67</f>
        <v>Argelia</v>
      </c>
      <c r="F186" s="9" t="str">
        <f ca="1">+WORLDCUP!BD61</f>
        <v>Paraguay</v>
      </c>
      <c r="G186" s="9" t="str">
        <f ca="1">+WORLDCUP!BD58</f>
        <v>República Checa</v>
      </c>
      <c r="H186" s="9" t="str">
        <f ca="1">+WORLDCUP!BD65</f>
        <v>Cabo Verde</v>
      </c>
      <c r="I186" s="9" t="str">
        <f ca="1">+WORLDCUP!BD69</f>
        <v>Croacia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Bélgica</v>
      </c>
      <c r="E187" s="9" t="str">
        <f ca="1">+WORLDCUP!BD67</f>
        <v>Argelia</v>
      </c>
      <c r="F187" s="9" t="str">
        <f ca="1">+WORLDCUP!BD61</f>
        <v>Paraguay</v>
      </c>
      <c r="G187" s="9" t="str">
        <f ca="1">+WORLDCUP!BD58</f>
        <v>República Checa</v>
      </c>
      <c r="H187" s="9" t="str">
        <f ca="1">+WORLDCUP!BD65</f>
        <v>Cabo Verde</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Argelia</v>
      </c>
      <c r="E188" s="9" t="str">
        <f ca="1">+WORLDCUP!BD66</f>
        <v>Senegal</v>
      </c>
      <c r="F188" s="9" t="str">
        <f ca="1">+WORLDCUP!BD61</f>
        <v>Paraguay</v>
      </c>
      <c r="G188" s="9" t="str">
        <f ca="1">+WORLDCUP!BD58</f>
        <v>República Checa</v>
      </c>
      <c r="H188" s="9" t="str">
        <f ca="1">+WORLDCUP!BD63</f>
        <v>Suecia</v>
      </c>
      <c r="I188" s="9" t="str">
        <f ca="1">+WORLDCUP!BD69</f>
        <v>Croacia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Cabo Verde</v>
      </c>
      <c r="D189" s="9" t="str">
        <f ca="1">+WORLDCUP!BD67</f>
        <v>Argelia</v>
      </c>
      <c r="E189" s="9" t="str">
        <f ca="1">+WORLDCUP!BD62</f>
        <v>Ecuador</v>
      </c>
      <c r="F189" s="9" t="str">
        <f ca="1">+WORLDCUP!BD61</f>
        <v>Paraguay</v>
      </c>
      <c r="G189" s="9" t="str">
        <f ca="1">+WORLDCUP!BD58</f>
        <v>República Checa</v>
      </c>
      <c r="H189" s="9" t="str">
        <f ca="1">+WORLDCUP!BD63</f>
        <v>Suecia</v>
      </c>
      <c r="I189" s="9" t="str">
        <f ca="1">+WORLDCUP!BD69</f>
        <v>Croacia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Cabo Verde</v>
      </c>
      <c r="D190" s="9" t="str">
        <f ca="1">+WORLDCUP!BD62</f>
        <v>Ecuador</v>
      </c>
      <c r="E190" s="9" t="str">
        <f ca="1">+WORLDCUP!BD66</f>
        <v>Senegal</v>
      </c>
      <c r="F190" s="9" t="str">
        <f ca="1">+WORLDCUP!BD61</f>
        <v>Paraguay</v>
      </c>
      <c r="G190" s="9" t="str">
        <f ca="1">+WORLDCUP!BD58</f>
        <v>República Checa</v>
      </c>
      <c r="H190" s="9" t="str">
        <f ca="1">+WORLDCUP!BD63</f>
        <v>Suecia</v>
      </c>
      <c r="I190" s="9" t="str">
        <f ca="1">+WORLDCUP!BD69</f>
        <v>Croacia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Cabo Verde</v>
      </c>
      <c r="D191" s="9" t="str">
        <f ca="1">+WORLDCUP!BD67</f>
        <v>Argelia</v>
      </c>
      <c r="E191" s="9" t="str">
        <f ca="1">+WORLDCUP!BD62</f>
        <v>Ecuador</v>
      </c>
      <c r="F191" s="9" t="str">
        <f ca="1">+WORLDCUP!BD61</f>
        <v>Paraguay</v>
      </c>
      <c r="G191" s="9" t="str">
        <f ca="1">+WORLDCUP!BD58</f>
        <v>República Checa</v>
      </c>
      <c r="H191" s="9" t="str">
        <f ca="1">+WORLDCUP!BD63</f>
        <v>Suecia</v>
      </c>
      <c r="I191" s="9" t="str">
        <f ca="1">+WORLDCUP!BD69</f>
        <v>Croacia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Cabo Verde</v>
      </c>
      <c r="D192" s="9" t="str">
        <f ca="1">+WORLDCUP!BD67</f>
        <v>Argelia</v>
      </c>
      <c r="E192" s="9" t="str">
        <f ca="1">+WORLDCUP!BD62</f>
        <v>Ecuador</v>
      </c>
      <c r="F192" s="9" t="str">
        <f ca="1">+WORLDCUP!BD61</f>
        <v>Paraguay</v>
      </c>
      <c r="G192" s="9" t="str">
        <f ca="1">+WORLDCUP!BD58</f>
        <v>República Checa</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Bélgica</v>
      </c>
      <c r="E193" s="9" t="str">
        <f ca="1">+WORLDCUP!BD67</f>
        <v>Argelia</v>
      </c>
      <c r="F193" s="9" t="str">
        <f ca="1">+WORLDCUP!BD61</f>
        <v>Paraguay</v>
      </c>
      <c r="G193" s="9" t="str">
        <f ca="1">+WORLDCUP!BD58</f>
        <v>República Checa</v>
      </c>
      <c r="H193" s="9" t="str">
        <f ca="1">+WORLDCUP!BD63</f>
        <v>Suecia</v>
      </c>
      <c r="I193" s="9" t="str">
        <f ca="1">+WORLDCUP!BD69</f>
        <v>Croacia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Bélgica</v>
      </c>
      <c r="E194" s="9" t="str">
        <f ca="1">+WORLDCUP!BD66</f>
        <v>Senegal</v>
      </c>
      <c r="F194" s="9" t="str">
        <f ca="1">+WORLDCUP!BD61</f>
        <v>Paraguay</v>
      </c>
      <c r="G194" s="9" t="str">
        <f ca="1">+WORLDCUP!BD58</f>
        <v>República Checa</v>
      </c>
      <c r="H194" s="9" t="str">
        <f ca="1">+WORLDCUP!BD63</f>
        <v>Suecia</v>
      </c>
      <c r="I194" s="9" t="str">
        <f ca="1">+WORLDCUP!BD69</f>
        <v>Croacia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Bélgica</v>
      </c>
      <c r="E195" s="9" t="str">
        <f ca="1">+WORLDCUP!BD67</f>
        <v>Argelia</v>
      </c>
      <c r="F195" s="9" t="str">
        <f ca="1">+WORLDCUP!BD61</f>
        <v>Paraguay</v>
      </c>
      <c r="G195" s="9" t="str">
        <f ca="1">+WORLDCUP!BD58</f>
        <v>República Checa</v>
      </c>
      <c r="H195" s="9" t="str">
        <f ca="1">+WORLDCUP!BD63</f>
        <v>Suecia</v>
      </c>
      <c r="I195" s="9" t="str">
        <f ca="1">+WORLDCUP!BD69</f>
        <v>Croacia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Bélgica</v>
      </c>
      <c r="E196" s="9" t="str">
        <f ca="1">+WORLDCUP!BD67</f>
        <v>Argelia</v>
      </c>
      <c r="F196" s="9" t="str">
        <f ca="1">+WORLDCUP!BD61</f>
        <v>Paraguay</v>
      </c>
      <c r="G196" s="9" t="str">
        <f ca="1">+WORLDCUP!BD58</f>
        <v>República Checa</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Cabo Verde</v>
      </c>
      <c r="D197" s="9" t="str">
        <f ca="1">+WORLDCUP!BD64</f>
        <v>Bélgica</v>
      </c>
      <c r="E197" s="9" t="str">
        <f ca="1">+WORLDCUP!BD62</f>
        <v>Ecuador</v>
      </c>
      <c r="F197" s="9" t="str">
        <f ca="1">+WORLDCUP!BD61</f>
        <v>Paraguay</v>
      </c>
      <c r="G197" s="9" t="str">
        <f ca="1">+WORLDCUP!BD58</f>
        <v>República Checa</v>
      </c>
      <c r="H197" s="9" t="str">
        <f ca="1">+WORLDCUP!BD63</f>
        <v>Suecia</v>
      </c>
      <c r="I197" s="9" t="str">
        <f ca="1">+WORLDCUP!BD69</f>
        <v>Croacia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Cabo Verde</v>
      </c>
      <c r="D198" s="9" t="str">
        <f ca="1">+WORLDCUP!BD64</f>
        <v>Bélgica</v>
      </c>
      <c r="E198" s="9" t="str">
        <f ca="1">+WORLDCUP!BD67</f>
        <v>Argelia</v>
      </c>
      <c r="F198" s="9" t="str">
        <f ca="1">+WORLDCUP!BD61</f>
        <v>Paraguay</v>
      </c>
      <c r="G198" s="9" t="str">
        <f ca="1">+WORLDCUP!BD58</f>
        <v>República Checa</v>
      </c>
      <c r="H198" s="9" t="str">
        <f ca="1">+WORLDCUP!BD63</f>
        <v>Suecia</v>
      </c>
      <c r="I198" s="9" t="str">
        <f ca="1">+WORLDCUP!BD69</f>
        <v>Croacia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Cabo Verde</v>
      </c>
      <c r="D199" s="9" t="str">
        <f ca="1">+WORLDCUP!BD64</f>
        <v>Bélgica</v>
      </c>
      <c r="E199" s="9" t="str">
        <f ca="1">+WORLDCUP!BD67</f>
        <v>Argelia</v>
      </c>
      <c r="F199" s="9" t="str">
        <f ca="1">+WORLDCUP!BD61</f>
        <v>Paraguay</v>
      </c>
      <c r="G199" s="9" t="str">
        <f ca="1">+WORLDCUP!BD58</f>
        <v>República Checa</v>
      </c>
      <c r="H199" s="9" t="str">
        <f ca="1">+WORLDCUP!BD63</f>
        <v>Suecia</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Cabo Verde</v>
      </c>
      <c r="D200" s="9" t="str">
        <f ca="1">+WORLDCUP!BD64</f>
        <v>Bélgica</v>
      </c>
      <c r="E200" s="9" t="str">
        <f ca="1">+WORLDCUP!BD62</f>
        <v>Ecuador</v>
      </c>
      <c r="F200" s="9" t="str">
        <f ca="1">+WORLDCUP!BD61</f>
        <v>Paraguay</v>
      </c>
      <c r="G200" s="9" t="str">
        <f ca="1">+WORLDCUP!BD58</f>
        <v>República Checa</v>
      </c>
      <c r="H200" s="9" t="str">
        <f ca="1">+WORLDCUP!BD63</f>
        <v>Suecia</v>
      </c>
      <c r="I200" s="9" t="str">
        <f ca="1">+WORLDCUP!BD69</f>
        <v>Croacia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Cabo Verde</v>
      </c>
      <c r="D201" s="9" t="str">
        <f ca="1">+WORLDCUP!BD64</f>
        <v>Bélgica</v>
      </c>
      <c r="E201" s="9" t="str">
        <f ca="1">+WORLDCUP!BD62</f>
        <v>Ecuador</v>
      </c>
      <c r="F201" s="9" t="str">
        <f ca="1">+WORLDCUP!BD61</f>
        <v>Paraguay</v>
      </c>
      <c r="G201" s="9" t="str">
        <f ca="1">+WORLDCUP!BD58</f>
        <v>República Checa</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Cabo Verde</v>
      </c>
      <c r="D202" s="9" t="str">
        <f ca="1">+WORLDCUP!BD64</f>
        <v>Bélgica</v>
      </c>
      <c r="E202" s="9" t="str">
        <f ca="1">+WORLDCUP!BD67</f>
        <v>Argelia</v>
      </c>
      <c r="F202" s="9" t="str">
        <f ca="1">+WORLDCUP!BD61</f>
        <v>Paraguay</v>
      </c>
      <c r="G202" s="9" t="str">
        <f ca="1">+WORLDCUP!BD58</f>
        <v>República Checa</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Cabo Verde</v>
      </c>
      <c r="D203" s="9" t="str">
        <f ca="1">+WORLDCUP!BD67</f>
        <v>Argelia</v>
      </c>
      <c r="E203" s="9" t="str">
        <f ca="1">+WORLDCUP!BD66</f>
        <v>Senegal</v>
      </c>
      <c r="F203" s="9" t="str">
        <f ca="1">+WORLDCUP!BD60</f>
        <v>Escocia</v>
      </c>
      <c r="G203" s="9" t="str">
        <f ca="1">+WORLDCUP!BD58</f>
        <v>República Checa</v>
      </c>
      <c r="H203" s="9" t="str">
        <f ca="1">+WORLDCUP!BD64</f>
        <v>Bélgica</v>
      </c>
      <c r="I203" s="9" t="str">
        <f ca="1">+WORLDCUP!BD69</f>
        <v>Croacia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Cabo Verde</v>
      </c>
      <c r="D204" s="9" t="str">
        <f ca="1">+WORLDCUP!BD67</f>
        <v>Argelia</v>
      </c>
      <c r="E204" s="9" t="str">
        <f ca="1">+WORLDCUP!BD66</f>
        <v>Senegal</v>
      </c>
      <c r="F204" s="9" t="str">
        <f ca="1">+WORLDCUP!BD60</f>
        <v>Escocia</v>
      </c>
      <c r="G204" s="9" t="str">
        <f ca="1">+WORLDCUP!BD58</f>
        <v>República Checa</v>
      </c>
      <c r="H204" s="9" t="str">
        <f ca="1">+WORLDCUP!BD63</f>
        <v>Suecia</v>
      </c>
      <c r="I204" s="9" t="str">
        <f ca="1">+WORLDCUP!BD69</f>
        <v>Croacia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Bélgica</v>
      </c>
      <c r="E205" s="9" t="str">
        <f ca="1">+WORLDCUP!BD67</f>
        <v>Argelia</v>
      </c>
      <c r="F205" s="9" t="str">
        <f ca="1">+WORLDCUP!BD60</f>
        <v>Escocia</v>
      </c>
      <c r="G205" s="9" t="str">
        <f ca="1">+WORLDCUP!BD58</f>
        <v>República Checa</v>
      </c>
      <c r="H205" s="9" t="str">
        <f ca="1">+WORLDCUP!BD63</f>
        <v>Suecia</v>
      </c>
      <c r="I205" s="9" t="str">
        <f ca="1">+WORLDCUP!BD69</f>
        <v>Croacia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Cabo Verde</v>
      </c>
      <c r="D206" s="9" t="str">
        <f ca="1">+WORLDCUP!BD64</f>
        <v>Bélgica</v>
      </c>
      <c r="E206" s="9" t="str">
        <f ca="1">+WORLDCUP!BD67</f>
        <v>Argelia</v>
      </c>
      <c r="F206" s="9" t="str">
        <f ca="1">+WORLDCUP!BD60</f>
        <v>Escocia</v>
      </c>
      <c r="G206" s="9" t="str">
        <f ca="1">+WORLDCUP!BD58</f>
        <v>República Checa</v>
      </c>
      <c r="H206" s="9" t="str">
        <f ca="1">+WORLDCUP!BD63</f>
        <v>Suecia</v>
      </c>
      <c r="I206" s="9" t="str">
        <f ca="1">+WORLDCUP!BD69</f>
        <v>Croacia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Cabo Verde</v>
      </c>
      <c r="D207" s="9" t="str">
        <f ca="1">+WORLDCUP!BD64</f>
        <v>Bélgica</v>
      </c>
      <c r="E207" s="9" t="str">
        <f ca="1">+WORLDCUP!BD66</f>
        <v>Senegal</v>
      </c>
      <c r="F207" s="9" t="str">
        <f ca="1">+WORLDCUP!BD60</f>
        <v>Escocia</v>
      </c>
      <c r="G207" s="9" t="str">
        <f ca="1">+WORLDCUP!BD58</f>
        <v>República Checa</v>
      </c>
      <c r="H207" s="9" t="str">
        <f ca="1">+WORLDCUP!BD63</f>
        <v>Suecia</v>
      </c>
      <c r="I207" s="9" t="str">
        <f ca="1">+WORLDCUP!BD69</f>
        <v>Croacia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Cabo Verde</v>
      </c>
      <c r="D208" s="9" t="str">
        <f ca="1">+WORLDCUP!BD64</f>
        <v>Bélgica</v>
      </c>
      <c r="E208" s="9" t="str">
        <f ca="1">+WORLDCUP!BD67</f>
        <v>Argelia</v>
      </c>
      <c r="F208" s="9" t="str">
        <f ca="1">+WORLDCUP!BD60</f>
        <v>Escocia</v>
      </c>
      <c r="G208" s="9" t="str">
        <f ca="1">+WORLDCUP!BD58</f>
        <v>República Checa</v>
      </c>
      <c r="H208" s="9" t="str">
        <f ca="1">+WORLDCUP!BD63</f>
        <v>Suecia</v>
      </c>
      <c r="I208" s="9" t="str">
        <f ca="1">+WORLDCUP!BD69</f>
        <v>Croacia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Cabo Verde</v>
      </c>
      <c r="D209" s="9" t="str">
        <f ca="1">+WORLDCUP!BD64</f>
        <v>Bélgica</v>
      </c>
      <c r="E209" s="9" t="str">
        <f ca="1">+WORLDCUP!BD67</f>
        <v>Argelia</v>
      </c>
      <c r="F209" s="9" t="str">
        <f ca="1">+WORLDCUP!BD60</f>
        <v>Escocia</v>
      </c>
      <c r="G209" s="9" t="str">
        <f ca="1">+WORLDCUP!BD58</f>
        <v>República Checa</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Argelia</v>
      </c>
      <c r="E210" s="9" t="str">
        <f ca="1">+WORLDCUP!BD66</f>
        <v>Senegal</v>
      </c>
      <c r="F210" s="9" t="str">
        <f ca="1">+WORLDCUP!BD60</f>
        <v>Escocia</v>
      </c>
      <c r="G210" s="9" t="str">
        <f ca="1">+WORLDCUP!BD58</f>
        <v>República Checa</v>
      </c>
      <c r="H210" s="9" t="str">
        <f ca="1">+WORLDCUP!BD65</f>
        <v>Cabo Verde</v>
      </c>
      <c r="I210" s="9" t="str">
        <f ca="1">+WORLDCUP!BD69</f>
        <v>Croacia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Argelia</v>
      </c>
      <c r="E211" s="9" t="str">
        <f ca="1">+WORLDCUP!BD66</f>
        <v>Senegal</v>
      </c>
      <c r="F211" s="9" t="str">
        <f ca="1">+WORLDCUP!BD60</f>
        <v>Escocia</v>
      </c>
      <c r="G211" s="9" t="str">
        <f ca="1">+WORLDCUP!BD58</f>
        <v>República Checa</v>
      </c>
      <c r="H211" s="9" t="str">
        <f ca="1">+WORLDCUP!BD64</f>
        <v>Bélgica</v>
      </c>
      <c r="I211" s="9" t="str">
        <f ca="1">+WORLDCUP!BD69</f>
        <v>Croacia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Bélgica</v>
      </c>
      <c r="E212" s="9" t="str">
        <f ca="1">+WORLDCUP!BD67</f>
        <v>Argelia</v>
      </c>
      <c r="F212" s="9" t="str">
        <f ca="1">+WORLDCUP!BD60</f>
        <v>Escocia</v>
      </c>
      <c r="G212" s="9" t="str">
        <f ca="1">+WORLDCUP!BD58</f>
        <v>República Checa</v>
      </c>
      <c r="H212" s="9" t="str">
        <f ca="1">+WORLDCUP!BD65</f>
        <v>Cabo Verde</v>
      </c>
      <c r="I212" s="9" t="str">
        <f ca="1">+WORLDCUP!BD69</f>
        <v>Croacia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Bélgica</v>
      </c>
      <c r="E213" s="9" t="str">
        <f ca="1">+WORLDCUP!BD66</f>
        <v>Senegal</v>
      </c>
      <c r="F213" s="9" t="str">
        <f ca="1">+WORLDCUP!BD60</f>
        <v>Escocia</v>
      </c>
      <c r="G213" s="9" t="str">
        <f ca="1">+WORLDCUP!BD58</f>
        <v>República Checa</v>
      </c>
      <c r="H213" s="9" t="str">
        <f ca="1">+WORLDCUP!BD65</f>
        <v>Cabo Verde</v>
      </c>
      <c r="I213" s="9" t="str">
        <f ca="1">+WORLDCUP!BD69</f>
        <v>Croacia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Bélgica</v>
      </c>
      <c r="E214" s="9" t="str">
        <f ca="1">+WORLDCUP!BD67</f>
        <v>Argelia</v>
      </c>
      <c r="F214" s="9" t="str">
        <f ca="1">+WORLDCUP!BD60</f>
        <v>Escocia</v>
      </c>
      <c r="G214" s="9" t="str">
        <f ca="1">+WORLDCUP!BD58</f>
        <v>República Checa</v>
      </c>
      <c r="H214" s="9" t="str">
        <f ca="1">+WORLDCUP!BD65</f>
        <v>Cabo Verde</v>
      </c>
      <c r="I214" s="9" t="str">
        <f ca="1">+WORLDCUP!BD69</f>
        <v>Croacia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Bélgica</v>
      </c>
      <c r="E215" s="9" t="str">
        <f ca="1">+WORLDCUP!BD67</f>
        <v>Argelia</v>
      </c>
      <c r="F215" s="9" t="str">
        <f ca="1">+WORLDCUP!BD60</f>
        <v>Escocia</v>
      </c>
      <c r="G215" s="9" t="str">
        <f ca="1">+WORLDCUP!BD58</f>
        <v>República Checa</v>
      </c>
      <c r="H215" s="9" t="str">
        <f ca="1">+WORLDCUP!BD65</f>
        <v>Cabo Verde</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Argelia</v>
      </c>
      <c r="E216" s="9" t="str">
        <f ca="1">+WORLDCUP!BD66</f>
        <v>Senegal</v>
      </c>
      <c r="F216" s="9" t="str">
        <f ca="1">+WORLDCUP!BD60</f>
        <v>Escocia</v>
      </c>
      <c r="G216" s="9" t="str">
        <f ca="1">+WORLDCUP!BD58</f>
        <v>República Checa</v>
      </c>
      <c r="H216" s="9" t="str">
        <f ca="1">+WORLDCUP!BD63</f>
        <v>Suecia</v>
      </c>
      <c r="I216" s="9" t="str">
        <f ca="1">+WORLDCUP!BD69</f>
        <v>Croacia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Cabo Verde</v>
      </c>
      <c r="D217" s="9" t="str">
        <f ca="1">+WORLDCUP!BD67</f>
        <v>Argelia</v>
      </c>
      <c r="E217" s="9" t="str">
        <f ca="1">+WORLDCUP!BD62</f>
        <v>Ecuador</v>
      </c>
      <c r="F217" s="9" t="str">
        <f ca="1">+WORLDCUP!BD60</f>
        <v>Escocia</v>
      </c>
      <c r="G217" s="9" t="str">
        <f ca="1">+WORLDCUP!BD58</f>
        <v>República Checa</v>
      </c>
      <c r="H217" s="9" t="str">
        <f ca="1">+WORLDCUP!BD63</f>
        <v>Suecia</v>
      </c>
      <c r="I217" s="9" t="str">
        <f ca="1">+WORLDCUP!BD69</f>
        <v>Croacia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Cabo Verde</v>
      </c>
      <c r="D218" s="9" t="str">
        <f ca="1">+WORLDCUP!BD62</f>
        <v>Ecuador</v>
      </c>
      <c r="E218" s="9" t="str">
        <f ca="1">+WORLDCUP!BD66</f>
        <v>Senegal</v>
      </c>
      <c r="F218" s="9" t="str">
        <f ca="1">+WORLDCUP!BD60</f>
        <v>Escocia</v>
      </c>
      <c r="G218" s="9" t="str">
        <f ca="1">+WORLDCUP!BD58</f>
        <v>República Checa</v>
      </c>
      <c r="H218" s="9" t="str">
        <f ca="1">+WORLDCUP!BD63</f>
        <v>Suecia</v>
      </c>
      <c r="I218" s="9" t="str">
        <f ca="1">+WORLDCUP!BD69</f>
        <v>Croacia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Cabo Verde</v>
      </c>
      <c r="D219" s="9" t="str">
        <f ca="1">+WORLDCUP!BD67</f>
        <v>Argelia</v>
      </c>
      <c r="E219" s="9" t="str">
        <f ca="1">+WORLDCUP!BD62</f>
        <v>Ecuador</v>
      </c>
      <c r="F219" s="9" t="str">
        <f ca="1">+WORLDCUP!BD60</f>
        <v>Escocia</v>
      </c>
      <c r="G219" s="9" t="str">
        <f ca="1">+WORLDCUP!BD58</f>
        <v>República Checa</v>
      </c>
      <c r="H219" s="9" t="str">
        <f ca="1">+WORLDCUP!BD63</f>
        <v>Suecia</v>
      </c>
      <c r="I219" s="9" t="str">
        <f ca="1">+WORLDCUP!BD69</f>
        <v>Croacia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Cabo Verde</v>
      </c>
      <c r="D220" s="9" t="str">
        <f ca="1">+WORLDCUP!BD67</f>
        <v>Argelia</v>
      </c>
      <c r="E220" s="9" t="str">
        <f ca="1">+WORLDCUP!BD62</f>
        <v>Ecuador</v>
      </c>
      <c r="F220" s="9" t="str">
        <f ca="1">+WORLDCUP!BD60</f>
        <v>Escocia</v>
      </c>
      <c r="G220" s="9" t="str">
        <f ca="1">+WORLDCUP!BD58</f>
        <v>República Checa</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Bélgica</v>
      </c>
      <c r="E221" s="9" t="str">
        <f ca="1">+WORLDCUP!BD67</f>
        <v>Argelia</v>
      </c>
      <c r="F221" s="9" t="str">
        <f ca="1">+WORLDCUP!BD60</f>
        <v>Escocia</v>
      </c>
      <c r="G221" s="9" t="str">
        <f ca="1">+WORLDCUP!BD58</f>
        <v>República Checa</v>
      </c>
      <c r="H221" s="9" t="str">
        <f ca="1">+WORLDCUP!BD63</f>
        <v>Suecia</v>
      </c>
      <c r="I221" s="9" t="str">
        <f ca="1">+WORLDCUP!BD69</f>
        <v>Croacia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Bélgica</v>
      </c>
      <c r="E222" s="9" t="str">
        <f ca="1">+WORLDCUP!BD66</f>
        <v>Senegal</v>
      </c>
      <c r="F222" s="9" t="str">
        <f ca="1">+WORLDCUP!BD60</f>
        <v>Escocia</v>
      </c>
      <c r="G222" s="9" t="str">
        <f ca="1">+WORLDCUP!BD58</f>
        <v>República Checa</v>
      </c>
      <c r="H222" s="9" t="str">
        <f ca="1">+WORLDCUP!BD63</f>
        <v>Suecia</v>
      </c>
      <c r="I222" s="9" t="str">
        <f ca="1">+WORLDCUP!BD69</f>
        <v>Croacia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Bélgica</v>
      </c>
      <c r="E223" s="9" t="str">
        <f ca="1">+WORLDCUP!BD67</f>
        <v>Argelia</v>
      </c>
      <c r="F223" s="9" t="str">
        <f ca="1">+WORLDCUP!BD60</f>
        <v>Escocia</v>
      </c>
      <c r="G223" s="9" t="str">
        <f ca="1">+WORLDCUP!BD58</f>
        <v>República Checa</v>
      </c>
      <c r="H223" s="9" t="str">
        <f ca="1">+WORLDCUP!BD63</f>
        <v>Suecia</v>
      </c>
      <c r="I223" s="9" t="str">
        <f ca="1">+WORLDCUP!BD69</f>
        <v>Croacia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Bélgica</v>
      </c>
      <c r="E224" s="9" t="str">
        <f ca="1">+WORLDCUP!BD67</f>
        <v>Argelia</v>
      </c>
      <c r="F224" s="9" t="str">
        <f ca="1">+WORLDCUP!BD60</f>
        <v>Escocia</v>
      </c>
      <c r="G224" s="9" t="str">
        <f ca="1">+WORLDCUP!BD58</f>
        <v>República Checa</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Cabo Verde</v>
      </c>
      <c r="D225" s="9" t="str">
        <f ca="1">+WORLDCUP!BD64</f>
        <v>Bélgica</v>
      </c>
      <c r="E225" s="9" t="str">
        <f ca="1">+WORLDCUP!BD62</f>
        <v>Ecuador</v>
      </c>
      <c r="F225" s="9" t="str">
        <f ca="1">+WORLDCUP!BD60</f>
        <v>Escocia</v>
      </c>
      <c r="G225" s="9" t="str">
        <f ca="1">+WORLDCUP!BD58</f>
        <v>República Checa</v>
      </c>
      <c r="H225" s="9" t="str">
        <f ca="1">+WORLDCUP!BD63</f>
        <v>Suecia</v>
      </c>
      <c r="I225" s="9" t="str">
        <f ca="1">+WORLDCUP!BD69</f>
        <v>Croacia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Cabo Verde</v>
      </c>
      <c r="D226" s="9" t="str">
        <f ca="1">+WORLDCUP!BD64</f>
        <v>Bélgica</v>
      </c>
      <c r="E226" s="9" t="str">
        <f ca="1">+WORLDCUP!BD67</f>
        <v>Argelia</v>
      </c>
      <c r="F226" s="9" t="str">
        <f ca="1">+WORLDCUP!BD60</f>
        <v>Escocia</v>
      </c>
      <c r="G226" s="9" t="str">
        <f ca="1">+WORLDCUP!BD58</f>
        <v>República Checa</v>
      </c>
      <c r="H226" s="9" t="str">
        <f ca="1">+WORLDCUP!BD63</f>
        <v>Suecia</v>
      </c>
      <c r="I226" s="9" t="str">
        <f ca="1">+WORLDCUP!BD69</f>
        <v>Croacia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Cabo Verde</v>
      </c>
      <c r="D227" s="9" t="str">
        <f ca="1">+WORLDCUP!BD64</f>
        <v>Bélgica</v>
      </c>
      <c r="E227" s="9" t="str">
        <f ca="1">+WORLDCUP!BD67</f>
        <v>Argelia</v>
      </c>
      <c r="F227" s="9" t="str">
        <f ca="1">+WORLDCUP!BD60</f>
        <v>Escocia</v>
      </c>
      <c r="G227" s="9" t="str">
        <f ca="1">+WORLDCUP!BD58</f>
        <v>República Checa</v>
      </c>
      <c r="H227" s="9" t="str">
        <f ca="1">+WORLDCUP!BD63</f>
        <v>Suecia</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Cabo Verde</v>
      </c>
      <c r="D228" s="9" t="str">
        <f ca="1">+WORLDCUP!BD64</f>
        <v>Bélgica</v>
      </c>
      <c r="E228" s="9" t="str">
        <f ca="1">+WORLDCUP!BD62</f>
        <v>Ecuador</v>
      </c>
      <c r="F228" s="9" t="str">
        <f ca="1">+WORLDCUP!BD60</f>
        <v>Escocia</v>
      </c>
      <c r="G228" s="9" t="str">
        <f ca="1">+WORLDCUP!BD58</f>
        <v>República Checa</v>
      </c>
      <c r="H228" s="9" t="str">
        <f ca="1">+WORLDCUP!BD63</f>
        <v>Suecia</v>
      </c>
      <c r="I228" s="9" t="str">
        <f ca="1">+WORLDCUP!BD69</f>
        <v>Croacia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Cabo Verde</v>
      </c>
      <c r="D229" s="9" t="str">
        <f ca="1">+WORLDCUP!BD64</f>
        <v>Bélgica</v>
      </c>
      <c r="E229" s="9" t="str">
        <f ca="1">+WORLDCUP!BD62</f>
        <v>Ecuador</v>
      </c>
      <c r="F229" s="9" t="str">
        <f ca="1">+WORLDCUP!BD60</f>
        <v>Escocia</v>
      </c>
      <c r="G229" s="9" t="str">
        <f ca="1">+WORLDCUP!BD58</f>
        <v>República Checa</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Cabo Verde</v>
      </c>
      <c r="D230" s="9" t="str">
        <f ca="1">+WORLDCUP!BD64</f>
        <v>Bélgica</v>
      </c>
      <c r="E230" s="9" t="str">
        <f ca="1">+WORLDCUP!BD67</f>
        <v>Argelia</v>
      </c>
      <c r="F230" s="9" t="str">
        <f ca="1">+WORLDCUP!BD60</f>
        <v>Escocia</v>
      </c>
      <c r="G230" s="9" t="str">
        <f ca="1">+WORLDCUP!BD58</f>
        <v>República Checa</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Cabo Verde</v>
      </c>
      <c r="D231" s="9" t="str">
        <f ca="1">+WORLDCUP!BD67</f>
        <v>Argelia</v>
      </c>
      <c r="E231" s="9" t="str">
        <f ca="1">+WORLDCUP!BD66</f>
        <v>Senegal</v>
      </c>
      <c r="F231" s="9" t="str">
        <f ca="1">+WORLDCUP!BD60</f>
        <v>Escocia</v>
      </c>
      <c r="G231" s="9" t="str">
        <f ca="1">+WORLDCUP!BD58</f>
        <v>República Checa</v>
      </c>
      <c r="H231" s="9" t="str">
        <f ca="1">+WORLDCUP!BD61</f>
        <v>Paraguay</v>
      </c>
      <c r="I231" s="9" t="str">
        <f ca="1">+WORLDCUP!BD69</f>
        <v>Croacia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Bélgica</v>
      </c>
      <c r="E232" s="9" t="str">
        <f ca="1">+WORLDCUP!BD67</f>
        <v>Argelia</v>
      </c>
      <c r="F232" s="9" t="str">
        <f ca="1">+WORLDCUP!BD60</f>
        <v>Escocia</v>
      </c>
      <c r="G232" s="9" t="str">
        <f ca="1">+WORLDCUP!BD58</f>
        <v>República Checa</v>
      </c>
      <c r="H232" s="9" t="str">
        <f ca="1">+WORLDCUP!BD61</f>
        <v>Paraguay</v>
      </c>
      <c r="I232" s="9" t="str">
        <f ca="1">+WORLDCUP!BD69</f>
        <v>Croacia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Cabo Verde</v>
      </c>
      <c r="D233" s="9" t="str">
        <f ca="1">+WORLDCUP!BD64</f>
        <v>Bélgica</v>
      </c>
      <c r="E233" s="9" t="str">
        <f ca="1">+WORLDCUP!BD67</f>
        <v>Argelia</v>
      </c>
      <c r="F233" s="9" t="str">
        <f ca="1">+WORLDCUP!BD60</f>
        <v>Escocia</v>
      </c>
      <c r="G233" s="9" t="str">
        <f ca="1">+WORLDCUP!BD58</f>
        <v>República Checa</v>
      </c>
      <c r="H233" s="9" t="str">
        <f ca="1">+WORLDCUP!BD61</f>
        <v>Paraguay</v>
      </c>
      <c r="I233" s="9" t="str">
        <f ca="1">+WORLDCUP!BD69</f>
        <v>Croacia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Cabo Verde</v>
      </c>
      <c r="D234" s="9" t="str">
        <f ca="1">+WORLDCUP!BD64</f>
        <v>Bélgica</v>
      </c>
      <c r="E234" s="9" t="str">
        <f ca="1">+WORLDCUP!BD66</f>
        <v>Senegal</v>
      </c>
      <c r="F234" s="9" t="str">
        <f ca="1">+WORLDCUP!BD60</f>
        <v>Escocia</v>
      </c>
      <c r="G234" s="9" t="str">
        <f ca="1">+WORLDCUP!BD58</f>
        <v>República Checa</v>
      </c>
      <c r="H234" s="9" t="str">
        <f ca="1">+WORLDCUP!BD61</f>
        <v>Paraguay</v>
      </c>
      <c r="I234" s="9" t="str">
        <f ca="1">+WORLDCUP!BD69</f>
        <v>Croacia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Cabo Verde</v>
      </c>
      <c r="D235" s="9" t="str">
        <f ca="1">+WORLDCUP!BD64</f>
        <v>Bélgica</v>
      </c>
      <c r="E235" s="9" t="str">
        <f ca="1">+WORLDCUP!BD67</f>
        <v>Argelia</v>
      </c>
      <c r="F235" s="9" t="str">
        <f ca="1">+WORLDCUP!BD60</f>
        <v>Escocia</v>
      </c>
      <c r="G235" s="9" t="str">
        <f ca="1">+WORLDCUP!BD58</f>
        <v>República Checa</v>
      </c>
      <c r="H235" s="9" t="str">
        <f ca="1">+WORLDCUP!BD61</f>
        <v>Paraguay</v>
      </c>
      <c r="I235" s="9" t="str">
        <f ca="1">+WORLDCUP!BD69</f>
        <v>Croacia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Cabo Verde</v>
      </c>
      <c r="D236" s="9" t="str">
        <f ca="1">+WORLDCUP!BD64</f>
        <v>Bélgica</v>
      </c>
      <c r="E236" s="9" t="str">
        <f ca="1">+WORLDCUP!BD67</f>
        <v>Argelia</v>
      </c>
      <c r="F236" s="9" t="str">
        <f ca="1">+WORLDCUP!BD60</f>
        <v>Escocia</v>
      </c>
      <c r="G236" s="9" t="str">
        <f ca="1">+WORLDCUP!BD58</f>
        <v>República Checa</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Paraguay</v>
      </c>
      <c r="G237" s="9" t="str">
        <f ca="1">+WORLDCUP!BD58</f>
        <v>República Checa</v>
      </c>
      <c r="H237" s="9" t="str">
        <f ca="1">+WORLDCUP!BD63</f>
        <v>Suecia</v>
      </c>
      <c r="I237" s="9" t="str">
        <f ca="1">+WORLDCUP!BD69</f>
        <v>Croacia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Cabo Verde</v>
      </c>
      <c r="D238" s="9" t="str">
        <f ca="1">+WORLDCUP!BD67</f>
        <v>Argelia</v>
      </c>
      <c r="E238" s="9" t="str">
        <f ca="1">+WORLDCUP!BD63</f>
        <v>Suecia</v>
      </c>
      <c r="F238" s="9" t="str">
        <f ca="1">+WORLDCUP!BD60</f>
        <v>Escocia</v>
      </c>
      <c r="G238" s="9" t="str">
        <f ca="1">+WORLDCUP!BD58</f>
        <v>República Checa</v>
      </c>
      <c r="H238" s="9" t="str">
        <f ca="1">+WORLDCUP!BD61</f>
        <v>Paraguay</v>
      </c>
      <c r="I238" s="9" t="str">
        <f ca="1">+WORLDCUP!BD69</f>
        <v>Croacia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Cabo Verde</v>
      </c>
      <c r="D239" s="9" t="str">
        <f ca="1">+WORLDCUP!BD63</f>
        <v>Suecia</v>
      </c>
      <c r="E239" s="9" t="str">
        <f ca="1">+WORLDCUP!BD66</f>
        <v>Senegal</v>
      </c>
      <c r="F239" s="9" t="str">
        <f ca="1">+WORLDCUP!BD60</f>
        <v>Escocia</v>
      </c>
      <c r="G239" s="9" t="str">
        <f ca="1">+WORLDCUP!BD58</f>
        <v>República Checa</v>
      </c>
      <c r="H239" s="9" t="str">
        <f ca="1">+WORLDCUP!BD61</f>
        <v>Paraguay</v>
      </c>
      <c r="I239" s="9" t="str">
        <f ca="1">+WORLDCUP!BD69</f>
        <v>Croacia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Cabo Verde</v>
      </c>
      <c r="D240" s="9" t="str">
        <f ca="1">+WORLDCUP!BD67</f>
        <v>Argelia</v>
      </c>
      <c r="E240" s="9" t="str">
        <f ca="1">+WORLDCUP!BD63</f>
        <v>Suecia</v>
      </c>
      <c r="F240" s="9" t="str">
        <f ca="1">+WORLDCUP!BD60</f>
        <v>Escocia</v>
      </c>
      <c r="G240" s="9" t="str">
        <f ca="1">+WORLDCUP!BD58</f>
        <v>República Checa</v>
      </c>
      <c r="H240" s="9" t="str">
        <f ca="1">+WORLDCUP!BD61</f>
        <v>Paraguay</v>
      </c>
      <c r="I240" s="9" t="str">
        <f ca="1">+WORLDCUP!BD69</f>
        <v>Croacia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Cabo Verde</v>
      </c>
      <c r="D241" s="9" t="str">
        <f ca="1">+WORLDCUP!BD67</f>
        <v>Argelia</v>
      </c>
      <c r="E241" s="9" t="str">
        <f ca="1">+WORLDCUP!BD63</f>
        <v>Suecia</v>
      </c>
      <c r="F241" s="9" t="str">
        <f ca="1">+WORLDCUP!BD60</f>
        <v>Escocia</v>
      </c>
      <c r="G241" s="9" t="str">
        <f ca="1">+WORLDCUP!BD58</f>
        <v>República Checa</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Bélgica</v>
      </c>
      <c r="E242" s="9" t="str">
        <f ca="1">+WORLDCUP!BD67</f>
        <v>Argelia</v>
      </c>
      <c r="F242" s="9" t="str">
        <f ca="1">+WORLDCUP!BD61</f>
        <v>Paraguay</v>
      </c>
      <c r="G242" s="9" t="str">
        <f ca="1">+WORLDCUP!BD58</f>
        <v>República Checa</v>
      </c>
      <c r="H242" s="9" t="str">
        <f ca="1">+WORLDCUP!BD63</f>
        <v>Suecia</v>
      </c>
      <c r="I242" s="9" t="str">
        <f ca="1">+WORLDCUP!BD69</f>
        <v>Croacia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Bélgica</v>
      </c>
      <c r="E243" s="9" t="str">
        <f ca="1">+WORLDCUP!BD66</f>
        <v>Senegal</v>
      </c>
      <c r="F243" s="9" t="str">
        <f ca="1">+WORLDCUP!BD61</f>
        <v>Paraguay</v>
      </c>
      <c r="G243" s="9" t="str">
        <f ca="1">+WORLDCUP!BD58</f>
        <v>República Checa</v>
      </c>
      <c r="H243" s="9" t="str">
        <f ca="1">+WORLDCUP!BD63</f>
        <v>Suecia</v>
      </c>
      <c r="I243" s="9" t="str">
        <f ca="1">+WORLDCUP!BD69</f>
        <v>Croacia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Bélgica</v>
      </c>
      <c r="E244" s="9" t="str">
        <f ca="1">+WORLDCUP!BD67</f>
        <v>Argelia</v>
      </c>
      <c r="F244" s="9" t="str">
        <f ca="1">+WORLDCUP!BD61</f>
        <v>Paraguay</v>
      </c>
      <c r="G244" s="9" t="str">
        <f ca="1">+WORLDCUP!BD58</f>
        <v>República Checa</v>
      </c>
      <c r="H244" s="9" t="str">
        <f ca="1">+WORLDCUP!BD63</f>
        <v>Suecia</v>
      </c>
      <c r="I244" s="9" t="str">
        <f ca="1">+WORLDCUP!BD69</f>
        <v>Croacia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Bélgica</v>
      </c>
      <c r="E245" s="9" t="str">
        <f ca="1">+WORLDCUP!BD67</f>
        <v>Argelia</v>
      </c>
      <c r="F245" s="9" t="str">
        <f ca="1">+WORLDCUP!BD61</f>
        <v>Paraguay</v>
      </c>
      <c r="G245" s="9" t="str">
        <f ca="1">+WORLDCUP!BD58</f>
        <v>República Checa</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Cabo Verde</v>
      </c>
      <c r="D246" s="9" t="str">
        <f ca="1">+WORLDCUP!BD64</f>
        <v>Bélgica</v>
      </c>
      <c r="E246" s="9" t="str">
        <f ca="1">+WORLDCUP!BD63</f>
        <v>Suecia</v>
      </c>
      <c r="F246" s="9" t="str">
        <f ca="1">+WORLDCUP!BD60</f>
        <v>Escocia</v>
      </c>
      <c r="G246" s="9" t="str">
        <f ca="1">+WORLDCUP!BD58</f>
        <v>República Checa</v>
      </c>
      <c r="H246" s="9" t="str">
        <f ca="1">+WORLDCUP!BD61</f>
        <v>Paraguay</v>
      </c>
      <c r="I246" s="9" t="str">
        <f ca="1">+WORLDCUP!BD69</f>
        <v>Croacia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1</v>
      </c>
      <c r="C247" s="9" t="str">
        <f ca="1">+WORLDCUP!BD60</f>
        <v>Escocia</v>
      </c>
      <c r="D247" s="9" t="str">
        <f ca="1">+WORLDCUP!BD64</f>
        <v>Bélgica</v>
      </c>
      <c r="E247" s="9" t="str">
        <f ca="1">+WORLDCUP!BD67</f>
        <v>Argelia</v>
      </c>
      <c r="F247" s="9" t="str">
        <f ca="1">+WORLDCUP!BD61</f>
        <v>Paraguay</v>
      </c>
      <c r="G247" s="9" t="str">
        <f ca="1">+WORLDCUP!BD58</f>
        <v>República Checa</v>
      </c>
      <c r="H247" s="9" t="str">
        <f ca="1">+WORLDCUP!BD63</f>
        <v>Suecia</v>
      </c>
      <c r="I247" s="9" t="str">
        <f ca="1">+WORLDCUP!BD69</f>
        <v>Croacia</v>
      </c>
      <c r="J247" s="9" t="str">
        <f ca="1">+WORLDCUP!BD65</f>
        <v>Cabo Verde</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Cabo Verde</v>
      </c>
      <c r="D248" s="9" t="str">
        <f ca="1">+WORLDCUP!BD64</f>
        <v>Bélgica</v>
      </c>
      <c r="E248" s="9" t="str">
        <f ca="1">+WORLDCUP!BD67</f>
        <v>Argelia</v>
      </c>
      <c r="F248" s="9" t="str">
        <f ca="1">+WORLDCUP!BD60</f>
        <v>Escocia</v>
      </c>
      <c r="G248" s="9" t="str">
        <f ca="1">+WORLDCUP!BD58</f>
        <v>República Checa</v>
      </c>
      <c r="H248" s="9" t="str">
        <f ca="1">+WORLDCUP!BD63</f>
        <v>Suecia</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Cabo Verde</v>
      </c>
      <c r="D249" s="9" t="str">
        <f ca="1">+WORLDCUP!BD64</f>
        <v>Bélgica</v>
      </c>
      <c r="E249" s="9" t="str">
        <f ca="1">+WORLDCUP!BD63</f>
        <v>Suecia</v>
      </c>
      <c r="F249" s="9" t="str">
        <f ca="1">+WORLDCUP!BD60</f>
        <v>Escocia</v>
      </c>
      <c r="G249" s="9" t="str">
        <f ca="1">+WORLDCUP!BD58</f>
        <v>República Checa</v>
      </c>
      <c r="H249" s="9" t="str">
        <f ca="1">+WORLDCUP!BD61</f>
        <v>Paraguay</v>
      </c>
      <c r="I249" s="9" t="str">
        <f ca="1">+WORLDCUP!BD69</f>
        <v>Croacia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Cabo Verde</v>
      </c>
      <c r="D250" s="9" t="str">
        <f ca="1">+WORLDCUP!BD64</f>
        <v>Bélgica</v>
      </c>
      <c r="E250" s="9" t="str">
        <f ca="1">+WORLDCUP!BD63</f>
        <v>Suecia</v>
      </c>
      <c r="F250" s="9" t="str">
        <f ca="1">+WORLDCUP!BD60</f>
        <v>Escocia</v>
      </c>
      <c r="G250" s="9" t="str">
        <f ca="1">+WORLDCUP!BD58</f>
        <v>República Checa</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Cabo Verde</v>
      </c>
      <c r="D251" s="9" t="str">
        <f ca="1">+WORLDCUP!BD64</f>
        <v>Bélgica</v>
      </c>
      <c r="E251" s="9" t="str">
        <f ca="1">+WORLDCUP!BD67</f>
        <v>Argelia</v>
      </c>
      <c r="F251" s="9" t="str">
        <f ca="1">+WORLDCUP!BD60</f>
        <v>Escocia</v>
      </c>
      <c r="G251" s="9" t="str">
        <f ca="1">+WORLDCUP!BD58</f>
        <v>República Checa</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Argelia</v>
      </c>
      <c r="E252" s="9" t="str">
        <f ca="1">+WORLDCUP!BD66</f>
        <v>Senegal</v>
      </c>
      <c r="F252" s="9" t="str">
        <f ca="1">+WORLDCUP!BD60</f>
        <v>Escocia</v>
      </c>
      <c r="G252" s="9" t="str">
        <f ca="1">+WORLDCUP!BD58</f>
        <v>República Checa</v>
      </c>
      <c r="H252" s="9" t="str">
        <f ca="1">+WORLDCUP!BD61</f>
        <v>Paraguay</v>
      </c>
      <c r="I252" s="9" t="str">
        <f ca="1">+WORLDCUP!BD69</f>
        <v>Croacia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Cabo Verde</v>
      </c>
      <c r="D253" s="9" t="str">
        <f ca="1">+WORLDCUP!BD67</f>
        <v>Argelia</v>
      </c>
      <c r="E253" s="9" t="str">
        <f ca="1">+WORLDCUP!BD62</f>
        <v>Ecuador</v>
      </c>
      <c r="F253" s="9" t="str">
        <f ca="1">+WORLDCUP!BD60</f>
        <v>Escocia</v>
      </c>
      <c r="G253" s="9" t="str">
        <f ca="1">+WORLDCUP!BD58</f>
        <v>República Checa</v>
      </c>
      <c r="H253" s="9" t="str">
        <f ca="1">+WORLDCUP!BD61</f>
        <v>Paraguay</v>
      </c>
      <c r="I253" s="9" t="str">
        <f ca="1">+WORLDCUP!BD69</f>
        <v>Croacia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Cabo Verde</v>
      </c>
      <c r="D254" s="9" t="str">
        <f ca="1">+WORLDCUP!BD62</f>
        <v>Ecuador</v>
      </c>
      <c r="E254" s="9" t="str">
        <f ca="1">+WORLDCUP!BD66</f>
        <v>Senegal</v>
      </c>
      <c r="F254" s="9" t="str">
        <f ca="1">+WORLDCUP!BD60</f>
        <v>Escocia</v>
      </c>
      <c r="G254" s="9" t="str">
        <f ca="1">+WORLDCUP!BD58</f>
        <v>República Checa</v>
      </c>
      <c r="H254" s="9" t="str">
        <f ca="1">+WORLDCUP!BD61</f>
        <v>Paraguay</v>
      </c>
      <c r="I254" s="9" t="str">
        <f ca="1">+WORLDCUP!BD69</f>
        <v>Croacia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Cabo Verde</v>
      </c>
      <c r="D255" s="9" t="str">
        <f ca="1">+WORLDCUP!BD67</f>
        <v>Argelia</v>
      </c>
      <c r="E255" s="9" t="str">
        <f ca="1">+WORLDCUP!BD62</f>
        <v>Ecuador</v>
      </c>
      <c r="F255" s="9" t="str">
        <f ca="1">+WORLDCUP!BD60</f>
        <v>Escocia</v>
      </c>
      <c r="G255" s="9" t="str">
        <f ca="1">+WORLDCUP!BD58</f>
        <v>República Checa</v>
      </c>
      <c r="H255" s="9" t="str">
        <f ca="1">+WORLDCUP!BD61</f>
        <v>Paraguay</v>
      </c>
      <c r="I255" s="9" t="str">
        <f ca="1">+WORLDCUP!BD69</f>
        <v>Croacia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Cabo Verde</v>
      </c>
      <c r="D256" s="9" t="str">
        <f ca="1">+WORLDCUP!BD67</f>
        <v>Argelia</v>
      </c>
      <c r="E256" s="9" t="str">
        <f ca="1">+WORLDCUP!BD62</f>
        <v>Ecuador</v>
      </c>
      <c r="F256" s="9" t="str">
        <f ca="1">+WORLDCUP!BD60</f>
        <v>Escocia</v>
      </c>
      <c r="G256" s="9" t="str">
        <f ca="1">+WORLDCUP!BD58</f>
        <v>República Checa</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Bélgica</v>
      </c>
      <c r="E257" s="9" t="str">
        <f ca="1">+WORLDCUP!BD67</f>
        <v>Argelia</v>
      </c>
      <c r="F257" s="9" t="str">
        <f ca="1">+WORLDCUP!BD60</f>
        <v>Escocia</v>
      </c>
      <c r="G257" s="9" t="str">
        <f ca="1">+WORLDCUP!BD58</f>
        <v>República Checa</v>
      </c>
      <c r="H257" s="9" t="str">
        <f ca="1">+WORLDCUP!BD61</f>
        <v>Paraguay</v>
      </c>
      <c r="I257" s="9" t="str">
        <f ca="1">+WORLDCUP!BD69</f>
        <v>Croacia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Bélgica</v>
      </c>
      <c r="E258" s="9" t="str">
        <f ca="1">+WORLDCUP!BD66</f>
        <v>Senegal</v>
      </c>
      <c r="F258" s="9" t="str">
        <f ca="1">+WORLDCUP!BD60</f>
        <v>Escocia</v>
      </c>
      <c r="G258" s="9" t="str">
        <f ca="1">+WORLDCUP!BD58</f>
        <v>República Checa</v>
      </c>
      <c r="H258" s="9" t="str">
        <f ca="1">+WORLDCUP!BD61</f>
        <v>Paraguay</v>
      </c>
      <c r="I258" s="9" t="str">
        <f ca="1">+WORLDCUP!BD69</f>
        <v>Croacia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Bélgica</v>
      </c>
      <c r="E259" s="9" t="str">
        <f ca="1">+WORLDCUP!BD67</f>
        <v>Argelia</v>
      </c>
      <c r="F259" s="9" t="str">
        <f ca="1">+WORLDCUP!BD60</f>
        <v>Escocia</v>
      </c>
      <c r="G259" s="9" t="str">
        <f ca="1">+WORLDCUP!BD58</f>
        <v>República Checa</v>
      </c>
      <c r="H259" s="9" t="str">
        <f ca="1">+WORLDCUP!BD61</f>
        <v>Paraguay</v>
      </c>
      <c r="I259" s="9" t="str">
        <f ca="1">+WORLDCUP!BD69</f>
        <v>Croacia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Bélgica</v>
      </c>
      <c r="E260" s="9" t="str">
        <f ca="1">+WORLDCUP!BD67</f>
        <v>Argelia</v>
      </c>
      <c r="F260" s="9" t="str">
        <f ca="1">+WORLDCUP!BD60</f>
        <v>Escocia</v>
      </c>
      <c r="G260" s="9" t="str">
        <f ca="1">+WORLDCUP!BD58</f>
        <v>República Checa</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Cabo Verde</v>
      </c>
      <c r="D261" s="9" t="str">
        <f ca="1">+WORLDCUP!BD64</f>
        <v>Bélgica</v>
      </c>
      <c r="E261" s="9" t="str">
        <f ca="1">+WORLDCUP!BD62</f>
        <v>Ecuador</v>
      </c>
      <c r="F261" s="9" t="str">
        <f ca="1">+WORLDCUP!BD60</f>
        <v>Escocia</v>
      </c>
      <c r="G261" s="9" t="str">
        <f ca="1">+WORLDCUP!BD58</f>
        <v>República Checa</v>
      </c>
      <c r="H261" s="9" t="str">
        <f ca="1">+WORLDCUP!BD61</f>
        <v>Paraguay</v>
      </c>
      <c r="I261" s="9" t="str">
        <f ca="1">+WORLDCUP!BD69</f>
        <v>Croacia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Cabo Verde</v>
      </c>
      <c r="D262" s="9" t="str">
        <f ca="1">+WORLDCUP!BD64</f>
        <v>Bélgica</v>
      </c>
      <c r="E262" s="9" t="str">
        <f ca="1">+WORLDCUP!BD67</f>
        <v>Argelia</v>
      </c>
      <c r="F262" s="9" t="str">
        <f ca="1">+WORLDCUP!BD60</f>
        <v>Escocia</v>
      </c>
      <c r="G262" s="9" t="str">
        <f ca="1">+WORLDCUP!BD58</f>
        <v>República Checa</v>
      </c>
      <c r="H262" s="9" t="str">
        <f ca="1">+WORLDCUP!BD61</f>
        <v>Paraguay</v>
      </c>
      <c r="I262" s="9" t="str">
        <f ca="1">+WORLDCUP!BD69</f>
        <v>Croacia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Cabo Verde</v>
      </c>
      <c r="D263" s="9" t="str">
        <f ca="1">+WORLDCUP!BD64</f>
        <v>Bélgica</v>
      </c>
      <c r="E263" s="9" t="str">
        <f ca="1">+WORLDCUP!BD67</f>
        <v>Argelia</v>
      </c>
      <c r="F263" s="9" t="str">
        <f ca="1">+WORLDCUP!BD60</f>
        <v>Escocia</v>
      </c>
      <c r="G263" s="9" t="str">
        <f ca="1">+WORLDCUP!BD58</f>
        <v>República Checa</v>
      </c>
      <c r="H263" s="9" t="str">
        <f ca="1">+WORLDCUP!BD61</f>
        <v>Paraguay</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Cabo Verde</v>
      </c>
      <c r="D264" s="9" t="str">
        <f ca="1">+WORLDCUP!BD64</f>
        <v>Bélgica</v>
      </c>
      <c r="E264" s="9" t="str">
        <f ca="1">+WORLDCUP!BD62</f>
        <v>Ecuador</v>
      </c>
      <c r="F264" s="9" t="str">
        <f ca="1">+WORLDCUP!BD60</f>
        <v>Escocia</v>
      </c>
      <c r="G264" s="9" t="str">
        <f ca="1">+WORLDCUP!BD58</f>
        <v>República Checa</v>
      </c>
      <c r="H264" s="9" t="str">
        <f ca="1">+WORLDCUP!BD61</f>
        <v>Paraguay</v>
      </c>
      <c r="I264" s="9" t="str">
        <f ca="1">+WORLDCUP!BD69</f>
        <v>Croacia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Cabo Verde</v>
      </c>
      <c r="D265" s="9" t="str">
        <f ca="1">+WORLDCUP!BD64</f>
        <v>Bélgica</v>
      </c>
      <c r="E265" s="9" t="str">
        <f ca="1">+WORLDCUP!BD62</f>
        <v>Ecuador</v>
      </c>
      <c r="F265" s="9" t="str">
        <f ca="1">+WORLDCUP!BD60</f>
        <v>Escocia</v>
      </c>
      <c r="G265" s="9" t="str">
        <f ca="1">+WORLDCUP!BD58</f>
        <v>República Checa</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Cabo Verde</v>
      </c>
      <c r="D266" s="9" t="str">
        <f ca="1">+WORLDCUP!BD64</f>
        <v>Bélgica</v>
      </c>
      <c r="E266" s="9" t="str">
        <f ca="1">+WORLDCUP!BD67</f>
        <v>Argelia</v>
      </c>
      <c r="F266" s="9" t="str">
        <f ca="1">+WORLDCUP!BD60</f>
        <v>Escocia</v>
      </c>
      <c r="G266" s="9" t="str">
        <f ca="1">+WORLDCUP!BD58</f>
        <v>República Checa</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Ecuador</v>
      </c>
      <c r="F267" s="9" t="str">
        <f ca="1">+WORLDCUP!BD61</f>
        <v>Paraguay</v>
      </c>
      <c r="G267" s="9" t="str">
        <f ca="1">+WORLDCUP!BD58</f>
        <v>República Checa</v>
      </c>
      <c r="H267" s="9" t="str">
        <f ca="1">+WORLDCUP!BD63</f>
        <v>Suecia</v>
      </c>
      <c r="I267" s="9" t="str">
        <f ca="1">+WORLDCUP!BD69</f>
        <v>Croacia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Paraguay</v>
      </c>
      <c r="G268" s="9" t="str">
        <f ca="1">+WORLDCUP!BD58</f>
        <v>República Checa</v>
      </c>
      <c r="H268" s="9" t="str">
        <f ca="1">+WORLDCUP!BD63</f>
        <v>Suecia</v>
      </c>
      <c r="I268" s="9" t="str">
        <f ca="1">+WORLDCUP!BD69</f>
        <v>Croacia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Ecuador</v>
      </c>
      <c r="F269" s="9" t="str">
        <f ca="1">+WORLDCUP!BD61</f>
        <v>Paraguay</v>
      </c>
      <c r="G269" s="9" t="str">
        <f ca="1">+WORLDCUP!BD58</f>
        <v>República Checa</v>
      </c>
      <c r="H269" s="9" t="str">
        <f ca="1">+WORLDCUP!BD63</f>
        <v>Suecia</v>
      </c>
      <c r="I269" s="9" t="str">
        <f ca="1">+WORLDCUP!BD69</f>
        <v>Croacia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Ecuador</v>
      </c>
      <c r="F270" s="9" t="str">
        <f ca="1">+WORLDCUP!BD61</f>
        <v>Paraguay</v>
      </c>
      <c r="G270" s="9" t="str">
        <f ca="1">+WORLDCUP!BD58</f>
        <v>República Checa</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Cabo Verde</v>
      </c>
      <c r="D271" s="9" t="str">
        <f ca="1">+WORLDCUP!BD62</f>
        <v>Ecuador</v>
      </c>
      <c r="E271" s="9" t="str">
        <f ca="1">+WORLDCUP!BD63</f>
        <v>Suecia</v>
      </c>
      <c r="F271" s="9" t="str">
        <f ca="1">+WORLDCUP!BD60</f>
        <v>Escocia</v>
      </c>
      <c r="G271" s="9" t="str">
        <f ca="1">+WORLDCUP!BD58</f>
        <v>República Checa</v>
      </c>
      <c r="H271" s="9" t="str">
        <f ca="1">+WORLDCUP!BD61</f>
        <v>Paraguay</v>
      </c>
      <c r="I271" s="9" t="str">
        <f ca="1">+WORLDCUP!BD69</f>
        <v>Croacia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Cabo Verde</v>
      </c>
      <c r="D272" s="9" t="str">
        <f ca="1">+WORLDCUP!BD67</f>
        <v>Argelia</v>
      </c>
      <c r="E272" s="9" t="str">
        <f ca="1">+WORLDCUP!BD63</f>
        <v>Suecia</v>
      </c>
      <c r="F272" s="9" t="str">
        <f ca="1">+WORLDCUP!BD60</f>
        <v>Escocia</v>
      </c>
      <c r="G272" s="9" t="str">
        <f ca="1">+WORLDCUP!BD58</f>
        <v>República Checa</v>
      </c>
      <c r="H272" s="9" t="str">
        <f ca="1">+WORLDCUP!BD61</f>
        <v>Paraguay</v>
      </c>
      <c r="I272" s="9" t="str">
        <f ca="1">+WORLDCUP!BD69</f>
        <v>Croacia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Cabo Verde</v>
      </c>
      <c r="D273" s="9" t="str">
        <f ca="1">+WORLDCUP!BD67</f>
        <v>Argelia</v>
      </c>
      <c r="E273" s="9" t="str">
        <f ca="1">+WORLDCUP!BD62</f>
        <v>Ecuador</v>
      </c>
      <c r="F273" s="9" t="str">
        <f ca="1">+WORLDCUP!BD60</f>
        <v>Escocia</v>
      </c>
      <c r="G273" s="9" t="str">
        <f ca="1">+WORLDCUP!BD58</f>
        <v>República Checa</v>
      </c>
      <c r="H273" s="9" t="str">
        <f ca="1">+WORLDCUP!BD63</f>
        <v>Suecia</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Cabo Verde</v>
      </c>
      <c r="D274" s="9" t="str">
        <f ca="1">+WORLDCUP!BD62</f>
        <v>Ecuador</v>
      </c>
      <c r="E274" s="9" t="str">
        <f ca="1">+WORLDCUP!BD63</f>
        <v>Suecia</v>
      </c>
      <c r="F274" s="9" t="str">
        <f ca="1">+WORLDCUP!BD60</f>
        <v>Escocia</v>
      </c>
      <c r="G274" s="9" t="str">
        <f ca="1">+WORLDCUP!BD58</f>
        <v>República Checa</v>
      </c>
      <c r="H274" s="9" t="str">
        <f ca="1">+WORLDCUP!BD61</f>
        <v>Paraguay</v>
      </c>
      <c r="I274" s="9" t="str">
        <f ca="1">+WORLDCUP!BD69</f>
        <v>Croacia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Cabo Verde</v>
      </c>
      <c r="D275" s="9" t="str">
        <f ca="1">+WORLDCUP!BD62</f>
        <v>Ecuador</v>
      </c>
      <c r="E275" s="9" t="str">
        <f ca="1">+WORLDCUP!BD63</f>
        <v>Suecia</v>
      </c>
      <c r="F275" s="9" t="str">
        <f ca="1">+WORLDCUP!BD60</f>
        <v>Escocia</v>
      </c>
      <c r="G275" s="9" t="str">
        <f ca="1">+WORLDCUP!BD58</f>
        <v>República Checa</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Cabo Verde</v>
      </c>
      <c r="D276" s="9" t="str">
        <f ca="1">+WORLDCUP!BD67</f>
        <v>Argelia</v>
      </c>
      <c r="E276" s="9" t="str">
        <f ca="1">+WORLDCUP!BD62</f>
        <v>Ecuador</v>
      </c>
      <c r="F276" s="9" t="str">
        <f ca="1">+WORLDCUP!BD60</f>
        <v>Escocia</v>
      </c>
      <c r="G276" s="9" t="str">
        <f ca="1">+WORLDCUP!BD58</f>
        <v>República Checa</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Bélgica</v>
      </c>
      <c r="E277" s="9" t="str">
        <f ca="1">+WORLDCUP!BD62</f>
        <v>Ecuador</v>
      </c>
      <c r="F277" s="9" t="str">
        <f ca="1">+WORLDCUP!BD61</f>
        <v>Paraguay</v>
      </c>
      <c r="G277" s="9" t="str">
        <f ca="1">+WORLDCUP!BD58</f>
        <v>República Checa</v>
      </c>
      <c r="H277" s="9" t="str">
        <f ca="1">+WORLDCUP!BD63</f>
        <v>Suecia</v>
      </c>
      <c r="I277" s="9" t="str">
        <f ca="1">+WORLDCUP!BD69</f>
        <v>Croacia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Bélgica</v>
      </c>
      <c r="E278" s="9" t="str">
        <f ca="1">+WORLDCUP!BD67</f>
        <v>Argelia</v>
      </c>
      <c r="F278" s="9" t="str">
        <f ca="1">+WORLDCUP!BD61</f>
        <v>Paraguay</v>
      </c>
      <c r="G278" s="9" t="str">
        <f ca="1">+WORLDCUP!BD58</f>
        <v>República Checa</v>
      </c>
      <c r="H278" s="9" t="str">
        <f ca="1">+WORLDCUP!BD63</f>
        <v>Suecia</v>
      </c>
      <c r="I278" s="9" t="str">
        <f ca="1">+WORLDCUP!BD69</f>
        <v>Croacia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Bélgica</v>
      </c>
      <c r="E279" s="9" t="str">
        <f ca="1">+WORLDCUP!BD67</f>
        <v>Argelia</v>
      </c>
      <c r="F279" s="9" t="str">
        <f ca="1">+WORLDCUP!BD61</f>
        <v>Paraguay</v>
      </c>
      <c r="G279" s="9" t="str">
        <f ca="1">+WORLDCUP!BD58</f>
        <v>República Checa</v>
      </c>
      <c r="H279" s="9" t="str">
        <f ca="1">+WORLDCUP!BD63</f>
        <v>Suecia</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Bélgica</v>
      </c>
      <c r="E280" s="9" t="str">
        <f ca="1">+WORLDCUP!BD62</f>
        <v>Ecuador</v>
      </c>
      <c r="F280" s="9" t="str">
        <f ca="1">+WORLDCUP!BD61</f>
        <v>Paraguay</v>
      </c>
      <c r="G280" s="9" t="str">
        <f ca="1">+WORLDCUP!BD58</f>
        <v>República Checa</v>
      </c>
      <c r="H280" s="9" t="str">
        <f ca="1">+WORLDCUP!BD63</f>
        <v>Suecia</v>
      </c>
      <c r="I280" s="9" t="str">
        <f ca="1">+WORLDCUP!BD69</f>
        <v>Croacia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Bélgica</v>
      </c>
      <c r="E281" s="9" t="str">
        <f ca="1">+WORLDCUP!BD62</f>
        <v>Ecuador</v>
      </c>
      <c r="F281" s="9" t="str">
        <f ca="1">+WORLDCUP!BD61</f>
        <v>Paraguay</v>
      </c>
      <c r="G281" s="9" t="str">
        <f ca="1">+WORLDCUP!BD58</f>
        <v>República Checa</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Bélgica</v>
      </c>
      <c r="E282" s="9" t="str">
        <f ca="1">+WORLDCUP!BD67</f>
        <v>Argelia</v>
      </c>
      <c r="F282" s="9" t="str">
        <f ca="1">+WORLDCUP!BD61</f>
        <v>Paraguay</v>
      </c>
      <c r="G282" s="9" t="str">
        <f ca="1">+WORLDCUP!BD58</f>
        <v>República Checa</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Cabo Verde</v>
      </c>
      <c r="D283" s="9" t="str">
        <f ca="1">+WORLDCUP!BD64</f>
        <v>Bélgica</v>
      </c>
      <c r="E283" s="9" t="str">
        <f ca="1">+WORLDCUP!BD63</f>
        <v>Suecia</v>
      </c>
      <c r="F283" s="9" t="str">
        <f ca="1">+WORLDCUP!BD60</f>
        <v>Escocia</v>
      </c>
      <c r="G283" s="9" t="str">
        <f ca="1">+WORLDCUP!BD58</f>
        <v>República Checa</v>
      </c>
      <c r="H283" s="9" t="str">
        <f ca="1">+WORLDCUP!BD61</f>
        <v>Paraguay</v>
      </c>
      <c r="I283" s="9" t="str">
        <f ca="1">+WORLDCUP!BD69</f>
        <v>Croacia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Cabo Verde</v>
      </c>
      <c r="D284" s="9" t="str">
        <f ca="1">+WORLDCUP!BD64</f>
        <v>Bélgica</v>
      </c>
      <c r="E284" s="9" t="str">
        <f ca="1">+WORLDCUP!BD62</f>
        <v>Ecuador</v>
      </c>
      <c r="F284" s="9" t="str">
        <f ca="1">+WORLDCUP!BD60</f>
        <v>Escocia</v>
      </c>
      <c r="G284" s="9" t="str">
        <f ca="1">+WORLDCUP!BD58</f>
        <v>República Checa</v>
      </c>
      <c r="H284" s="9" t="str">
        <f ca="1">+WORLDCUP!BD63</f>
        <v>Suecia</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Cabo Verde</v>
      </c>
      <c r="D285" s="9" t="str">
        <f ca="1">+WORLDCUP!BD64</f>
        <v>Bélgica</v>
      </c>
      <c r="E285" s="9" t="str">
        <f ca="1">+WORLDCUP!BD67</f>
        <v>Argelia</v>
      </c>
      <c r="F285" s="9" t="str">
        <f ca="1">+WORLDCUP!BD60</f>
        <v>Escocia</v>
      </c>
      <c r="G285" s="9" t="str">
        <f ca="1">+WORLDCUP!BD58</f>
        <v>República Checa</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Cabo Verde</v>
      </c>
      <c r="D286" s="9" t="str">
        <f ca="1">+WORLDCUP!BD64</f>
        <v>Bélgica</v>
      </c>
      <c r="E286" s="9" t="str">
        <f ca="1">+WORLDCUP!BD62</f>
        <v>Ecuador</v>
      </c>
      <c r="F286" s="9" t="str">
        <f ca="1">+WORLDCUP!BD60</f>
        <v>Escocia</v>
      </c>
      <c r="G286" s="9" t="str">
        <f ca="1">+WORLDCUP!BD58</f>
        <v>República Checa</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Cabo Verde</v>
      </c>
      <c r="D287" s="9" t="str">
        <f ca="1">+WORLDCUP!BD67</f>
        <v>Argelia</v>
      </c>
      <c r="E287" s="9" t="str">
        <f ca="1">+WORLDCUP!BD59</f>
        <v>Bosnia y Herzegovina</v>
      </c>
      <c r="F287" s="9" t="str">
        <f ca="1">+WORLDCUP!BD58</f>
        <v>República Checa</v>
      </c>
      <c r="G287" s="9" t="str">
        <f ca="1">+WORLDCUP!BD66</f>
        <v>Senegal</v>
      </c>
      <c r="H287" s="9" t="str">
        <f ca="1">+WORLDCUP!BD64</f>
        <v>Bélgica</v>
      </c>
      <c r="I287" s="9" t="str">
        <f ca="1">+WORLDCUP!BD69</f>
        <v>Croacia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Cabo Verde</v>
      </c>
      <c r="D288" s="9" t="str">
        <f ca="1">+WORLDCUP!BD67</f>
        <v>Argelia</v>
      </c>
      <c r="E288" s="9" t="str">
        <f ca="1">+WORLDCUP!BD59</f>
        <v>Bosnia y Herzegovina</v>
      </c>
      <c r="F288" s="9" t="str">
        <f ca="1">+WORLDCUP!BD58</f>
        <v>República Checa</v>
      </c>
      <c r="G288" s="9" t="str">
        <f ca="1">+WORLDCUP!BD66</f>
        <v>Senegal</v>
      </c>
      <c r="H288" s="9" t="str">
        <f ca="1">+WORLDCUP!BD63</f>
        <v>Suecia</v>
      </c>
      <c r="I288" s="9" t="str">
        <f ca="1">+WORLDCUP!BD69</f>
        <v>Croacia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República Checa</v>
      </c>
      <c r="H289" s="9" t="str">
        <f ca="1">+WORLDCUP!BD64</f>
        <v>Bélgica</v>
      </c>
      <c r="I289" s="9" t="str">
        <f ca="1">+WORLDCUP!BD69</f>
        <v>Croacia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Cabo Verde</v>
      </c>
      <c r="D290" s="9" t="str">
        <f ca="1">+WORLDCUP!BD67</f>
        <v>Argelia</v>
      </c>
      <c r="E290" s="9" t="str">
        <f ca="1">+WORLDCUP!BD59</f>
        <v>Bosnia y Herzegovina</v>
      </c>
      <c r="F290" s="9" t="str">
        <f ca="1">+WORLDCUP!BD63</f>
        <v>Suecia</v>
      </c>
      <c r="G290" s="9" t="str">
        <f ca="1">+WORLDCUP!BD58</f>
        <v>República Checa</v>
      </c>
      <c r="H290" s="9" t="str">
        <f ca="1">+WORLDCUP!BD64</f>
        <v>Bélgica</v>
      </c>
      <c r="I290" s="9" t="str">
        <f ca="1">+WORLDCUP!BD69</f>
        <v>Croacia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Cabo Verde</v>
      </c>
      <c r="D291" s="9" t="str">
        <f ca="1">+WORLDCUP!BD64</f>
        <v>Bélgica</v>
      </c>
      <c r="E291" s="9" t="str">
        <f ca="1">+WORLDCUP!BD59</f>
        <v>Bosnia y Herzegovina</v>
      </c>
      <c r="F291" s="9" t="str">
        <f ca="1">+WORLDCUP!BD58</f>
        <v>República Checa</v>
      </c>
      <c r="G291" s="9" t="str">
        <f ca="1">+WORLDCUP!BD66</f>
        <v>Senegal</v>
      </c>
      <c r="H291" s="9" t="str">
        <f ca="1">+WORLDCUP!BD63</f>
        <v>Suecia</v>
      </c>
      <c r="I291" s="9" t="str">
        <f ca="1">+WORLDCUP!BD69</f>
        <v>Croacia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Cabo Verde</v>
      </c>
      <c r="D292" s="9" t="str">
        <f ca="1">+WORLDCUP!BD67</f>
        <v>Argelia</v>
      </c>
      <c r="E292" s="9" t="str">
        <f ca="1">+WORLDCUP!BD59</f>
        <v>Bosnia y Herzegovina</v>
      </c>
      <c r="F292" s="9" t="str">
        <f ca="1">+WORLDCUP!BD63</f>
        <v>Suecia</v>
      </c>
      <c r="G292" s="9" t="str">
        <f ca="1">+WORLDCUP!BD58</f>
        <v>República Checa</v>
      </c>
      <c r="H292" s="9" t="str">
        <f ca="1">+WORLDCUP!BD64</f>
        <v>Bélgica</v>
      </c>
      <c r="I292" s="9" t="str">
        <f ca="1">+WORLDCUP!BD69</f>
        <v>Croacia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Cabo Verde</v>
      </c>
      <c r="D293" s="9" t="str">
        <f ca="1">+WORLDCUP!BD67</f>
        <v>Argelia</v>
      </c>
      <c r="E293" s="9" t="str">
        <f ca="1">+WORLDCUP!BD59</f>
        <v>Bosnia y Herzegovina</v>
      </c>
      <c r="F293" s="9" t="str">
        <f ca="1">+WORLDCUP!BD63</f>
        <v>Suecia</v>
      </c>
      <c r="G293" s="9" t="str">
        <f ca="1">+WORLDCUP!BD58</f>
        <v>República Checa</v>
      </c>
      <c r="H293" s="9" t="str">
        <f ca="1">+WORLDCUP!BD64</f>
        <v>Bélgica</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Argelia</v>
      </c>
      <c r="E294" s="9" t="str">
        <f ca="1">+WORLDCUP!BD59</f>
        <v>Bosnia y Herzegovina</v>
      </c>
      <c r="F294" s="9" t="str">
        <f ca="1">+WORLDCUP!BD58</f>
        <v>República Checa</v>
      </c>
      <c r="G294" s="9" t="str">
        <f ca="1">+WORLDCUP!BD66</f>
        <v>Senegal</v>
      </c>
      <c r="H294" s="9" t="str">
        <f ca="1">+WORLDCUP!BD65</f>
        <v>Cabo Verde</v>
      </c>
      <c r="I294" s="9" t="str">
        <f ca="1">+WORLDCUP!BD69</f>
        <v>Croacia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Argelia</v>
      </c>
      <c r="E295" s="9" t="str">
        <f ca="1">+WORLDCUP!BD59</f>
        <v>Bosnia y Herzegovina</v>
      </c>
      <c r="F295" s="9" t="str">
        <f ca="1">+WORLDCUP!BD58</f>
        <v>República Checa</v>
      </c>
      <c r="G295" s="9" t="str">
        <f ca="1">+WORLDCUP!BD66</f>
        <v>Senegal</v>
      </c>
      <c r="H295" s="9" t="str">
        <f ca="1">+WORLDCUP!BD64</f>
        <v>Bélgica</v>
      </c>
      <c r="I295" s="9" t="str">
        <f ca="1">+WORLDCUP!BD69</f>
        <v>Croacia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Argelia</v>
      </c>
      <c r="E296" s="9" t="str">
        <f ca="1">+WORLDCUP!BD59</f>
        <v>Bosnia y Herzegovina</v>
      </c>
      <c r="F296" s="9" t="str">
        <f ca="1">+WORLDCUP!BD58</f>
        <v>República Checa</v>
      </c>
      <c r="G296" s="9" t="str">
        <f ca="1">+WORLDCUP!BD65</f>
        <v>Cabo Verde</v>
      </c>
      <c r="H296" s="9" t="str">
        <f ca="1">+WORLDCUP!BD64</f>
        <v>Bélgica</v>
      </c>
      <c r="I296" s="9" t="str">
        <f ca="1">+WORLDCUP!BD69</f>
        <v>Croacia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Bélgica</v>
      </c>
      <c r="E297" s="9" t="str">
        <f ca="1">+WORLDCUP!BD59</f>
        <v>Bosnia y Herzegovina</v>
      </c>
      <c r="F297" s="9" t="str">
        <f ca="1">+WORLDCUP!BD58</f>
        <v>República Checa</v>
      </c>
      <c r="G297" s="9" t="str">
        <f ca="1">+WORLDCUP!BD66</f>
        <v>Senegal</v>
      </c>
      <c r="H297" s="9" t="str">
        <f ca="1">+WORLDCUP!BD65</f>
        <v>Cabo Verde</v>
      </c>
      <c r="I297" s="9" t="str">
        <f ca="1">+WORLDCUP!BD69</f>
        <v>Croacia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Argelia</v>
      </c>
      <c r="E298" s="9" t="str">
        <f ca="1">+WORLDCUP!BD59</f>
        <v>Bosnia y Herzegovina</v>
      </c>
      <c r="F298" s="9" t="str">
        <f ca="1">+WORLDCUP!BD58</f>
        <v>República Checa</v>
      </c>
      <c r="G298" s="9" t="str">
        <f ca="1">+WORLDCUP!BD65</f>
        <v>Cabo Verde</v>
      </c>
      <c r="H298" s="9" t="str">
        <f ca="1">+WORLDCUP!BD64</f>
        <v>Bélgica</v>
      </c>
      <c r="I298" s="9" t="str">
        <f ca="1">+WORLDCUP!BD69</f>
        <v>Croacia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Argelia</v>
      </c>
      <c r="E299" s="9" t="str">
        <f ca="1">+WORLDCUP!BD59</f>
        <v>Bosnia y Herzegovina</v>
      </c>
      <c r="F299" s="9" t="str">
        <f ca="1">+WORLDCUP!BD58</f>
        <v>República Checa</v>
      </c>
      <c r="G299" s="9" t="str">
        <f ca="1">+WORLDCUP!BD65</f>
        <v>Cabo Verde</v>
      </c>
      <c r="H299" s="9" t="str">
        <f ca="1">+WORLDCUP!BD64</f>
        <v>Bélgica</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Argelia</v>
      </c>
      <c r="E300" s="9" t="str">
        <f ca="1">+WORLDCUP!BD59</f>
        <v>Bosnia y Herzegovina</v>
      </c>
      <c r="F300" s="9" t="str">
        <f ca="1">+WORLDCUP!BD58</f>
        <v>República Checa</v>
      </c>
      <c r="G300" s="9" t="str">
        <f ca="1">+WORLDCUP!BD66</f>
        <v>Senegal</v>
      </c>
      <c r="H300" s="9" t="str">
        <f ca="1">+WORLDCUP!BD63</f>
        <v>Suecia</v>
      </c>
      <c r="I300" s="9" t="str">
        <f ca="1">+WORLDCUP!BD69</f>
        <v>Croacia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República Checa</v>
      </c>
      <c r="H301" s="9" t="str">
        <f ca="1">+WORLDCUP!BD65</f>
        <v>Cabo Verde</v>
      </c>
      <c r="I301" s="9" t="str">
        <f ca="1">+WORLDCUP!BD69</f>
        <v>Croacia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República Checa</v>
      </c>
      <c r="H302" s="9" t="str">
        <f ca="1">+WORLDCUP!BD65</f>
        <v>Cabo Verde</v>
      </c>
      <c r="I302" s="9" t="str">
        <f ca="1">+WORLDCUP!BD69</f>
        <v>Croacia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República Checa</v>
      </c>
      <c r="H303" s="9" t="str">
        <f ca="1">+WORLDCUP!BD65</f>
        <v>Cabo Verde</v>
      </c>
      <c r="I303" s="9" t="str">
        <f ca="1">+WORLDCUP!BD69</f>
        <v>Croacia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República Checa</v>
      </c>
      <c r="H304" s="9" t="str">
        <f ca="1">+WORLDCUP!BD65</f>
        <v>Cabo Verde</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República Checa</v>
      </c>
      <c r="H305" s="9" t="str">
        <f ca="1">+WORLDCUP!BD64</f>
        <v>Bélgica</v>
      </c>
      <c r="I305" s="9" t="str">
        <f ca="1">+WORLDCUP!BD69</f>
        <v>Croacia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Bélgica</v>
      </c>
      <c r="E306" s="9" t="str">
        <f ca="1">+WORLDCUP!BD59</f>
        <v>Bosnia y Herzegovina</v>
      </c>
      <c r="F306" s="9" t="str">
        <f ca="1">+WORLDCUP!BD58</f>
        <v>República Checa</v>
      </c>
      <c r="G306" s="9" t="str">
        <f ca="1">+WORLDCUP!BD66</f>
        <v>Senegal</v>
      </c>
      <c r="H306" s="9" t="str">
        <f ca="1">+WORLDCUP!BD63</f>
        <v>Suecia</v>
      </c>
      <c r="I306" s="9" t="str">
        <f ca="1">+WORLDCUP!BD69</f>
        <v>Croacia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República Checa</v>
      </c>
      <c r="H307" s="9" t="str">
        <f ca="1">+WORLDCUP!BD64</f>
        <v>Bélgica</v>
      </c>
      <c r="I307" s="9" t="str">
        <f ca="1">+WORLDCUP!BD69</f>
        <v>Croacia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República Checa</v>
      </c>
      <c r="H308" s="9" t="str">
        <f ca="1">+WORLDCUP!BD64</f>
        <v>Bélgica</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Bélgica</v>
      </c>
      <c r="E309" s="9" t="str">
        <f ca="1">+WORLDCUP!BD59</f>
        <v>Bosnia y Herzegovina</v>
      </c>
      <c r="F309" s="9" t="str">
        <f ca="1">+WORLDCUP!BD63</f>
        <v>Suecia</v>
      </c>
      <c r="G309" s="9" t="str">
        <f ca="1">+WORLDCUP!BD58</f>
        <v>República Checa</v>
      </c>
      <c r="H309" s="9" t="str">
        <f ca="1">+WORLDCUP!BD65</f>
        <v>Cabo Verde</v>
      </c>
      <c r="I309" s="9" t="str">
        <f ca="1">+WORLDCUP!BD69</f>
        <v>Croacia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Cabo Verde</v>
      </c>
      <c r="D310" s="9" t="str">
        <f ca="1">+WORLDCUP!BD67</f>
        <v>Argelia</v>
      </c>
      <c r="E310" s="9" t="str">
        <f ca="1">+WORLDCUP!BD59</f>
        <v>Bosnia y Herzegovina</v>
      </c>
      <c r="F310" s="9" t="str">
        <f ca="1">+WORLDCUP!BD63</f>
        <v>Suecia</v>
      </c>
      <c r="G310" s="9" t="str">
        <f ca="1">+WORLDCUP!BD58</f>
        <v>República Checa</v>
      </c>
      <c r="H310" s="9" t="str">
        <f ca="1">+WORLDCUP!BD64</f>
        <v>Bélgica</v>
      </c>
      <c r="I310" s="9" t="str">
        <f ca="1">+WORLDCUP!BD69</f>
        <v>Croacia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Cabo Verde</v>
      </c>
      <c r="D311" s="9" t="str">
        <f ca="1">+WORLDCUP!BD67</f>
        <v>Argelia</v>
      </c>
      <c r="E311" s="9" t="str">
        <f ca="1">+WORLDCUP!BD59</f>
        <v>Bosnia y Herzegovina</v>
      </c>
      <c r="F311" s="9" t="str">
        <f ca="1">+WORLDCUP!BD63</f>
        <v>Suecia</v>
      </c>
      <c r="G311" s="9" t="str">
        <f ca="1">+WORLDCUP!BD58</f>
        <v>República Checa</v>
      </c>
      <c r="H311" s="9" t="str">
        <f ca="1">+WORLDCUP!BD64</f>
        <v>Bélgica</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Bélgica</v>
      </c>
      <c r="E312" s="9" t="str">
        <f ca="1">+WORLDCUP!BD59</f>
        <v>Bosnia y Herzegovina</v>
      </c>
      <c r="F312" s="9" t="str">
        <f ca="1">+WORLDCUP!BD63</f>
        <v>Suecia</v>
      </c>
      <c r="G312" s="9" t="str">
        <f ca="1">+WORLDCUP!BD58</f>
        <v>República Checa</v>
      </c>
      <c r="H312" s="9" t="str">
        <f ca="1">+WORLDCUP!BD65</f>
        <v>Cabo Verde</v>
      </c>
      <c r="I312" s="9" t="str">
        <f ca="1">+WORLDCUP!BD69</f>
        <v>Croacia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Bélgica</v>
      </c>
      <c r="E313" s="9" t="str">
        <f ca="1">+WORLDCUP!BD59</f>
        <v>Bosnia y Herzegovina</v>
      </c>
      <c r="F313" s="9" t="str">
        <f ca="1">+WORLDCUP!BD63</f>
        <v>Suecia</v>
      </c>
      <c r="G313" s="9" t="str">
        <f ca="1">+WORLDCUP!BD58</f>
        <v>República Checa</v>
      </c>
      <c r="H313" s="9" t="str">
        <f ca="1">+WORLDCUP!BD65</f>
        <v>Cabo Verde</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Cabo Verde</v>
      </c>
      <c r="D314" s="9" t="str">
        <f ca="1">+WORLDCUP!BD67</f>
        <v>Argelia</v>
      </c>
      <c r="E314" s="9" t="str">
        <f ca="1">+WORLDCUP!BD59</f>
        <v>Bosnia y Herzegovina</v>
      </c>
      <c r="F314" s="9" t="str">
        <f ca="1">+WORLDCUP!BD63</f>
        <v>Suecia</v>
      </c>
      <c r="G314" s="9" t="str">
        <f ca="1">+WORLDCUP!BD58</f>
        <v>República Checa</v>
      </c>
      <c r="H314" s="9" t="str">
        <f ca="1">+WORLDCUP!BD64</f>
        <v>Bélgica</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República Checa</v>
      </c>
      <c r="H315" s="9" t="str">
        <f ca="1">+WORLDCUP!BD65</f>
        <v>Cabo Verde</v>
      </c>
      <c r="I315" s="9" t="str">
        <f ca="1">+WORLDCUP!BD69</f>
        <v>Croacia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República Checa</v>
      </c>
      <c r="H316" s="9" t="str">
        <f ca="1">+WORLDCUP!BD64</f>
        <v>Bélgica</v>
      </c>
      <c r="I316" s="9" t="str">
        <f ca="1">+WORLDCUP!BD69</f>
        <v>Croacia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Cabo Verde</v>
      </c>
      <c r="D317" s="9" t="str">
        <f ca="1">+WORLDCUP!BD67</f>
        <v>Argelia</v>
      </c>
      <c r="E317" s="9" t="str">
        <f ca="1">+WORLDCUP!BD59</f>
        <v>Bosnia y Herzegovina</v>
      </c>
      <c r="F317" s="9" t="str">
        <f ca="1">+WORLDCUP!BD61</f>
        <v>Paraguay</v>
      </c>
      <c r="G317" s="9" t="str">
        <f ca="1">+WORLDCUP!BD58</f>
        <v>República Checa</v>
      </c>
      <c r="H317" s="9" t="str">
        <f ca="1">+WORLDCUP!BD64</f>
        <v>Bélgica</v>
      </c>
      <c r="I317" s="9" t="str">
        <f ca="1">+WORLDCUP!BD69</f>
        <v>Croacia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Bélgica</v>
      </c>
      <c r="E318" s="9" t="str">
        <f ca="1">+WORLDCUP!BD59</f>
        <v>Bosnia y Herzegovina</v>
      </c>
      <c r="F318" s="9" t="str">
        <f ca="1">+WORLDCUP!BD61</f>
        <v>Paraguay</v>
      </c>
      <c r="G318" s="9" t="str">
        <f ca="1">+WORLDCUP!BD58</f>
        <v>República Checa</v>
      </c>
      <c r="H318" s="9" t="str">
        <f ca="1">+WORLDCUP!BD65</f>
        <v>Cabo Verde</v>
      </c>
      <c r="I318" s="9" t="str">
        <f ca="1">+WORLDCUP!BD69</f>
        <v>Croacia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Cabo Verde</v>
      </c>
      <c r="D319" s="9" t="str">
        <f ca="1">+WORLDCUP!BD67</f>
        <v>Argelia</v>
      </c>
      <c r="E319" s="9" t="str">
        <f ca="1">+WORLDCUP!BD59</f>
        <v>Bosnia y Herzegovina</v>
      </c>
      <c r="F319" s="9" t="str">
        <f ca="1">+WORLDCUP!BD61</f>
        <v>Paraguay</v>
      </c>
      <c r="G319" s="9" t="str">
        <f ca="1">+WORLDCUP!BD58</f>
        <v>República Checa</v>
      </c>
      <c r="H319" s="9" t="str">
        <f ca="1">+WORLDCUP!BD64</f>
        <v>Bélgica</v>
      </c>
      <c r="I319" s="9" t="str">
        <f ca="1">+WORLDCUP!BD69</f>
        <v>Croacia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Cabo Verde</v>
      </c>
      <c r="D320" s="9" t="str">
        <f ca="1">+WORLDCUP!BD67</f>
        <v>Argelia</v>
      </c>
      <c r="E320" s="9" t="str">
        <f ca="1">+WORLDCUP!BD59</f>
        <v>Bosnia y Herzegovina</v>
      </c>
      <c r="F320" s="9" t="str">
        <f ca="1">+WORLDCUP!BD61</f>
        <v>Paraguay</v>
      </c>
      <c r="G320" s="9" t="str">
        <f ca="1">+WORLDCUP!BD58</f>
        <v>República Checa</v>
      </c>
      <c r="H320" s="9" t="str">
        <f ca="1">+WORLDCUP!BD64</f>
        <v>Bélgica</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República Checa</v>
      </c>
      <c r="H321" s="9" t="str">
        <f ca="1">+WORLDCUP!BD63</f>
        <v>Suecia</v>
      </c>
      <c r="I321" s="9" t="str">
        <f ca="1">+WORLDCUP!BD69</f>
        <v>Croacia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Cabo Verde</v>
      </c>
      <c r="D322" s="9" t="str">
        <f ca="1">+WORLDCUP!BD67</f>
        <v>Argelia</v>
      </c>
      <c r="E322" s="9" t="str">
        <f ca="1">+WORLDCUP!BD59</f>
        <v>Bosnia y Herzegovina</v>
      </c>
      <c r="F322" s="9" t="str">
        <f ca="1">+WORLDCUP!BD61</f>
        <v>Paraguay</v>
      </c>
      <c r="G322" s="9" t="str">
        <f ca="1">+WORLDCUP!BD58</f>
        <v>República Checa</v>
      </c>
      <c r="H322" s="9" t="str">
        <f ca="1">+WORLDCUP!BD63</f>
        <v>Suecia</v>
      </c>
      <c r="I322" s="9" t="str">
        <f ca="1">+WORLDCUP!BD69</f>
        <v>Croacia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Cabo Verde</v>
      </c>
      <c r="D323" s="9" t="str">
        <f ca="1">+WORLDCUP!BD66</f>
        <v>Senegal</v>
      </c>
      <c r="E323" s="9" t="str">
        <f ca="1">+WORLDCUP!BD59</f>
        <v>Bosnia y Herzegovina</v>
      </c>
      <c r="F323" s="9" t="str">
        <f ca="1">+WORLDCUP!BD61</f>
        <v>Paraguay</v>
      </c>
      <c r="G323" s="9" t="str">
        <f ca="1">+WORLDCUP!BD58</f>
        <v>República Checa</v>
      </c>
      <c r="H323" s="9" t="str">
        <f ca="1">+WORLDCUP!BD63</f>
        <v>Suecia</v>
      </c>
      <c r="I323" s="9" t="str">
        <f ca="1">+WORLDCUP!BD69</f>
        <v>Croacia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Cabo Verde</v>
      </c>
      <c r="D324" s="9" t="str">
        <f ca="1">+WORLDCUP!BD67</f>
        <v>Argelia</v>
      </c>
      <c r="E324" s="9" t="str">
        <f ca="1">+WORLDCUP!BD59</f>
        <v>Bosnia y Herzegovina</v>
      </c>
      <c r="F324" s="9" t="str">
        <f ca="1">+WORLDCUP!BD61</f>
        <v>Paraguay</v>
      </c>
      <c r="G324" s="9" t="str">
        <f ca="1">+WORLDCUP!BD58</f>
        <v>República Checa</v>
      </c>
      <c r="H324" s="9" t="str">
        <f ca="1">+WORLDCUP!BD63</f>
        <v>Suecia</v>
      </c>
      <c r="I324" s="9" t="str">
        <f ca="1">+WORLDCUP!BD69</f>
        <v>Croacia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Cabo Verde</v>
      </c>
      <c r="D325" s="9" t="str">
        <f ca="1">+WORLDCUP!BD67</f>
        <v>Argelia</v>
      </c>
      <c r="E325" s="9" t="str">
        <f ca="1">+WORLDCUP!BD59</f>
        <v>Bosnia y Herzegovina</v>
      </c>
      <c r="F325" s="9" t="str">
        <f ca="1">+WORLDCUP!BD61</f>
        <v>Paraguay</v>
      </c>
      <c r="G325" s="9" t="str">
        <f ca="1">+WORLDCUP!BD58</f>
        <v>República Checa</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República Checa</v>
      </c>
      <c r="H326" s="9" t="str">
        <f ca="1">+WORLDCUP!BD64</f>
        <v>Bélgica</v>
      </c>
      <c r="I326" s="9" t="str">
        <f ca="1">+WORLDCUP!BD69</f>
        <v>Croacia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Bélgica</v>
      </c>
      <c r="E327" s="9" t="str">
        <f ca="1">+WORLDCUP!BD59</f>
        <v>Bosnia y Herzegovina</v>
      </c>
      <c r="F327" s="9" t="str">
        <f ca="1">+WORLDCUP!BD61</f>
        <v>Paraguay</v>
      </c>
      <c r="G327" s="9" t="str">
        <f ca="1">+WORLDCUP!BD58</f>
        <v>República Checa</v>
      </c>
      <c r="H327" s="9" t="str">
        <f ca="1">+WORLDCUP!BD63</f>
        <v>Suecia</v>
      </c>
      <c r="I327" s="9" t="str">
        <f ca="1">+WORLDCUP!BD69</f>
        <v>Croacia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República Checa</v>
      </c>
      <c r="H328" s="9" t="str">
        <f ca="1">+WORLDCUP!BD64</f>
        <v>Bélgica</v>
      </c>
      <c r="I328" s="9" t="str">
        <f ca="1">+WORLDCUP!BD69</f>
        <v>Croacia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República Checa</v>
      </c>
      <c r="H329" s="9" t="str">
        <f ca="1">+WORLDCUP!BD64</f>
        <v>Bélgica</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Cabo Verde</v>
      </c>
      <c r="D330" s="9" t="str">
        <f ca="1">+WORLDCUP!BD64</f>
        <v>Bélgica</v>
      </c>
      <c r="E330" s="9" t="str">
        <f ca="1">+WORLDCUP!BD59</f>
        <v>Bosnia y Herzegovina</v>
      </c>
      <c r="F330" s="9" t="str">
        <f ca="1">+WORLDCUP!BD61</f>
        <v>Paraguay</v>
      </c>
      <c r="G330" s="9" t="str">
        <f ca="1">+WORLDCUP!BD58</f>
        <v>República Checa</v>
      </c>
      <c r="H330" s="9" t="str">
        <f ca="1">+WORLDCUP!BD63</f>
        <v>Suecia</v>
      </c>
      <c r="I330" s="9" t="str">
        <f ca="1">+WORLDCUP!BD69</f>
        <v>Croacia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Cabo Verde</v>
      </c>
      <c r="D331" s="9" t="str">
        <f ca="1">+WORLDCUP!BD64</f>
        <v>Bélgica</v>
      </c>
      <c r="E331" s="9" t="str">
        <f ca="1">+WORLDCUP!BD59</f>
        <v>Bosnia y Herzegovina</v>
      </c>
      <c r="F331" s="9" t="str">
        <f ca="1">+WORLDCUP!BD61</f>
        <v>Paraguay</v>
      </c>
      <c r="G331" s="9" t="str">
        <f ca="1">+WORLDCUP!BD58</f>
        <v>República Checa</v>
      </c>
      <c r="H331" s="9" t="str">
        <f ca="1">+WORLDCUP!BD63</f>
        <v>Suecia</v>
      </c>
      <c r="I331" s="9" t="str">
        <f ca="1">+WORLDCUP!BD69</f>
        <v>Croacia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Cabo Verde</v>
      </c>
      <c r="D332" s="9" t="str">
        <f ca="1">+WORLDCUP!BD64</f>
        <v>Bélgica</v>
      </c>
      <c r="E332" s="9" t="str">
        <f ca="1">+WORLDCUP!BD59</f>
        <v>Bosnia y Herzegovina</v>
      </c>
      <c r="F332" s="9" t="str">
        <f ca="1">+WORLDCUP!BD61</f>
        <v>Paraguay</v>
      </c>
      <c r="G332" s="9" t="str">
        <f ca="1">+WORLDCUP!BD58</f>
        <v>República Checa</v>
      </c>
      <c r="H332" s="9" t="str">
        <f ca="1">+WORLDCUP!BD63</f>
        <v>Suecia</v>
      </c>
      <c r="I332" s="9" t="str">
        <f ca="1">+WORLDCUP!BD67</f>
        <v>Argelia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Cabo Verde</v>
      </c>
      <c r="D333" s="9" t="str">
        <f ca="1">+WORLDCUP!BD64</f>
        <v>Bélgica</v>
      </c>
      <c r="E333" s="9" t="str">
        <f ca="1">+WORLDCUP!BD59</f>
        <v>Bosnia y Herzegovina</v>
      </c>
      <c r="F333" s="9" t="str">
        <f ca="1">+WORLDCUP!BD61</f>
        <v>Paraguay</v>
      </c>
      <c r="G333" s="9" t="str">
        <f ca="1">+WORLDCUP!BD58</f>
        <v>República Checa</v>
      </c>
      <c r="H333" s="9" t="str">
        <f ca="1">+WORLDCUP!BD63</f>
        <v>Suecia</v>
      </c>
      <c r="I333" s="9" t="str">
        <f ca="1">+WORLDCUP!BD69</f>
        <v>Croacia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Cabo Verde</v>
      </c>
      <c r="D334" s="9" t="str">
        <f ca="1">+WORLDCUP!BD64</f>
        <v>Bélgica</v>
      </c>
      <c r="E334" s="9" t="str">
        <f ca="1">+WORLDCUP!BD59</f>
        <v>Bosnia y Herzegovina</v>
      </c>
      <c r="F334" s="9" t="str">
        <f ca="1">+WORLDCUP!BD61</f>
        <v>Paraguay</v>
      </c>
      <c r="G334" s="9" t="str">
        <f ca="1">+WORLDCUP!BD58</f>
        <v>República Checa</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Cabo Verde</v>
      </c>
      <c r="D335" s="9" t="str">
        <f ca="1">+WORLDCUP!BD64</f>
        <v>Bélgica</v>
      </c>
      <c r="E335" s="9" t="str">
        <f ca="1">+WORLDCUP!BD59</f>
        <v>Bosnia y Herzegovina</v>
      </c>
      <c r="F335" s="9" t="str">
        <f ca="1">+WORLDCUP!BD61</f>
        <v>Paraguay</v>
      </c>
      <c r="G335" s="9" t="str">
        <f ca="1">+WORLDCUP!BD58</f>
        <v>República Checa</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Argelia</v>
      </c>
      <c r="E336" s="9" t="str">
        <f ca="1">+WORLDCUP!BD59</f>
        <v>Bosnia y Herzegovina</v>
      </c>
      <c r="F336" s="9" t="str">
        <f ca="1">+WORLDCUP!BD58</f>
        <v>República Checa</v>
      </c>
      <c r="G336" s="9" t="str">
        <f ca="1">+WORLDCUP!BD66</f>
        <v>Senegal</v>
      </c>
      <c r="H336" s="9" t="str">
        <f ca="1">+WORLDCUP!BD61</f>
        <v>Paraguay</v>
      </c>
      <c r="I336" s="9" t="str">
        <f ca="1">+WORLDCUP!BD69</f>
        <v>Croacia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República Checa</v>
      </c>
      <c r="H337" s="9" t="str">
        <f ca="1">+WORLDCUP!BD65</f>
        <v>Cabo Verde</v>
      </c>
      <c r="I337" s="9" t="str">
        <f ca="1">+WORLDCUP!BD69</f>
        <v>Croacia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República Checa</v>
      </c>
      <c r="H338" s="9" t="str">
        <f ca="1">+WORLDCUP!BD65</f>
        <v>Cabo Verde</v>
      </c>
      <c r="I338" s="9" t="str">
        <f ca="1">+WORLDCUP!BD69</f>
        <v>Croacia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República Checa</v>
      </c>
      <c r="H339" s="9" t="str">
        <f ca="1">+WORLDCUP!BD65</f>
        <v>Cabo Verde</v>
      </c>
      <c r="I339" s="9" t="str">
        <f ca="1">+WORLDCUP!BD69</f>
        <v>Croacia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República Checa</v>
      </c>
      <c r="H340" s="9" t="str">
        <f ca="1">+WORLDCUP!BD65</f>
        <v>Cabo Verde</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República Checa</v>
      </c>
      <c r="H341" s="9" t="str">
        <f ca="1">+WORLDCUP!BD64</f>
        <v>Bélgica</v>
      </c>
      <c r="I341" s="9" t="str">
        <f ca="1">+WORLDCUP!BD69</f>
        <v>Croacia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Bélgica</v>
      </c>
      <c r="E342" s="9" t="str">
        <f ca="1">+WORLDCUP!BD59</f>
        <v>Bosnia y Herzegovina</v>
      </c>
      <c r="F342" s="9" t="str">
        <f ca="1">+WORLDCUP!BD58</f>
        <v>República Checa</v>
      </c>
      <c r="G342" s="9" t="str">
        <f ca="1">+WORLDCUP!BD66</f>
        <v>Senegal</v>
      </c>
      <c r="H342" s="9" t="str">
        <f ca="1">+WORLDCUP!BD61</f>
        <v>Paraguay</v>
      </c>
      <c r="I342" s="9" t="str">
        <f ca="1">+WORLDCUP!BD69</f>
        <v>Croacia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República Checa</v>
      </c>
      <c r="H343" s="9" t="str">
        <f ca="1">+WORLDCUP!BD64</f>
        <v>Bélgica</v>
      </c>
      <c r="I343" s="9" t="str">
        <f ca="1">+WORLDCUP!BD69</f>
        <v>Croacia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República Checa</v>
      </c>
      <c r="H344" s="9" t="str">
        <f ca="1">+WORLDCUP!BD64</f>
        <v>Bélgica</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Bélgica</v>
      </c>
      <c r="E345" s="9" t="str">
        <f ca="1">+WORLDCUP!BD59</f>
        <v>Bosnia y Herzegovina</v>
      </c>
      <c r="F345" s="9" t="str">
        <f ca="1">+WORLDCUP!BD61</f>
        <v>Paraguay</v>
      </c>
      <c r="G345" s="9" t="str">
        <f ca="1">+WORLDCUP!BD58</f>
        <v>República Checa</v>
      </c>
      <c r="H345" s="9" t="str">
        <f ca="1">+WORLDCUP!BD65</f>
        <v>Cabo Verde</v>
      </c>
      <c r="I345" s="9" t="str">
        <f ca="1">+WORLDCUP!BD69</f>
        <v>Croacia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Cabo Verde</v>
      </c>
      <c r="D346" s="9" t="str">
        <f ca="1">+WORLDCUP!BD67</f>
        <v>Argelia</v>
      </c>
      <c r="E346" s="9" t="str">
        <f ca="1">+WORLDCUP!BD59</f>
        <v>Bosnia y Herzegovina</v>
      </c>
      <c r="F346" s="9" t="str">
        <f ca="1">+WORLDCUP!BD61</f>
        <v>Paraguay</v>
      </c>
      <c r="G346" s="9" t="str">
        <f ca="1">+WORLDCUP!BD58</f>
        <v>República Checa</v>
      </c>
      <c r="H346" s="9" t="str">
        <f ca="1">+WORLDCUP!BD64</f>
        <v>Bélgica</v>
      </c>
      <c r="I346" s="9" t="str">
        <f ca="1">+WORLDCUP!BD69</f>
        <v>Croacia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Cabo Verde</v>
      </c>
      <c r="D347" s="9" t="str">
        <f ca="1">+WORLDCUP!BD67</f>
        <v>Argelia</v>
      </c>
      <c r="E347" s="9" t="str">
        <f ca="1">+WORLDCUP!BD59</f>
        <v>Bosnia y Herzegovina</v>
      </c>
      <c r="F347" s="9" t="str">
        <f ca="1">+WORLDCUP!BD61</f>
        <v>Paraguay</v>
      </c>
      <c r="G347" s="9" t="str">
        <f ca="1">+WORLDCUP!BD58</f>
        <v>República Checa</v>
      </c>
      <c r="H347" s="9" t="str">
        <f ca="1">+WORLDCUP!BD64</f>
        <v>Bélgica</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Bélgica</v>
      </c>
      <c r="E348" s="9" t="str">
        <f ca="1">+WORLDCUP!BD59</f>
        <v>Bosnia y Herzegovina</v>
      </c>
      <c r="F348" s="9" t="str">
        <f ca="1">+WORLDCUP!BD61</f>
        <v>Paraguay</v>
      </c>
      <c r="G348" s="9" t="str">
        <f ca="1">+WORLDCUP!BD58</f>
        <v>República Checa</v>
      </c>
      <c r="H348" s="9" t="str">
        <f ca="1">+WORLDCUP!BD65</f>
        <v>Cabo Verde</v>
      </c>
      <c r="I348" s="9" t="str">
        <f ca="1">+WORLDCUP!BD69</f>
        <v>Croacia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Bélgica</v>
      </c>
      <c r="E349" s="9" t="str">
        <f ca="1">+WORLDCUP!BD59</f>
        <v>Bosnia y Herzegovina</v>
      </c>
      <c r="F349" s="9" t="str">
        <f ca="1">+WORLDCUP!BD61</f>
        <v>Paraguay</v>
      </c>
      <c r="G349" s="9" t="str">
        <f ca="1">+WORLDCUP!BD58</f>
        <v>República Checa</v>
      </c>
      <c r="H349" s="9" t="str">
        <f ca="1">+WORLDCUP!BD65</f>
        <v>Cabo Verde</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Cabo Verde</v>
      </c>
      <c r="D350" s="9" t="str">
        <f ca="1">+WORLDCUP!BD67</f>
        <v>Argelia</v>
      </c>
      <c r="E350" s="9" t="str">
        <f ca="1">+WORLDCUP!BD59</f>
        <v>Bosnia y Herzegovina</v>
      </c>
      <c r="F350" s="9" t="str">
        <f ca="1">+WORLDCUP!BD61</f>
        <v>Paraguay</v>
      </c>
      <c r="G350" s="9" t="str">
        <f ca="1">+WORLDCUP!BD58</f>
        <v>República Checa</v>
      </c>
      <c r="H350" s="9" t="str">
        <f ca="1">+WORLDCUP!BD64</f>
        <v>Bélgica</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República Checa</v>
      </c>
      <c r="H351" s="9" t="str">
        <f ca="1">+WORLDCUP!BD63</f>
        <v>Suecia</v>
      </c>
      <c r="I351" s="9" t="str">
        <f ca="1">+WORLDCUP!BD69</f>
        <v>Croacia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República Checa</v>
      </c>
      <c r="H352" s="9" t="str">
        <f ca="1">+WORLDCUP!BD63</f>
        <v>Suecia</v>
      </c>
      <c r="I352" s="9" t="str">
        <f ca="1">+WORLDCUP!BD69</f>
        <v>Croacia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República Checa</v>
      </c>
      <c r="H353" s="9" t="str">
        <f ca="1">+WORLDCUP!BD63</f>
        <v>Suecia</v>
      </c>
      <c r="I353" s="9" t="str">
        <f ca="1">+WORLDCUP!BD69</f>
        <v>Croacia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República Checa</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Cabo Verde</v>
      </c>
      <c r="D355" s="9" t="str">
        <f ca="1">+WORLDCUP!BD62</f>
        <v>Ecuador</v>
      </c>
      <c r="E355" s="9" t="str">
        <f ca="1">+WORLDCUP!BD59</f>
        <v>Bosnia y Herzegovina</v>
      </c>
      <c r="F355" s="9" t="str">
        <f ca="1">+WORLDCUP!BD61</f>
        <v>Paraguay</v>
      </c>
      <c r="G355" s="9" t="str">
        <f ca="1">+WORLDCUP!BD58</f>
        <v>República Checa</v>
      </c>
      <c r="H355" s="9" t="str">
        <f ca="1">+WORLDCUP!BD63</f>
        <v>Suecia</v>
      </c>
      <c r="I355" s="9" t="str">
        <f ca="1">+WORLDCUP!BD69</f>
        <v>Croacia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Cabo Verde</v>
      </c>
      <c r="D356" s="9" t="str">
        <f ca="1">+WORLDCUP!BD67</f>
        <v>Argelia</v>
      </c>
      <c r="E356" s="9" t="str">
        <f ca="1">+WORLDCUP!BD59</f>
        <v>Bosnia y Herzegovina</v>
      </c>
      <c r="F356" s="9" t="str">
        <f ca="1">+WORLDCUP!BD61</f>
        <v>Paraguay</v>
      </c>
      <c r="G356" s="9" t="str">
        <f ca="1">+WORLDCUP!BD58</f>
        <v>República Checa</v>
      </c>
      <c r="H356" s="9" t="str">
        <f ca="1">+WORLDCUP!BD63</f>
        <v>Suecia</v>
      </c>
      <c r="I356" s="9" t="str">
        <f ca="1">+WORLDCUP!BD69</f>
        <v>Croacia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Cabo Verde</v>
      </c>
      <c r="D357" s="9" t="str">
        <f ca="1">+WORLDCUP!BD67</f>
        <v>Argelia</v>
      </c>
      <c r="E357" s="9" t="str">
        <f ca="1">+WORLDCUP!BD59</f>
        <v>Bosnia y Herzegovina</v>
      </c>
      <c r="F357" s="9" t="str">
        <f ca="1">+WORLDCUP!BD61</f>
        <v>Paraguay</v>
      </c>
      <c r="G357" s="9" t="str">
        <f ca="1">+WORLDCUP!BD58</f>
        <v>República Checa</v>
      </c>
      <c r="H357" s="9" t="str">
        <f ca="1">+WORLDCUP!BD63</f>
        <v>Suecia</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Cabo Verde</v>
      </c>
      <c r="D358" s="9" t="str">
        <f ca="1">+WORLDCUP!BD62</f>
        <v>Ecuador</v>
      </c>
      <c r="E358" s="9" t="str">
        <f ca="1">+WORLDCUP!BD59</f>
        <v>Bosnia y Herzegovina</v>
      </c>
      <c r="F358" s="9" t="str">
        <f ca="1">+WORLDCUP!BD61</f>
        <v>Paraguay</v>
      </c>
      <c r="G358" s="9" t="str">
        <f ca="1">+WORLDCUP!BD58</f>
        <v>República Checa</v>
      </c>
      <c r="H358" s="9" t="str">
        <f ca="1">+WORLDCUP!BD63</f>
        <v>Suecia</v>
      </c>
      <c r="I358" s="9" t="str">
        <f ca="1">+WORLDCUP!BD69</f>
        <v>Croacia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Cabo Verde</v>
      </c>
      <c r="D359" s="9" t="str">
        <f ca="1">+WORLDCUP!BD62</f>
        <v>Ecuador</v>
      </c>
      <c r="E359" s="9" t="str">
        <f ca="1">+WORLDCUP!BD59</f>
        <v>Bosnia y Herzegovina</v>
      </c>
      <c r="F359" s="9" t="str">
        <f ca="1">+WORLDCUP!BD61</f>
        <v>Paraguay</v>
      </c>
      <c r="G359" s="9" t="str">
        <f ca="1">+WORLDCUP!BD58</f>
        <v>República Checa</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Cabo Verde</v>
      </c>
      <c r="D360" s="9" t="str">
        <f ca="1">+WORLDCUP!BD67</f>
        <v>Argelia</v>
      </c>
      <c r="E360" s="9" t="str">
        <f ca="1">+WORLDCUP!BD59</f>
        <v>Bosnia y Herzegovina</v>
      </c>
      <c r="F360" s="9" t="str">
        <f ca="1">+WORLDCUP!BD61</f>
        <v>Paraguay</v>
      </c>
      <c r="G360" s="9" t="str">
        <f ca="1">+WORLDCUP!BD58</f>
        <v>República Checa</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Bélgica</v>
      </c>
      <c r="E361" s="9" t="str">
        <f ca="1">+WORLDCUP!BD59</f>
        <v>Bosnia y Herzegovina</v>
      </c>
      <c r="F361" s="9" t="str">
        <f ca="1">+WORLDCUP!BD61</f>
        <v>Paraguay</v>
      </c>
      <c r="G361" s="9" t="str">
        <f ca="1">+WORLDCUP!BD58</f>
        <v>República Checa</v>
      </c>
      <c r="H361" s="9" t="str">
        <f ca="1">+WORLDCUP!BD63</f>
        <v>Suecia</v>
      </c>
      <c r="I361" s="9" t="str">
        <f ca="1">+WORLDCUP!BD69</f>
        <v>Croacia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Bélgica</v>
      </c>
      <c r="E362" s="9" t="str">
        <f ca="1">+WORLDCUP!BD59</f>
        <v>Bosnia y Herzegovina</v>
      </c>
      <c r="F362" s="9" t="str">
        <f ca="1">+WORLDCUP!BD61</f>
        <v>Paraguay</v>
      </c>
      <c r="G362" s="9" t="str">
        <f ca="1">+WORLDCUP!BD58</f>
        <v>República Checa</v>
      </c>
      <c r="H362" s="9" t="str">
        <f ca="1">+WORLDCUP!BD63</f>
        <v>Suecia</v>
      </c>
      <c r="I362" s="9" t="str">
        <f ca="1">+WORLDCUP!BD69</f>
        <v>Croacia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Bélgica</v>
      </c>
      <c r="E363" s="9" t="str">
        <f ca="1">+WORLDCUP!BD59</f>
        <v>Bosnia y Herzegovina</v>
      </c>
      <c r="F363" s="9" t="str">
        <f ca="1">+WORLDCUP!BD61</f>
        <v>Paraguay</v>
      </c>
      <c r="G363" s="9" t="str">
        <f ca="1">+WORLDCUP!BD58</f>
        <v>República Checa</v>
      </c>
      <c r="H363" s="9" t="str">
        <f ca="1">+WORLDCUP!BD63</f>
        <v>Suecia</v>
      </c>
      <c r="I363" s="9" t="str">
        <f ca="1">+WORLDCUP!BD67</f>
        <v>Argelia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Bélgica</v>
      </c>
      <c r="E364" s="9" t="str">
        <f ca="1">+WORLDCUP!BD59</f>
        <v>Bosnia y Herzegovina</v>
      </c>
      <c r="F364" s="9" t="str">
        <f ca="1">+WORLDCUP!BD61</f>
        <v>Paraguay</v>
      </c>
      <c r="G364" s="9" t="str">
        <f ca="1">+WORLDCUP!BD58</f>
        <v>República Checa</v>
      </c>
      <c r="H364" s="9" t="str">
        <f ca="1">+WORLDCUP!BD63</f>
        <v>Suecia</v>
      </c>
      <c r="I364" s="9" t="str">
        <f ca="1">+WORLDCUP!BD69</f>
        <v>Croacia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Bélgica</v>
      </c>
      <c r="E365" s="9" t="str">
        <f ca="1">+WORLDCUP!BD59</f>
        <v>Bosnia y Herzegovina</v>
      </c>
      <c r="F365" s="9" t="str">
        <f ca="1">+WORLDCUP!BD61</f>
        <v>Paraguay</v>
      </c>
      <c r="G365" s="9" t="str">
        <f ca="1">+WORLDCUP!BD58</f>
        <v>República Checa</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Bélgica</v>
      </c>
      <c r="E366" s="9" t="str">
        <f ca="1">+WORLDCUP!BD59</f>
        <v>Bosnia y Herzegovina</v>
      </c>
      <c r="F366" s="9" t="str">
        <f ca="1">+WORLDCUP!BD61</f>
        <v>Paraguay</v>
      </c>
      <c r="G366" s="9" t="str">
        <f ca="1">+WORLDCUP!BD58</f>
        <v>República Checa</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Cabo Verde</v>
      </c>
      <c r="D367" s="9" t="str">
        <f ca="1">+WORLDCUP!BD64</f>
        <v>Bélgica</v>
      </c>
      <c r="E367" s="9" t="str">
        <f ca="1">+WORLDCUP!BD59</f>
        <v>Bosnia y Herzegovina</v>
      </c>
      <c r="F367" s="9" t="str">
        <f ca="1">+WORLDCUP!BD61</f>
        <v>Paraguay</v>
      </c>
      <c r="G367" s="9" t="str">
        <f ca="1">+WORLDCUP!BD58</f>
        <v>República Checa</v>
      </c>
      <c r="H367" s="9" t="str">
        <f ca="1">+WORLDCUP!BD63</f>
        <v>Suecia</v>
      </c>
      <c r="I367" s="9" t="str">
        <f ca="1">+WORLDCUP!BD69</f>
        <v>Croacia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Cabo Verde</v>
      </c>
      <c r="D368" s="9" t="str">
        <f ca="1">+WORLDCUP!BD64</f>
        <v>Bélgica</v>
      </c>
      <c r="E368" s="9" t="str">
        <f ca="1">+WORLDCUP!BD59</f>
        <v>Bosnia y Herzegovina</v>
      </c>
      <c r="F368" s="9" t="str">
        <f ca="1">+WORLDCUP!BD61</f>
        <v>Paraguay</v>
      </c>
      <c r="G368" s="9" t="str">
        <f ca="1">+WORLDCUP!BD58</f>
        <v>República Checa</v>
      </c>
      <c r="H368" s="9" t="str">
        <f ca="1">+WORLDCUP!BD63</f>
        <v>Suecia</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Cabo Verde</v>
      </c>
      <c r="D369" s="9" t="str">
        <f ca="1">+WORLDCUP!BD64</f>
        <v>Bélgica</v>
      </c>
      <c r="E369" s="9" t="str">
        <f ca="1">+WORLDCUP!BD59</f>
        <v>Bosnia y Herzegovina</v>
      </c>
      <c r="F369" s="9" t="str">
        <f ca="1">+WORLDCUP!BD61</f>
        <v>Paraguay</v>
      </c>
      <c r="G369" s="9" t="str">
        <f ca="1">+WORLDCUP!BD58</f>
        <v>República Checa</v>
      </c>
      <c r="H369" s="9" t="str">
        <f ca="1">+WORLDCUP!BD63</f>
        <v>Suecia</v>
      </c>
      <c r="I369" s="9" t="str">
        <f ca="1">+WORLDCUP!BD62</f>
        <v>Ecuador</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Cabo Verde</v>
      </c>
      <c r="D370" s="9" t="str">
        <f ca="1">+WORLDCUP!BD64</f>
        <v>Bélgica</v>
      </c>
      <c r="E370" s="9" t="str">
        <f ca="1">+WORLDCUP!BD59</f>
        <v>Bosnia y Herzegovina</v>
      </c>
      <c r="F370" s="9" t="str">
        <f ca="1">+WORLDCUP!BD61</f>
        <v>Paraguay</v>
      </c>
      <c r="G370" s="9" t="str">
        <f ca="1">+WORLDCUP!BD58</f>
        <v>República Checa</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República Checa</v>
      </c>
      <c r="H371" s="9" t="str">
        <f ca="1">+WORLDCUP!BD65</f>
        <v>Cabo Verde</v>
      </c>
      <c r="I371" s="9" t="str">
        <f ca="1">+WORLDCUP!BD69</f>
        <v>Croacia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República Checa</v>
      </c>
      <c r="H372" s="9" t="str">
        <f ca="1">+WORLDCUP!BD64</f>
        <v>Bélgica</v>
      </c>
      <c r="I372" s="9" t="str">
        <f ca="1">+WORLDCUP!BD69</f>
        <v>Croacia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Cabo Verde</v>
      </c>
      <c r="D373" s="9" t="str">
        <f ca="1">+WORLDCUP!BD67</f>
        <v>Argelia</v>
      </c>
      <c r="E373" s="9" t="str">
        <f ca="1">+WORLDCUP!BD59</f>
        <v>Bosnia y Herzegovina</v>
      </c>
      <c r="F373" s="9" t="str">
        <f ca="1">+WORLDCUP!BD60</f>
        <v>Escocia</v>
      </c>
      <c r="G373" s="9" t="str">
        <f ca="1">+WORLDCUP!BD58</f>
        <v>República Checa</v>
      </c>
      <c r="H373" s="9" t="str">
        <f ca="1">+WORLDCUP!BD64</f>
        <v>Bélgica</v>
      </c>
      <c r="I373" s="9" t="str">
        <f ca="1">+WORLDCUP!BD69</f>
        <v>Croacia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Bélgica</v>
      </c>
      <c r="E374" s="9" t="str">
        <f ca="1">+WORLDCUP!BD59</f>
        <v>Bosnia y Herzegovina</v>
      </c>
      <c r="F374" s="9" t="str">
        <f ca="1">+WORLDCUP!BD60</f>
        <v>Escocia</v>
      </c>
      <c r="G374" s="9" t="str">
        <f ca="1">+WORLDCUP!BD58</f>
        <v>República Checa</v>
      </c>
      <c r="H374" s="9" t="str">
        <f ca="1">+WORLDCUP!BD65</f>
        <v>Cabo Verde</v>
      </c>
      <c r="I374" s="9" t="str">
        <f ca="1">+WORLDCUP!BD69</f>
        <v>Croacia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Cabo Verde</v>
      </c>
      <c r="D375" s="9" t="str">
        <f ca="1">+WORLDCUP!BD67</f>
        <v>Argelia</v>
      </c>
      <c r="E375" s="9" t="str">
        <f ca="1">+WORLDCUP!BD59</f>
        <v>Bosnia y Herzegovina</v>
      </c>
      <c r="F375" s="9" t="str">
        <f ca="1">+WORLDCUP!BD60</f>
        <v>Escocia</v>
      </c>
      <c r="G375" s="9" t="str">
        <f ca="1">+WORLDCUP!BD58</f>
        <v>República Checa</v>
      </c>
      <c r="H375" s="9" t="str">
        <f ca="1">+WORLDCUP!BD64</f>
        <v>Bélgica</v>
      </c>
      <c r="I375" s="9" t="str">
        <f ca="1">+WORLDCUP!BD69</f>
        <v>Croacia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Cabo Verde</v>
      </c>
      <c r="D376" s="9" t="str">
        <f ca="1">+WORLDCUP!BD67</f>
        <v>Argelia</v>
      </c>
      <c r="E376" s="9" t="str">
        <f ca="1">+WORLDCUP!BD59</f>
        <v>Bosnia y Herzegovina</v>
      </c>
      <c r="F376" s="9" t="str">
        <f ca="1">+WORLDCUP!BD60</f>
        <v>Escocia</v>
      </c>
      <c r="G376" s="9" t="str">
        <f ca="1">+WORLDCUP!BD58</f>
        <v>República Checa</v>
      </c>
      <c r="H376" s="9" t="str">
        <f ca="1">+WORLDCUP!BD64</f>
        <v>Bélgica</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República Checa</v>
      </c>
      <c r="H377" s="9" t="str">
        <f ca="1">+WORLDCUP!BD63</f>
        <v>Suecia</v>
      </c>
      <c r="I377" s="9" t="str">
        <f ca="1">+WORLDCUP!BD69</f>
        <v>Croacia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Cabo Verde</v>
      </c>
      <c r="D378" s="9" t="str">
        <f ca="1">+WORLDCUP!BD67</f>
        <v>Argelia</v>
      </c>
      <c r="E378" s="9" t="str">
        <f ca="1">+WORLDCUP!BD59</f>
        <v>Bosnia y Herzegovina</v>
      </c>
      <c r="F378" s="9" t="str">
        <f ca="1">+WORLDCUP!BD60</f>
        <v>Escocia</v>
      </c>
      <c r="G378" s="9" t="str">
        <f ca="1">+WORLDCUP!BD58</f>
        <v>República Checa</v>
      </c>
      <c r="H378" s="9" t="str">
        <f ca="1">+WORLDCUP!BD63</f>
        <v>Suecia</v>
      </c>
      <c r="I378" s="9" t="str">
        <f ca="1">+WORLDCUP!BD69</f>
        <v>Croacia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Cabo Verde</v>
      </c>
      <c r="D379" s="9" t="str">
        <f ca="1">+WORLDCUP!BD66</f>
        <v>Senegal</v>
      </c>
      <c r="E379" s="9" t="str">
        <f ca="1">+WORLDCUP!BD59</f>
        <v>Bosnia y Herzegovina</v>
      </c>
      <c r="F379" s="9" t="str">
        <f ca="1">+WORLDCUP!BD60</f>
        <v>Escocia</v>
      </c>
      <c r="G379" s="9" t="str">
        <f ca="1">+WORLDCUP!BD58</f>
        <v>República Checa</v>
      </c>
      <c r="H379" s="9" t="str">
        <f ca="1">+WORLDCUP!BD63</f>
        <v>Suecia</v>
      </c>
      <c r="I379" s="9" t="str">
        <f ca="1">+WORLDCUP!BD69</f>
        <v>Croacia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Cabo Verde</v>
      </c>
      <c r="D380" s="9" t="str">
        <f ca="1">+WORLDCUP!BD67</f>
        <v>Argelia</v>
      </c>
      <c r="E380" s="9" t="str">
        <f ca="1">+WORLDCUP!BD59</f>
        <v>Bosnia y Herzegovina</v>
      </c>
      <c r="F380" s="9" t="str">
        <f ca="1">+WORLDCUP!BD60</f>
        <v>Escocia</v>
      </c>
      <c r="G380" s="9" t="str">
        <f ca="1">+WORLDCUP!BD58</f>
        <v>República Checa</v>
      </c>
      <c r="H380" s="9" t="str">
        <f ca="1">+WORLDCUP!BD63</f>
        <v>Suecia</v>
      </c>
      <c r="I380" s="9" t="str">
        <f ca="1">+WORLDCUP!BD69</f>
        <v>Croacia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Cabo Verde</v>
      </c>
      <c r="D381" s="9" t="str">
        <f ca="1">+WORLDCUP!BD67</f>
        <v>Argelia</v>
      </c>
      <c r="E381" s="9" t="str">
        <f ca="1">+WORLDCUP!BD59</f>
        <v>Bosnia y Herzegovina</v>
      </c>
      <c r="F381" s="9" t="str">
        <f ca="1">+WORLDCUP!BD60</f>
        <v>Escocia</v>
      </c>
      <c r="G381" s="9" t="str">
        <f ca="1">+WORLDCUP!BD58</f>
        <v>República Checa</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República Checa</v>
      </c>
      <c r="H382" s="9" t="str">
        <f ca="1">+WORLDCUP!BD64</f>
        <v>Bélgica</v>
      </c>
      <c r="I382" s="9" t="str">
        <f ca="1">+WORLDCUP!BD69</f>
        <v>Croacia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Bélgica</v>
      </c>
      <c r="E383" s="9" t="str">
        <f ca="1">+WORLDCUP!BD59</f>
        <v>Bosnia y Herzegovina</v>
      </c>
      <c r="F383" s="9" t="str">
        <f ca="1">+WORLDCUP!BD60</f>
        <v>Escocia</v>
      </c>
      <c r="G383" s="9" t="str">
        <f ca="1">+WORLDCUP!BD58</f>
        <v>República Checa</v>
      </c>
      <c r="H383" s="9" t="str">
        <f ca="1">+WORLDCUP!BD63</f>
        <v>Suecia</v>
      </c>
      <c r="I383" s="9" t="str">
        <f ca="1">+WORLDCUP!BD69</f>
        <v>Croacia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República Checa</v>
      </c>
      <c r="H384" s="9" t="str">
        <f ca="1">+WORLDCUP!BD64</f>
        <v>Bélgica</v>
      </c>
      <c r="I384" s="9" t="str">
        <f ca="1">+WORLDCUP!BD69</f>
        <v>Croacia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República Checa</v>
      </c>
      <c r="H385" s="9" t="str">
        <f ca="1">+WORLDCUP!BD64</f>
        <v>Bélgica</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Cabo Verde</v>
      </c>
      <c r="D386" s="9" t="str">
        <f ca="1">+WORLDCUP!BD64</f>
        <v>Bélgica</v>
      </c>
      <c r="E386" s="9" t="str">
        <f ca="1">+WORLDCUP!BD59</f>
        <v>Bosnia y Herzegovina</v>
      </c>
      <c r="F386" s="9" t="str">
        <f ca="1">+WORLDCUP!BD60</f>
        <v>Escocia</v>
      </c>
      <c r="G386" s="9" t="str">
        <f ca="1">+WORLDCUP!BD58</f>
        <v>República Checa</v>
      </c>
      <c r="H386" s="9" t="str">
        <f ca="1">+WORLDCUP!BD63</f>
        <v>Suecia</v>
      </c>
      <c r="I386" s="9" t="str">
        <f ca="1">+WORLDCUP!BD69</f>
        <v>Croacia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Cabo Verde</v>
      </c>
      <c r="D387" s="9" t="str">
        <f ca="1">+WORLDCUP!BD64</f>
        <v>Bélgica</v>
      </c>
      <c r="E387" s="9" t="str">
        <f ca="1">+WORLDCUP!BD59</f>
        <v>Bosnia y Herzegovina</v>
      </c>
      <c r="F387" s="9" t="str">
        <f ca="1">+WORLDCUP!BD60</f>
        <v>Escocia</v>
      </c>
      <c r="G387" s="9" t="str">
        <f ca="1">+WORLDCUP!BD58</f>
        <v>República Checa</v>
      </c>
      <c r="H387" s="9" t="str">
        <f ca="1">+WORLDCUP!BD63</f>
        <v>Suecia</v>
      </c>
      <c r="I387" s="9" t="str">
        <f ca="1">+WORLDCUP!BD69</f>
        <v>Croacia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Cabo Verde</v>
      </c>
      <c r="D388" s="9" t="str">
        <f ca="1">+WORLDCUP!BD64</f>
        <v>Bélgica</v>
      </c>
      <c r="E388" s="9" t="str">
        <f ca="1">+WORLDCUP!BD59</f>
        <v>Bosnia y Herzegovina</v>
      </c>
      <c r="F388" s="9" t="str">
        <f ca="1">+WORLDCUP!BD60</f>
        <v>Escocia</v>
      </c>
      <c r="G388" s="9" t="str">
        <f ca="1">+WORLDCUP!BD58</f>
        <v>República Checa</v>
      </c>
      <c r="H388" s="9" t="str">
        <f ca="1">+WORLDCUP!BD63</f>
        <v>Suecia</v>
      </c>
      <c r="I388" s="9" t="str">
        <f ca="1">+WORLDCUP!BD67</f>
        <v>Argelia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Cabo Verde</v>
      </c>
      <c r="D389" s="9" t="str">
        <f ca="1">+WORLDCUP!BD64</f>
        <v>Bélgica</v>
      </c>
      <c r="E389" s="9" t="str">
        <f ca="1">+WORLDCUP!BD59</f>
        <v>Bosnia y Herzegovina</v>
      </c>
      <c r="F389" s="9" t="str">
        <f ca="1">+WORLDCUP!BD60</f>
        <v>Escocia</v>
      </c>
      <c r="G389" s="9" t="str">
        <f ca="1">+WORLDCUP!BD58</f>
        <v>República Checa</v>
      </c>
      <c r="H389" s="9" t="str">
        <f ca="1">+WORLDCUP!BD63</f>
        <v>Suecia</v>
      </c>
      <c r="I389" s="9" t="str">
        <f ca="1">+WORLDCUP!BD69</f>
        <v>Croacia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Cabo Verde</v>
      </c>
      <c r="D390" s="9" t="str">
        <f ca="1">+WORLDCUP!BD64</f>
        <v>Bélgica</v>
      </c>
      <c r="E390" s="9" t="str">
        <f ca="1">+WORLDCUP!BD59</f>
        <v>Bosnia y Herzegovina</v>
      </c>
      <c r="F390" s="9" t="str">
        <f ca="1">+WORLDCUP!BD60</f>
        <v>Escocia</v>
      </c>
      <c r="G390" s="9" t="str">
        <f ca="1">+WORLDCUP!BD58</f>
        <v>República Checa</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Cabo Verde</v>
      </c>
      <c r="D391" s="9" t="str">
        <f ca="1">+WORLDCUP!BD64</f>
        <v>Bélgica</v>
      </c>
      <c r="E391" s="9" t="str">
        <f ca="1">+WORLDCUP!BD59</f>
        <v>Bosnia y Herzegovina</v>
      </c>
      <c r="F391" s="9" t="str">
        <f ca="1">+WORLDCUP!BD60</f>
        <v>Escocia</v>
      </c>
      <c r="G391" s="9" t="str">
        <f ca="1">+WORLDCUP!BD58</f>
        <v>República Checa</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Argelia</v>
      </c>
      <c r="E392" s="9" t="str">
        <f ca="1">+WORLDCUP!BD59</f>
        <v>Bosnia y Herzegovina</v>
      </c>
      <c r="F392" s="9" t="str">
        <f ca="1">+WORLDCUP!BD58</f>
        <v>República Checa</v>
      </c>
      <c r="G392" s="9" t="str">
        <f ca="1">+WORLDCUP!BD66</f>
        <v>Senegal</v>
      </c>
      <c r="H392" s="9" t="str">
        <f ca="1">+WORLDCUP!BD60</f>
        <v>Escocia</v>
      </c>
      <c r="I392" s="9" t="str">
        <f ca="1">+WORLDCUP!BD69</f>
        <v>Croacia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República Checa</v>
      </c>
      <c r="H393" s="9" t="str">
        <f ca="1">+WORLDCUP!BD65</f>
        <v>Cabo Verde</v>
      </c>
      <c r="I393" s="9" t="str">
        <f ca="1">+WORLDCUP!BD69</f>
        <v>Croacia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República Checa</v>
      </c>
      <c r="H394" s="9" t="str">
        <f ca="1">+WORLDCUP!BD65</f>
        <v>Cabo Verde</v>
      </c>
      <c r="I394" s="9" t="str">
        <f ca="1">+WORLDCUP!BD69</f>
        <v>Croacia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República Checa</v>
      </c>
      <c r="H395" s="9" t="str">
        <f ca="1">+WORLDCUP!BD65</f>
        <v>Cabo Verde</v>
      </c>
      <c r="I395" s="9" t="str">
        <f ca="1">+WORLDCUP!BD69</f>
        <v>Croacia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República Checa</v>
      </c>
      <c r="H396" s="9" t="str">
        <f ca="1">+WORLDCUP!BD65</f>
        <v>Cabo Verde</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República Checa</v>
      </c>
      <c r="H397" s="9" t="str">
        <f ca="1">+WORLDCUP!BD64</f>
        <v>Bélgica</v>
      </c>
      <c r="I397" s="9" t="str">
        <f ca="1">+WORLDCUP!BD69</f>
        <v>Croacia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Bélgica</v>
      </c>
      <c r="E398" s="9" t="str">
        <f ca="1">+WORLDCUP!BD59</f>
        <v>Bosnia y Herzegovina</v>
      </c>
      <c r="F398" s="9" t="str">
        <f ca="1">+WORLDCUP!BD58</f>
        <v>República Checa</v>
      </c>
      <c r="G398" s="9" t="str">
        <f ca="1">+WORLDCUP!BD66</f>
        <v>Senegal</v>
      </c>
      <c r="H398" s="9" t="str">
        <f ca="1">+WORLDCUP!BD60</f>
        <v>Escocia</v>
      </c>
      <c r="I398" s="9" t="str">
        <f ca="1">+WORLDCUP!BD69</f>
        <v>Croacia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República Checa</v>
      </c>
      <c r="H399" s="9" t="str">
        <f ca="1">+WORLDCUP!BD64</f>
        <v>Bélgica</v>
      </c>
      <c r="I399" s="9" t="str">
        <f ca="1">+WORLDCUP!BD69</f>
        <v>Croacia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República Checa</v>
      </c>
      <c r="H400" s="9" t="str">
        <f ca="1">+WORLDCUP!BD64</f>
        <v>Bélgica</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Bélgica</v>
      </c>
      <c r="E401" s="9" t="str">
        <f ca="1">+WORLDCUP!BD59</f>
        <v>Bosnia y Herzegovina</v>
      </c>
      <c r="F401" s="9" t="str">
        <f ca="1">+WORLDCUP!BD60</f>
        <v>Escocia</v>
      </c>
      <c r="G401" s="9" t="str">
        <f ca="1">+WORLDCUP!BD58</f>
        <v>República Checa</v>
      </c>
      <c r="H401" s="9" t="str">
        <f ca="1">+WORLDCUP!BD65</f>
        <v>Cabo Verde</v>
      </c>
      <c r="I401" s="9" t="str">
        <f ca="1">+WORLDCUP!BD69</f>
        <v>Croacia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Cabo Verde</v>
      </c>
      <c r="D402" s="9" t="str">
        <f ca="1">+WORLDCUP!BD67</f>
        <v>Argelia</v>
      </c>
      <c r="E402" s="9" t="str">
        <f ca="1">+WORLDCUP!BD59</f>
        <v>Bosnia y Herzegovina</v>
      </c>
      <c r="F402" s="9" t="str">
        <f ca="1">+WORLDCUP!BD60</f>
        <v>Escocia</v>
      </c>
      <c r="G402" s="9" t="str">
        <f ca="1">+WORLDCUP!BD58</f>
        <v>República Checa</v>
      </c>
      <c r="H402" s="9" t="str">
        <f ca="1">+WORLDCUP!BD64</f>
        <v>Bélgica</v>
      </c>
      <c r="I402" s="9" t="str">
        <f ca="1">+WORLDCUP!BD69</f>
        <v>Croacia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Cabo Verde</v>
      </c>
      <c r="D403" s="9" t="str">
        <f ca="1">+WORLDCUP!BD67</f>
        <v>Argelia</v>
      </c>
      <c r="E403" s="9" t="str">
        <f ca="1">+WORLDCUP!BD59</f>
        <v>Bosnia y Herzegovina</v>
      </c>
      <c r="F403" s="9" t="str">
        <f ca="1">+WORLDCUP!BD60</f>
        <v>Escocia</v>
      </c>
      <c r="G403" s="9" t="str">
        <f ca="1">+WORLDCUP!BD58</f>
        <v>República Checa</v>
      </c>
      <c r="H403" s="9" t="str">
        <f ca="1">+WORLDCUP!BD64</f>
        <v>Bélgica</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Bélgica</v>
      </c>
      <c r="E404" s="9" t="str">
        <f ca="1">+WORLDCUP!BD59</f>
        <v>Bosnia y Herzegovina</v>
      </c>
      <c r="F404" s="9" t="str">
        <f ca="1">+WORLDCUP!BD60</f>
        <v>Escocia</v>
      </c>
      <c r="G404" s="9" t="str">
        <f ca="1">+WORLDCUP!BD58</f>
        <v>República Checa</v>
      </c>
      <c r="H404" s="9" t="str">
        <f ca="1">+WORLDCUP!BD65</f>
        <v>Cabo Verde</v>
      </c>
      <c r="I404" s="9" t="str">
        <f ca="1">+WORLDCUP!BD69</f>
        <v>Croacia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Bélgica</v>
      </c>
      <c r="E405" s="9" t="str">
        <f ca="1">+WORLDCUP!BD59</f>
        <v>Bosnia y Herzegovina</v>
      </c>
      <c r="F405" s="9" t="str">
        <f ca="1">+WORLDCUP!BD60</f>
        <v>Escocia</v>
      </c>
      <c r="G405" s="9" t="str">
        <f ca="1">+WORLDCUP!BD58</f>
        <v>República Checa</v>
      </c>
      <c r="H405" s="9" t="str">
        <f ca="1">+WORLDCUP!BD65</f>
        <v>Cabo Verde</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Cabo Verde</v>
      </c>
      <c r="D406" s="9" t="str">
        <f ca="1">+WORLDCUP!BD67</f>
        <v>Argelia</v>
      </c>
      <c r="E406" s="9" t="str">
        <f ca="1">+WORLDCUP!BD59</f>
        <v>Bosnia y Herzegovina</v>
      </c>
      <c r="F406" s="9" t="str">
        <f ca="1">+WORLDCUP!BD60</f>
        <v>Escocia</v>
      </c>
      <c r="G406" s="9" t="str">
        <f ca="1">+WORLDCUP!BD58</f>
        <v>República Checa</v>
      </c>
      <c r="H406" s="9" t="str">
        <f ca="1">+WORLDCUP!BD64</f>
        <v>Bélgica</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República Checa</v>
      </c>
      <c r="H407" s="9" t="str">
        <f ca="1">+WORLDCUP!BD63</f>
        <v>Suecia</v>
      </c>
      <c r="I407" s="9" t="str">
        <f ca="1">+WORLDCUP!BD69</f>
        <v>Croacia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República Checa</v>
      </c>
      <c r="H408" s="9" t="str">
        <f ca="1">+WORLDCUP!BD63</f>
        <v>Suecia</v>
      </c>
      <c r="I408" s="9" t="str">
        <f ca="1">+WORLDCUP!BD69</f>
        <v>Croacia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República Checa</v>
      </c>
      <c r="H409" s="9" t="str">
        <f ca="1">+WORLDCUP!BD63</f>
        <v>Suecia</v>
      </c>
      <c r="I409" s="9" t="str">
        <f ca="1">+WORLDCUP!BD69</f>
        <v>Croacia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República Checa</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Cabo Verde</v>
      </c>
      <c r="D411" s="9" t="str">
        <f ca="1">+WORLDCUP!BD62</f>
        <v>Ecuador</v>
      </c>
      <c r="E411" s="9" t="str">
        <f ca="1">+WORLDCUP!BD59</f>
        <v>Bosnia y Herzegovina</v>
      </c>
      <c r="F411" s="9" t="str">
        <f ca="1">+WORLDCUP!BD60</f>
        <v>Escocia</v>
      </c>
      <c r="G411" s="9" t="str">
        <f ca="1">+WORLDCUP!BD58</f>
        <v>República Checa</v>
      </c>
      <c r="H411" s="9" t="str">
        <f ca="1">+WORLDCUP!BD63</f>
        <v>Suecia</v>
      </c>
      <c r="I411" s="9" t="str">
        <f ca="1">+WORLDCUP!BD69</f>
        <v>Croacia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Cabo Verde</v>
      </c>
      <c r="D412" s="9" t="str">
        <f ca="1">+WORLDCUP!BD67</f>
        <v>Argelia</v>
      </c>
      <c r="E412" s="9" t="str">
        <f ca="1">+WORLDCUP!BD59</f>
        <v>Bosnia y Herzegovina</v>
      </c>
      <c r="F412" s="9" t="str">
        <f ca="1">+WORLDCUP!BD60</f>
        <v>Escocia</v>
      </c>
      <c r="G412" s="9" t="str">
        <f ca="1">+WORLDCUP!BD58</f>
        <v>República Checa</v>
      </c>
      <c r="H412" s="9" t="str">
        <f ca="1">+WORLDCUP!BD63</f>
        <v>Suecia</v>
      </c>
      <c r="I412" s="9" t="str">
        <f ca="1">+WORLDCUP!BD69</f>
        <v>Croacia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Cabo Verde</v>
      </c>
      <c r="D413" s="9" t="str">
        <f ca="1">+WORLDCUP!BD67</f>
        <v>Argelia</v>
      </c>
      <c r="E413" s="9" t="str">
        <f ca="1">+WORLDCUP!BD59</f>
        <v>Bosnia y Herzegovina</v>
      </c>
      <c r="F413" s="9" t="str">
        <f ca="1">+WORLDCUP!BD60</f>
        <v>Escocia</v>
      </c>
      <c r="G413" s="9" t="str">
        <f ca="1">+WORLDCUP!BD58</f>
        <v>República Checa</v>
      </c>
      <c r="H413" s="9" t="str">
        <f ca="1">+WORLDCUP!BD63</f>
        <v>Suecia</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Cabo Verde</v>
      </c>
      <c r="D414" s="9" t="str">
        <f ca="1">+WORLDCUP!BD62</f>
        <v>Ecuador</v>
      </c>
      <c r="E414" s="9" t="str">
        <f ca="1">+WORLDCUP!BD59</f>
        <v>Bosnia y Herzegovina</v>
      </c>
      <c r="F414" s="9" t="str">
        <f ca="1">+WORLDCUP!BD60</f>
        <v>Escocia</v>
      </c>
      <c r="G414" s="9" t="str">
        <f ca="1">+WORLDCUP!BD58</f>
        <v>República Checa</v>
      </c>
      <c r="H414" s="9" t="str">
        <f ca="1">+WORLDCUP!BD63</f>
        <v>Suecia</v>
      </c>
      <c r="I414" s="9" t="str">
        <f ca="1">+WORLDCUP!BD69</f>
        <v>Croacia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Cabo Verde</v>
      </c>
      <c r="D415" s="9" t="str">
        <f ca="1">+WORLDCUP!BD62</f>
        <v>Ecuador</v>
      </c>
      <c r="E415" s="9" t="str">
        <f ca="1">+WORLDCUP!BD59</f>
        <v>Bosnia y Herzegovina</v>
      </c>
      <c r="F415" s="9" t="str">
        <f ca="1">+WORLDCUP!BD60</f>
        <v>Escocia</v>
      </c>
      <c r="G415" s="9" t="str">
        <f ca="1">+WORLDCUP!BD58</f>
        <v>República Checa</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Cabo Verde</v>
      </c>
      <c r="D416" s="9" t="str">
        <f ca="1">+WORLDCUP!BD67</f>
        <v>Argelia</v>
      </c>
      <c r="E416" s="9" t="str">
        <f ca="1">+WORLDCUP!BD59</f>
        <v>Bosnia y Herzegovina</v>
      </c>
      <c r="F416" s="9" t="str">
        <f ca="1">+WORLDCUP!BD60</f>
        <v>Escocia</v>
      </c>
      <c r="G416" s="9" t="str">
        <f ca="1">+WORLDCUP!BD58</f>
        <v>República Checa</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Bélgica</v>
      </c>
      <c r="E417" s="9" t="str">
        <f ca="1">+WORLDCUP!BD59</f>
        <v>Bosnia y Herzegovina</v>
      </c>
      <c r="F417" s="9" t="str">
        <f ca="1">+WORLDCUP!BD60</f>
        <v>Escocia</v>
      </c>
      <c r="G417" s="9" t="str">
        <f ca="1">+WORLDCUP!BD58</f>
        <v>República Checa</v>
      </c>
      <c r="H417" s="9" t="str">
        <f ca="1">+WORLDCUP!BD63</f>
        <v>Suecia</v>
      </c>
      <c r="I417" s="9" t="str">
        <f ca="1">+WORLDCUP!BD69</f>
        <v>Croacia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Bélgica</v>
      </c>
      <c r="E418" s="9" t="str">
        <f ca="1">+WORLDCUP!BD59</f>
        <v>Bosnia y Herzegovina</v>
      </c>
      <c r="F418" s="9" t="str">
        <f ca="1">+WORLDCUP!BD60</f>
        <v>Escocia</v>
      </c>
      <c r="G418" s="9" t="str">
        <f ca="1">+WORLDCUP!BD58</f>
        <v>República Checa</v>
      </c>
      <c r="H418" s="9" t="str">
        <f ca="1">+WORLDCUP!BD63</f>
        <v>Suecia</v>
      </c>
      <c r="I418" s="9" t="str">
        <f ca="1">+WORLDCUP!BD69</f>
        <v>Croacia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Bélgica</v>
      </c>
      <c r="E419" s="9" t="str">
        <f ca="1">+WORLDCUP!BD59</f>
        <v>Bosnia y Herzegovina</v>
      </c>
      <c r="F419" s="9" t="str">
        <f ca="1">+WORLDCUP!BD60</f>
        <v>Escocia</v>
      </c>
      <c r="G419" s="9" t="str">
        <f ca="1">+WORLDCUP!BD58</f>
        <v>República Checa</v>
      </c>
      <c r="H419" s="9" t="str">
        <f ca="1">+WORLDCUP!BD63</f>
        <v>Suecia</v>
      </c>
      <c r="I419" s="9" t="str">
        <f ca="1">+WORLDCUP!BD67</f>
        <v>Argelia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Bélgica</v>
      </c>
      <c r="E420" s="9" t="str">
        <f ca="1">+WORLDCUP!BD59</f>
        <v>Bosnia y Herzegovina</v>
      </c>
      <c r="F420" s="9" t="str">
        <f ca="1">+WORLDCUP!BD60</f>
        <v>Escocia</v>
      </c>
      <c r="G420" s="9" t="str">
        <f ca="1">+WORLDCUP!BD58</f>
        <v>República Checa</v>
      </c>
      <c r="H420" s="9" t="str">
        <f ca="1">+WORLDCUP!BD63</f>
        <v>Suecia</v>
      </c>
      <c r="I420" s="9" t="str">
        <f ca="1">+WORLDCUP!BD69</f>
        <v>Croacia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Bélgica</v>
      </c>
      <c r="E421" s="9" t="str">
        <f ca="1">+WORLDCUP!BD59</f>
        <v>Bosnia y Herzegovina</v>
      </c>
      <c r="F421" s="9" t="str">
        <f ca="1">+WORLDCUP!BD60</f>
        <v>Escocia</v>
      </c>
      <c r="G421" s="9" t="str">
        <f ca="1">+WORLDCUP!BD58</f>
        <v>República Checa</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Bélgica</v>
      </c>
      <c r="E422" s="9" t="str">
        <f ca="1">+WORLDCUP!BD59</f>
        <v>Bosnia y Herzegovina</v>
      </c>
      <c r="F422" s="9" t="str">
        <f ca="1">+WORLDCUP!BD60</f>
        <v>Escocia</v>
      </c>
      <c r="G422" s="9" t="str">
        <f ca="1">+WORLDCUP!BD58</f>
        <v>República Checa</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Cabo Verde</v>
      </c>
      <c r="D423" s="9" t="str">
        <f ca="1">+WORLDCUP!BD64</f>
        <v>Bélgica</v>
      </c>
      <c r="E423" s="9" t="str">
        <f ca="1">+WORLDCUP!BD59</f>
        <v>Bosnia y Herzegovina</v>
      </c>
      <c r="F423" s="9" t="str">
        <f ca="1">+WORLDCUP!BD60</f>
        <v>Escocia</v>
      </c>
      <c r="G423" s="9" t="str">
        <f ca="1">+WORLDCUP!BD58</f>
        <v>República Checa</v>
      </c>
      <c r="H423" s="9" t="str">
        <f ca="1">+WORLDCUP!BD63</f>
        <v>Suecia</v>
      </c>
      <c r="I423" s="9" t="str">
        <f ca="1">+WORLDCUP!BD69</f>
        <v>Croacia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Cabo Verde</v>
      </c>
      <c r="D424" s="9" t="str">
        <f ca="1">+WORLDCUP!BD64</f>
        <v>Bélgica</v>
      </c>
      <c r="E424" s="9" t="str">
        <f ca="1">+WORLDCUP!BD59</f>
        <v>Bosnia y Herzegovina</v>
      </c>
      <c r="F424" s="9" t="str">
        <f ca="1">+WORLDCUP!BD60</f>
        <v>Escocia</v>
      </c>
      <c r="G424" s="9" t="str">
        <f ca="1">+WORLDCUP!BD58</f>
        <v>República Checa</v>
      </c>
      <c r="H424" s="9" t="str">
        <f ca="1">+WORLDCUP!BD63</f>
        <v>Suecia</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Cabo Verde</v>
      </c>
      <c r="D425" s="9" t="str">
        <f ca="1">+WORLDCUP!BD64</f>
        <v>Bélgica</v>
      </c>
      <c r="E425" s="9" t="str">
        <f ca="1">+WORLDCUP!BD59</f>
        <v>Bosnia y Herzegovina</v>
      </c>
      <c r="F425" s="9" t="str">
        <f ca="1">+WORLDCUP!BD60</f>
        <v>Escocia</v>
      </c>
      <c r="G425" s="9" t="str">
        <f ca="1">+WORLDCUP!BD58</f>
        <v>República Checa</v>
      </c>
      <c r="H425" s="9" t="str">
        <f ca="1">+WORLDCUP!BD63</f>
        <v>Suecia</v>
      </c>
      <c r="I425" s="9" t="str">
        <f ca="1">+WORLDCUP!BD62</f>
        <v>Ecuador</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Cabo Verde</v>
      </c>
      <c r="D426" s="9" t="str">
        <f ca="1">+WORLDCUP!BD64</f>
        <v>Bélgica</v>
      </c>
      <c r="E426" s="9" t="str">
        <f ca="1">+WORLDCUP!BD59</f>
        <v>Bosnia y Herzegovina</v>
      </c>
      <c r="F426" s="9" t="str">
        <f ca="1">+WORLDCUP!BD60</f>
        <v>Escocia</v>
      </c>
      <c r="G426" s="9" t="str">
        <f ca="1">+WORLDCUP!BD58</f>
        <v>República Checa</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República Checa</v>
      </c>
      <c r="H427" s="9" t="str">
        <f ca="1">+WORLDCUP!BD61</f>
        <v>Paraguay</v>
      </c>
      <c r="I427" s="9" t="str">
        <f ca="1">+WORLDCUP!BD69</f>
        <v>Croacia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Cabo Verde</v>
      </c>
      <c r="D428" s="9" t="str">
        <f ca="1">+WORLDCUP!BD67</f>
        <v>Argelia</v>
      </c>
      <c r="E428" s="9" t="str">
        <f ca="1">+WORLDCUP!BD59</f>
        <v>Bosnia y Herzegovina</v>
      </c>
      <c r="F428" s="9" t="str">
        <f ca="1">+WORLDCUP!BD60</f>
        <v>Escocia</v>
      </c>
      <c r="G428" s="9" t="str">
        <f ca="1">+WORLDCUP!BD58</f>
        <v>República Checa</v>
      </c>
      <c r="H428" s="9" t="str">
        <f ca="1">+WORLDCUP!BD61</f>
        <v>Paraguay</v>
      </c>
      <c r="I428" s="9" t="str">
        <f ca="1">+WORLDCUP!BD69</f>
        <v>Croacia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Cabo Verde</v>
      </c>
      <c r="D429" s="9" t="str">
        <f ca="1">+WORLDCUP!BD66</f>
        <v>Senegal</v>
      </c>
      <c r="E429" s="9" t="str">
        <f ca="1">+WORLDCUP!BD59</f>
        <v>Bosnia y Herzegovina</v>
      </c>
      <c r="F429" s="9" t="str">
        <f ca="1">+WORLDCUP!BD60</f>
        <v>Escocia</v>
      </c>
      <c r="G429" s="9" t="str">
        <f ca="1">+WORLDCUP!BD58</f>
        <v>República Checa</v>
      </c>
      <c r="H429" s="9" t="str">
        <f ca="1">+WORLDCUP!BD61</f>
        <v>Paraguay</v>
      </c>
      <c r="I429" s="9" t="str">
        <f ca="1">+WORLDCUP!BD69</f>
        <v>Croacia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Cabo Verde</v>
      </c>
      <c r="D430" s="9" t="str">
        <f ca="1">+WORLDCUP!BD67</f>
        <v>Argelia</v>
      </c>
      <c r="E430" s="9" t="str">
        <f ca="1">+WORLDCUP!BD59</f>
        <v>Bosnia y Herzegovina</v>
      </c>
      <c r="F430" s="9" t="str">
        <f ca="1">+WORLDCUP!BD60</f>
        <v>Escocia</v>
      </c>
      <c r="G430" s="9" t="str">
        <f ca="1">+WORLDCUP!BD58</f>
        <v>República Checa</v>
      </c>
      <c r="H430" s="9" t="str">
        <f ca="1">+WORLDCUP!BD61</f>
        <v>Paraguay</v>
      </c>
      <c r="I430" s="9" t="str">
        <f ca="1">+WORLDCUP!BD69</f>
        <v>Croacia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Cabo Verde</v>
      </c>
      <c r="D431" s="9" t="str">
        <f ca="1">+WORLDCUP!BD67</f>
        <v>Argelia</v>
      </c>
      <c r="E431" s="9" t="str">
        <f ca="1">+WORLDCUP!BD59</f>
        <v>Bosnia y Herzegovina</v>
      </c>
      <c r="F431" s="9" t="str">
        <f ca="1">+WORLDCUP!BD60</f>
        <v>Escocia</v>
      </c>
      <c r="G431" s="9" t="str">
        <f ca="1">+WORLDCUP!BD58</f>
        <v>República Checa</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República Checa</v>
      </c>
      <c r="H432" s="9" t="str">
        <f ca="1">+WORLDCUP!BD64</f>
        <v>Bélgica</v>
      </c>
      <c r="I432" s="9" t="str">
        <f ca="1">+WORLDCUP!BD69</f>
        <v>Croacia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Bélgica</v>
      </c>
      <c r="E433" s="9" t="str">
        <f ca="1">+WORLDCUP!BD59</f>
        <v>Bosnia y Herzegovina</v>
      </c>
      <c r="F433" s="9" t="str">
        <f ca="1">+WORLDCUP!BD60</f>
        <v>Escocia</v>
      </c>
      <c r="G433" s="9" t="str">
        <f ca="1">+WORLDCUP!BD58</f>
        <v>República Checa</v>
      </c>
      <c r="H433" s="9" t="str">
        <f ca="1">+WORLDCUP!BD61</f>
        <v>Paraguay</v>
      </c>
      <c r="I433" s="9" t="str">
        <f ca="1">+WORLDCUP!BD69</f>
        <v>Croacia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República Checa</v>
      </c>
      <c r="H434" s="9" t="str">
        <f ca="1">+WORLDCUP!BD64</f>
        <v>Bélgica</v>
      </c>
      <c r="I434" s="9" t="str">
        <f ca="1">+WORLDCUP!BD69</f>
        <v>Croacia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República Checa</v>
      </c>
      <c r="H435" s="9" t="str">
        <f ca="1">+WORLDCUP!BD64</f>
        <v>Bélgica</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Cabo Verde</v>
      </c>
      <c r="D436" s="9" t="str">
        <f ca="1">+WORLDCUP!BD64</f>
        <v>Bélgica</v>
      </c>
      <c r="E436" s="9" t="str">
        <f ca="1">+WORLDCUP!BD59</f>
        <v>Bosnia y Herzegovina</v>
      </c>
      <c r="F436" s="9" t="str">
        <f ca="1">+WORLDCUP!BD60</f>
        <v>Escocia</v>
      </c>
      <c r="G436" s="9" t="str">
        <f ca="1">+WORLDCUP!BD58</f>
        <v>República Checa</v>
      </c>
      <c r="H436" s="9" t="str">
        <f ca="1">+WORLDCUP!BD61</f>
        <v>Paraguay</v>
      </c>
      <c r="I436" s="9" t="str">
        <f ca="1">+WORLDCUP!BD69</f>
        <v>Croacia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Cabo Verde</v>
      </c>
      <c r="D437" s="9" t="str">
        <f ca="1">+WORLDCUP!BD64</f>
        <v>Bélgica</v>
      </c>
      <c r="E437" s="9" t="str">
        <f ca="1">+WORLDCUP!BD59</f>
        <v>Bosnia y Herzegovina</v>
      </c>
      <c r="F437" s="9" t="str">
        <f ca="1">+WORLDCUP!BD60</f>
        <v>Escocia</v>
      </c>
      <c r="G437" s="9" t="str">
        <f ca="1">+WORLDCUP!BD58</f>
        <v>República Checa</v>
      </c>
      <c r="H437" s="9" t="str">
        <f ca="1">+WORLDCUP!BD61</f>
        <v>Paraguay</v>
      </c>
      <c r="I437" s="9" t="str">
        <f ca="1">+WORLDCUP!BD69</f>
        <v>Croacia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Cabo Verde</v>
      </c>
      <c r="D438" s="9" t="str">
        <f ca="1">+WORLDCUP!BD64</f>
        <v>Bélgica</v>
      </c>
      <c r="E438" s="9" t="str">
        <f ca="1">+WORLDCUP!BD59</f>
        <v>Bosnia y Herzegovina</v>
      </c>
      <c r="F438" s="9" t="str">
        <f ca="1">+WORLDCUP!BD60</f>
        <v>Escocia</v>
      </c>
      <c r="G438" s="9" t="str">
        <f ca="1">+WORLDCUP!BD58</f>
        <v>República Checa</v>
      </c>
      <c r="H438" s="9" t="str">
        <f ca="1">+WORLDCUP!BD61</f>
        <v>Paraguay</v>
      </c>
      <c r="I438" s="9" t="str">
        <f ca="1">+WORLDCUP!BD67</f>
        <v>Argelia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Cabo Verde</v>
      </c>
      <c r="D439" s="9" t="str">
        <f ca="1">+WORLDCUP!BD64</f>
        <v>Bélgica</v>
      </c>
      <c r="E439" s="9" t="str">
        <f ca="1">+WORLDCUP!BD59</f>
        <v>Bosnia y Herzegovina</v>
      </c>
      <c r="F439" s="9" t="str">
        <f ca="1">+WORLDCUP!BD60</f>
        <v>Escocia</v>
      </c>
      <c r="G439" s="9" t="str">
        <f ca="1">+WORLDCUP!BD58</f>
        <v>República Checa</v>
      </c>
      <c r="H439" s="9" t="str">
        <f ca="1">+WORLDCUP!BD61</f>
        <v>Paraguay</v>
      </c>
      <c r="I439" s="9" t="str">
        <f ca="1">+WORLDCUP!BD69</f>
        <v>Croacia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Cabo Verde</v>
      </c>
      <c r="D440" s="9" t="str">
        <f ca="1">+WORLDCUP!BD64</f>
        <v>Bélgica</v>
      </c>
      <c r="E440" s="9" t="str">
        <f ca="1">+WORLDCUP!BD59</f>
        <v>Bosnia y Herzegovina</v>
      </c>
      <c r="F440" s="9" t="str">
        <f ca="1">+WORLDCUP!BD60</f>
        <v>Escocia</v>
      </c>
      <c r="G440" s="9" t="str">
        <f ca="1">+WORLDCUP!BD58</f>
        <v>República Checa</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Cabo Verde</v>
      </c>
      <c r="D441" s="9" t="str">
        <f ca="1">+WORLDCUP!BD64</f>
        <v>Bélgica</v>
      </c>
      <c r="E441" s="9" t="str">
        <f ca="1">+WORLDCUP!BD59</f>
        <v>Bosnia y Herzegovina</v>
      </c>
      <c r="F441" s="9" t="str">
        <f ca="1">+WORLDCUP!BD60</f>
        <v>Escocia</v>
      </c>
      <c r="G441" s="9" t="str">
        <f ca="1">+WORLDCUP!BD58</f>
        <v>República Checa</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República Checa</v>
      </c>
      <c r="H442" s="9" t="str">
        <f ca="1">+WORLDCUP!BD63</f>
        <v>Suecia</v>
      </c>
      <c r="I442" s="9" t="str">
        <f ca="1">+WORLDCUP!BD69</f>
        <v>Croacia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República Checa</v>
      </c>
      <c r="H443" s="9" t="str">
        <f ca="1">+WORLDCUP!BD63</f>
        <v>Suecia</v>
      </c>
      <c r="I443" s="9" t="str">
        <f ca="1">+WORLDCUP!BD69</f>
        <v>Croacia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República Checa</v>
      </c>
      <c r="H444" s="9" t="str">
        <f ca="1">+WORLDCUP!BD63</f>
        <v>Suecia</v>
      </c>
      <c r="I444" s="9" t="str">
        <f ca="1">+WORLDCUP!BD69</f>
        <v>Croacia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República Checa</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Cabo Verde</v>
      </c>
      <c r="D446" s="9" t="str">
        <f ca="1">+WORLDCUP!BD63</f>
        <v>Suecia</v>
      </c>
      <c r="E446" s="9" t="str">
        <f ca="1">+WORLDCUP!BD59</f>
        <v>Bosnia y Herzegovina</v>
      </c>
      <c r="F446" s="9" t="str">
        <f ca="1">+WORLDCUP!BD60</f>
        <v>Escocia</v>
      </c>
      <c r="G446" s="9" t="str">
        <f ca="1">+WORLDCUP!BD58</f>
        <v>República Checa</v>
      </c>
      <c r="H446" s="9" t="str">
        <f ca="1">+WORLDCUP!BD61</f>
        <v>Paraguay</v>
      </c>
      <c r="I446" s="9" t="str">
        <f ca="1">+WORLDCUP!BD69</f>
        <v>Croacia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República Checa</v>
      </c>
      <c r="H447" s="9" t="str">
        <f ca="1">+WORLDCUP!BD63</f>
        <v>Suecia</v>
      </c>
      <c r="I447" s="9" t="str">
        <f ca="1">+WORLDCUP!BD69</f>
        <v>Croacia</v>
      </c>
      <c r="J447" s="9" t="str">
        <f ca="1">+WORLDCUP!BD65</f>
        <v>Cabo Verde</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Cabo Verde</v>
      </c>
      <c r="D448" s="9" t="str">
        <f ca="1">+WORLDCUP!BD67</f>
        <v>Argelia</v>
      </c>
      <c r="E448" s="9" t="str">
        <f ca="1">+WORLDCUP!BD59</f>
        <v>Bosnia y Herzegovina</v>
      </c>
      <c r="F448" s="9" t="str">
        <f ca="1">+WORLDCUP!BD60</f>
        <v>Escocia</v>
      </c>
      <c r="G448" s="9" t="str">
        <f ca="1">+WORLDCUP!BD58</f>
        <v>República Checa</v>
      </c>
      <c r="H448" s="9" t="str">
        <f ca="1">+WORLDCUP!BD63</f>
        <v>Suecia</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Cabo Verde</v>
      </c>
      <c r="D449" s="9" t="str">
        <f ca="1">+WORLDCUP!BD63</f>
        <v>Suecia</v>
      </c>
      <c r="E449" s="9" t="str">
        <f ca="1">+WORLDCUP!BD59</f>
        <v>Bosnia y Herzegovina</v>
      </c>
      <c r="F449" s="9" t="str">
        <f ca="1">+WORLDCUP!BD60</f>
        <v>Escocia</v>
      </c>
      <c r="G449" s="9" t="str">
        <f ca="1">+WORLDCUP!BD58</f>
        <v>República Checa</v>
      </c>
      <c r="H449" s="9" t="str">
        <f ca="1">+WORLDCUP!BD61</f>
        <v>Paraguay</v>
      </c>
      <c r="I449" s="9" t="str">
        <f ca="1">+WORLDCUP!BD69</f>
        <v>Croacia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Cabo Verde</v>
      </c>
      <c r="D450" s="9" t="str">
        <f ca="1">+WORLDCUP!BD63</f>
        <v>Suecia</v>
      </c>
      <c r="E450" s="9" t="str">
        <f ca="1">+WORLDCUP!BD59</f>
        <v>Bosnia y Herzegovina</v>
      </c>
      <c r="F450" s="9" t="str">
        <f ca="1">+WORLDCUP!BD60</f>
        <v>Escocia</v>
      </c>
      <c r="G450" s="9" t="str">
        <f ca="1">+WORLDCUP!BD58</f>
        <v>República Checa</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Cabo Verde</v>
      </c>
      <c r="D451" s="9" t="str">
        <f ca="1">+WORLDCUP!BD67</f>
        <v>Argelia</v>
      </c>
      <c r="E451" s="9" t="str">
        <f ca="1">+WORLDCUP!BD59</f>
        <v>Bosnia y Herzegovina</v>
      </c>
      <c r="F451" s="9" t="str">
        <f ca="1">+WORLDCUP!BD60</f>
        <v>Escocia</v>
      </c>
      <c r="G451" s="9" t="str">
        <f ca="1">+WORLDCUP!BD58</f>
        <v>República Checa</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Bélgica</v>
      </c>
      <c r="E452" s="9" t="str">
        <f ca="1">+WORLDCUP!BD59</f>
        <v>Bosnia y Herzegovina</v>
      </c>
      <c r="F452" s="9" t="str">
        <f ca="1">+WORLDCUP!BD61</f>
        <v>Paraguay</v>
      </c>
      <c r="G452" s="9" t="str">
        <f ca="1">+WORLDCUP!BD58</f>
        <v>República Checa</v>
      </c>
      <c r="H452" s="9" t="str">
        <f ca="1">+WORLDCUP!BD63</f>
        <v>Suecia</v>
      </c>
      <c r="I452" s="9" t="str">
        <f ca="1">+WORLDCUP!BD69</f>
        <v>Croacia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Bélgica</v>
      </c>
      <c r="E453" s="9" t="str">
        <f ca="1">+WORLDCUP!BD59</f>
        <v>Bosnia y Herzegovina</v>
      </c>
      <c r="F453" s="9" t="str">
        <f ca="1">+WORLDCUP!BD61</f>
        <v>Paraguay</v>
      </c>
      <c r="G453" s="9" t="str">
        <f ca="1">+WORLDCUP!BD58</f>
        <v>República Checa</v>
      </c>
      <c r="H453" s="9" t="str">
        <f ca="1">+WORLDCUP!BD63</f>
        <v>Suecia</v>
      </c>
      <c r="I453" s="9" t="str">
        <f ca="1">+WORLDCUP!BD69</f>
        <v>Croacia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Bélgica</v>
      </c>
      <c r="E454" s="9" t="str">
        <f ca="1">+WORLDCUP!BD59</f>
        <v>Bosnia y Herzegovina</v>
      </c>
      <c r="F454" s="9" t="str">
        <f ca="1">+WORLDCUP!BD61</f>
        <v>Paraguay</v>
      </c>
      <c r="G454" s="9" t="str">
        <f ca="1">+WORLDCUP!BD58</f>
        <v>República Checa</v>
      </c>
      <c r="H454" s="9" t="str">
        <f ca="1">+WORLDCUP!BD63</f>
        <v>Suecia</v>
      </c>
      <c r="I454" s="9" t="str">
        <f ca="1">+WORLDCUP!BD67</f>
        <v>Argelia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Bélgica</v>
      </c>
      <c r="E455" s="9" t="str">
        <f ca="1">+WORLDCUP!BD59</f>
        <v>Bosnia y Herzegovina</v>
      </c>
      <c r="F455" s="9" t="str">
        <f ca="1">+WORLDCUP!BD61</f>
        <v>Paraguay</v>
      </c>
      <c r="G455" s="9" t="str">
        <f ca="1">+WORLDCUP!BD58</f>
        <v>República Checa</v>
      </c>
      <c r="H455" s="9" t="str">
        <f ca="1">+WORLDCUP!BD63</f>
        <v>Suecia</v>
      </c>
      <c r="I455" s="9" t="str">
        <f ca="1">+WORLDCUP!BD69</f>
        <v>Croacia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Bélgica</v>
      </c>
      <c r="E456" s="9" t="str">
        <f ca="1">+WORLDCUP!BD59</f>
        <v>Bosnia y Herzegovina</v>
      </c>
      <c r="F456" s="9" t="str">
        <f ca="1">+WORLDCUP!BD61</f>
        <v>Paraguay</v>
      </c>
      <c r="G456" s="9" t="str">
        <f ca="1">+WORLDCUP!BD58</f>
        <v>República Checa</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Bélgica</v>
      </c>
      <c r="E457" s="9" t="str">
        <f ca="1">+WORLDCUP!BD59</f>
        <v>Bosnia y Herzegovina</v>
      </c>
      <c r="F457" s="9" t="str">
        <f ca="1">+WORLDCUP!BD61</f>
        <v>Paraguay</v>
      </c>
      <c r="G457" s="9" t="str">
        <f ca="1">+WORLDCUP!BD58</f>
        <v>República Checa</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Bélgica</v>
      </c>
      <c r="E458" s="9" t="str">
        <f ca="1">+WORLDCUP!BD59</f>
        <v>Bosnia y Herzegovina</v>
      </c>
      <c r="F458" s="9" t="str">
        <f ca="1">+WORLDCUP!BD61</f>
        <v>Paraguay</v>
      </c>
      <c r="G458" s="9" t="str">
        <f ca="1">+WORLDCUP!BD58</f>
        <v>República Checa</v>
      </c>
      <c r="H458" s="9" t="str">
        <f ca="1">+WORLDCUP!BD63</f>
        <v>Suecia</v>
      </c>
      <c r="I458" s="9" t="str">
        <f ca="1">+WORLDCUP!BD69</f>
        <v>Croacia</v>
      </c>
      <c r="J458" s="9" t="str">
        <f ca="1">+WORLDCUP!BD65</f>
        <v>Cabo Verde</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Cabo Verde</v>
      </c>
      <c r="D459" s="9" t="str">
        <f ca="1">+WORLDCUP!BD64</f>
        <v>Bélgica</v>
      </c>
      <c r="E459" s="9" t="str">
        <f ca="1">+WORLDCUP!BD59</f>
        <v>Bosnia y Herzegovina</v>
      </c>
      <c r="F459" s="9" t="str">
        <f ca="1">+WORLDCUP!BD60</f>
        <v>Escocia</v>
      </c>
      <c r="G459" s="9" t="str">
        <f ca="1">+WORLDCUP!BD58</f>
        <v>República Checa</v>
      </c>
      <c r="H459" s="9" t="str">
        <f ca="1">+WORLDCUP!BD63</f>
        <v>Suecia</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Cabo Verde</v>
      </c>
      <c r="D460" s="9" t="str">
        <f ca="1">+WORLDCUP!BD64</f>
        <v>Bélgica</v>
      </c>
      <c r="E460" s="9" t="str">
        <f ca="1">+WORLDCUP!BD59</f>
        <v>Bosnia y Herzegovina</v>
      </c>
      <c r="F460" s="9" t="str">
        <f ca="1">+WORLDCUP!BD60</f>
        <v>Escocia</v>
      </c>
      <c r="G460" s="9" t="str">
        <f ca="1">+WORLDCUP!BD58</f>
        <v>República Checa</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Cabo Verde</v>
      </c>
      <c r="D461" s="9" t="str">
        <f ca="1">+WORLDCUP!BD64</f>
        <v>Bélgica</v>
      </c>
      <c r="E461" s="9" t="str">
        <f ca="1">+WORLDCUP!BD59</f>
        <v>Bosnia y Herzegovina</v>
      </c>
      <c r="F461" s="9" t="str">
        <f ca="1">+WORLDCUP!BD60</f>
        <v>Escocia</v>
      </c>
      <c r="G461" s="9" t="str">
        <f ca="1">+WORLDCUP!BD58</f>
        <v>República Checa</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República Checa</v>
      </c>
      <c r="H462" s="9" t="str">
        <f ca="1">+WORLDCUP!BD61</f>
        <v>Paraguay</v>
      </c>
      <c r="I462" s="9" t="str">
        <f ca="1">+WORLDCUP!BD69</f>
        <v>Croacia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República Checa</v>
      </c>
      <c r="H463" s="9" t="str">
        <f ca="1">+WORLDCUP!BD61</f>
        <v>Paraguay</v>
      </c>
      <c r="I463" s="9" t="str">
        <f ca="1">+WORLDCUP!BD69</f>
        <v>Croacia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República Checa</v>
      </c>
      <c r="H464" s="9" t="str">
        <f ca="1">+WORLDCUP!BD61</f>
        <v>Paraguay</v>
      </c>
      <c r="I464" s="9" t="str">
        <f ca="1">+WORLDCUP!BD69</f>
        <v>Croacia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República Checa</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Cabo Verde</v>
      </c>
      <c r="D466" s="9" t="str">
        <f ca="1">+WORLDCUP!BD62</f>
        <v>Ecuador</v>
      </c>
      <c r="E466" s="9" t="str">
        <f ca="1">+WORLDCUP!BD59</f>
        <v>Bosnia y Herzegovina</v>
      </c>
      <c r="F466" s="9" t="str">
        <f ca="1">+WORLDCUP!BD60</f>
        <v>Escocia</v>
      </c>
      <c r="G466" s="9" t="str">
        <f ca="1">+WORLDCUP!BD58</f>
        <v>República Checa</v>
      </c>
      <c r="H466" s="9" t="str">
        <f ca="1">+WORLDCUP!BD61</f>
        <v>Paraguay</v>
      </c>
      <c r="I466" s="9" t="str">
        <f ca="1">+WORLDCUP!BD69</f>
        <v>Croacia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Cabo Verde</v>
      </c>
      <c r="D467" s="9" t="str">
        <f ca="1">+WORLDCUP!BD67</f>
        <v>Argelia</v>
      </c>
      <c r="E467" s="9" t="str">
        <f ca="1">+WORLDCUP!BD59</f>
        <v>Bosnia y Herzegovina</v>
      </c>
      <c r="F467" s="9" t="str">
        <f ca="1">+WORLDCUP!BD60</f>
        <v>Escocia</v>
      </c>
      <c r="G467" s="9" t="str">
        <f ca="1">+WORLDCUP!BD58</f>
        <v>República Checa</v>
      </c>
      <c r="H467" s="9" t="str">
        <f ca="1">+WORLDCUP!BD61</f>
        <v>Paraguay</v>
      </c>
      <c r="I467" s="9" t="str">
        <f ca="1">+WORLDCUP!BD69</f>
        <v>Croacia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Cabo Verde</v>
      </c>
      <c r="D468" s="9" t="str">
        <f ca="1">+WORLDCUP!BD67</f>
        <v>Argelia</v>
      </c>
      <c r="E468" s="9" t="str">
        <f ca="1">+WORLDCUP!BD59</f>
        <v>Bosnia y Herzegovina</v>
      </c>
      <c r="F468" s="9" t="str">
        <f ca="1">+WORLDCUP!BD60</f>
        <v>Escocia</v>
      </c>
      <c r="G468" s="9" t="str">
        <f ca="1">+WORLDCUP!BD58</f>
        <v>República Checa</v>
      </c>
      <c r="H468" s="9" t="str">
        <f ca="1">+WORLDCUP!BD61</f>
        <v>Paraguay</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Cabo Verde</v>
      </c>
      <c r="D469" s="9" t="str">
        <f ca="1">+WORLDCUP!BD62</f>
        <v>Ecuador</v>
      </c>
      <c r="E469" s="9" t="str">
        <f ca="1">+WORLDCUP!BD59</f>
        <v>Bosnia y Herzegovina</v>
      </c>
      <c r="F469" s="9" t="str">
        <f ca="1">+WORLDCUP!BD60</f>
        <v>Escocia</v>
      </c>
      <c r="G469" s="9" t="str">
        <f ca="1">+WORLDCUP!BD58</f>
        <v>República Checa</v>
      </c>
      <c r="H469" s="9" t="str">
        <f ca="1">+WORLDCUP!BD61</f>
        <v>Paraguay</v>
      </c>
      <c r="I469" s="9" t="str">
        <f ca="1">+WORLDCUP!BD69</f>
        <v>Croacia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Cabo Verde</v>
      </c>
      <c r="D470" s="9" t="str">
        <f ca="1">+WORLDCUP!BD62</f>
        <v>Ecuador</v>
      </c>
      <c r="E470" s="9" t="str">
        <f ca="1">+WORLDCUP!BD59</f>
        <v>Bosnia y Herzegovina</v>
      </c>
      <c r="F470" s="9" t="str">
        <f ca="1">+WORLDCUP!BD60</f>
        <v>Escocia</v>
      </c>
      <c r="G470" s="9" t="str">
        <f ca="1">+WORLDCUP!BD58</f>
        <v>República Checa</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Cabo Verde</v>
      </c>
      <c r="D471" s="9" t="str">
        <f ca="1">+WORLDCUP!BD67</f>
        <v>Argelia</v>
      </c>
      <c r="E471" s="9" t="str">
        <f ca="1">+WORLDCUP!BD59</f>
        <v>Bosnia y Herzegovina</v>
      </c>
      <c r="F471" s="9" t="str">
        <f ca="1">+WORLDCUP!BD60</f>
        <v>Escocia</v>
      </c>
      <c r="G471" s="9" t="str">
        <f ca="1">+WORLDCUP!BD58</f>
        <v>República Checa</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Bélgica</v>
      </c>
      <c r="E472" s="9" t="str">
        <f ca="1">+WORLDCUP!BD59</f>
        <v>Bosnia y Herzegovina</v>
      </c>
      <c r="F472" s="9" t="str">
        <f ca="1">+WORLDCUP!BD60</f>
        <v>Escocia</v>
      </c>
      <c r="G472" s="9" t="str">
        <f ca="1">+WORLDCUP!BD58</f>
        <v>República Checa</v>
      </c>
      <c r="H472" s="9" t="str">
        <f ca="1">+WORLDCUP!BD61</f>
        <v>Paraguay</v>
      </c>
      <c r="I472" s="9" t="str">
        <f ca="1">+WORLDCUP!BD69</f>
        <v>Croacia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Bélgica</v>
      </c>
      <c r="E473" s="9" t="str">
        <f ca="1">+WORLDCUP!BD59</f>
        <v>Bosnia y Herzegovina</v>
      </c>
      <c r="F473" s="9" t="str">
        <f ca="1">+WORLDCUP!BD60</f>
        <v>Escocia</v>
      </c>
      <c r="G473" s="9" t="str">
        <f ca="1">+WORLDCUP!BD58</f>
        <v>República Checa</v>
      </c>
      <c r="H473" s="9" t="str">
        <f ca="1">+WORLDCUP!BD61</f>
        <v>Paraguay</v>
      </c>
      <c r="I473" s="9" t="str">
        <f ca="1">+WORLDCUP!BD69</f>
        <v>Croacia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Bélgica</v>
      </c>
      <c r="E474" s="9" t="str">
        <f ca="1">+WORLDCUP!BD59</f>
        <v>Bosnia y Herzegovina</v>
      </c>
      <c r="F474" s="9" t="str">
        <f ca="1">+WORLDCUP!BD60</f>
        <v>Escocia</v>
      </c>
      <c r="G474" s="9" t="str">
        <f ca="1">+WORLDCUP!BD58</f>
        <v>República Checa</v>
      </c>
      <c r="H474" s="9" t="str">
        <f ca="1">+WORLDCUP!BD61</f>
        <v>Paraguay</v>
      </c>
      <c r="I474" s="9" t="str">
        <f ca="1">+WORLDCUP!BD67</f>
        <v>Argelia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Bélgica</v>
      </c>
      <c r="E475" s="9" t="str">
        <f ca="1">+WORLDCUP!BD59</f>
        <v>Bosnia y Herzegovina</v>
      </c>
      <c r="F475" s="9" t="str">
        <f ca="1">+WORLDCUP!BD60</f>
        <v>Escocia</v>
      </c>
      <c r="G475" s="9" t="str">
        <f ca="1">+WORLDCUP!BD58</f>
        <v>República Checa</v>
      </c>
      <c r="H475" s="9" t="str">
        <f ca="1">+WORLDCUP!BD61</f>
        <v>Paraguay</v>
      </c>
      <c r="I475" s="9" t="str">
        <f ca="1">+WORLDCUP!BD69</f>
        <v>Croacia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Bélgica</v>
      </c>
      <c r="E476" s="9" t="str">
        <f ca="1">+WORLDCUP!BD59</f>
        <v>Bosnia y Herzegovina</v>
      </c>
      <c r="F476" s="9" t="str">
        <f ca="1">+WORLDCUP!BD60</f>
        <v>Escocia</v>
      </c>
      <c r="G476" s="9" t="str">
        <f ca="1">+WORLDCUP!BD58</f>
        <v>República Checa</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Bélgica</v>
      </c>
      <c r="E477" s="9" t="str">
        <f ca="1">+WORLDCUP!BD59</f>
        <v>Bosnia y Herzegovina</v>
      </c>
      <c r="F477" s="9" t="str">
        <f ca="1">+WORLDCUP!BD60</f>
        <v>Escocia</v>
      </c>
      <c r="G477" s="9" t="str">
        <f ca="1">+WORLDCUP!BD58</f>
        <v>República Checa</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Cabo Verde</v>
      </c>
      <c r="D478" s="9" t="str">
        <f ca="1">+WORLDCUP!BD64</f>
        <v>Bélgica</v>
      </c>
      <c r="E478" s="9" t="str">
        <f ca="1">+WORLDCUP!BD59</f>
        <v>Bosnia y Herzegovina</v>
      </c>
      <c r="F478" s="9" t="str">
        <f ca="1">+WORLDCUP!BD60</f>
        <v>Escocia</v>
      </c>
      <c r="G478" s="9" t="str">
        <f ca="1">+WORLDCUP!BD58</f>
        <v>República Checa</v>
      </c>
      <c r="H478" s="9" t="str">
        <f ca="1">+WORLDCUP!BD61</f>
        <v>Paraguay</v>
      </c>
      <c r="I478" s="9" t="str">
        <f ca="1">+WORLDCUP!BD69</f>
        <v>Croacia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Cabo Verde</v>
      </c>
      <c r="D479" s="9" t="str">
        <f ca="1">+WORLDCUP!BD64</f>
        <v>Bélgica</v>
      </c>
      <c r="E479" s="9" t="str">
        <f ca="1">+WORLDCUP!BD59</f>
        <v>Bosnia y Herzegovina</v>
      </c>
      <c r="F479" s="9" t="str">
        <f ca="1">+WORLDCUP!BD60</f>
        <v>Escocia</v>
      </c>
      <c r="G479" s="9" t="str">
        <f ca="1">+WORLDCUP!BD58</f>
        <v>República Checa</v>
      </c>
      <c r="H479" s="9" t="str">
        <f ca="1">+WORLDCUP!BD61</f>
        <v>Paraguay</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Cabo Verde</v>
      </c>
      <c r="D480" s="9" t="str">
        <f ca="1">+WORLDCUP!BD64</f>
        <v>Bélgica</v>
      </c>
      <c r="E480" s="9" t="str">
        <f ca="1">+WORLDCUP!BD59</f>
        <v>Bosnia y Herzegovina</v>
      </c>
      <c r="F480" s="9" t="str">
        <f ca="1">+WORLDCUP!BD60</f>
        <v>Escocia</v>
      </c>
      <c r="G480" s="9" t="str">
        <f ca="1">+WORLDCUP!BD58</f>
        <v>República Checa</v>
      </c>
      <c r="H480" s="9" t="str">
        <f ca="1">+WORLDCUP!BD61</f>
        <v>Paraguay</v>
      </c>
      <c r="I480" s="9" t="str">
        <f ca="1">+WORLDCUP!BD62</f>
        <v>Ecuador</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Cabo Verde</v>
      </c>
      <c r="D481" s="9" t="str">
        <f ca="1">+WORLDCUP!BD64</f>
        <v>Bélgica</v>
      </c>
      <c r="E481" s="9" t="str">
        <f ca="1">+WORLDCUP!BD59</f>
        <v>Bosnia y Herzegovina</v>
      </c>
      <c r="F481" s="9" t="str">
        <f ca="1">+WORLDCUP!BD60</f>
        <v>Escocia</v>
      </c>
      <c r="G481" s="9" t="str">
        <f ca="1">+WORLDCUP!BD58</f>
        <v>República Checa</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República Checa</v>
      </c>
      <c r="H482" s="9" t="str">
        <f ca="1">+WORLDCUP!BD63</f>
        <v>Suecia</v>
      </c>
      <c r="I482" s="9" t="str">
        <f ca="1">+WORLDCUP!BD69</f>
        <v>Croacia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República Checa</v>
      </c>
      <c r="H483" s="9" t="str">
        <f ca="1">+WORLDCUP!BD63</f>
        <v>Suecia</v>
      </c>
      <c r="I483" s="9" t="str">
        <f ca="1">+WORLDCUP!BD69</f>
        <v>Croacia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República Checa</v>
      </c>
      <c r="H484" s="9" t="str">
        <f ca="1">+WORLDCUP!BD63</f>
        <v>Suecia</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República Checa</v>
      </c>
      <c r="H485" s="9" t="str">
        <f ca="1">+WORLDCUP!BD63</f>
        <v>Suecia</v>
      </c>
      <c r="I485" s="9" t="str">
        <f ca="1">+WORLDCUP!BD69</f>
        <v>Croacia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República Checa</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República Checa</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Cabo Verde</v>
      </c>
      <c r="D488" s="9" t="str">
        <f ca="1">+WORLDCUP!BD63</f>
        <v>Suecia</v>
      </c>
      <c r="E488" s="9" t="str">
        <f ca="1">+WORLDCUP!BD59</f>
        <v>Bosnia y Herzegovina</v>
      </c>
      <c r="F488" s="9" t="str">
        <f ca="1">+WORLDCUP!BD60</f>
        <v>Escocia</v>
      </c>
      <c r="G488" s="9" t="str">
        <f ca="1">+WORLDCUP!BD58</f>
        <v>República Checa</v>
      </c>
      <c r="H488" s="9" t="str">
        <f ca="1">+WORLDCUP!BD61</f>
        <v>Paraguay</v>
      </c>
      <c r="I488" s="9" t="str">
        <f ca="1">+WORLDCUP!BD69</f>
        <v>Croacia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Cabo Verde</v>
      </c>
      <c r="D489" s="9" t="str">
        <f ca="1">+WORLDCUP!BD62</f>
        <v>Ecuador</v>
      </c>
      <c r="E489" s="9" t="str">
        <f ca="1">+WORLDCUP!BD59</f>
        <v>Bosnia y Herzegovina</v>
      </c>
      <c r="F489" s="9" t="str">
        <f ca="1">+WORLDCUP!BD60</f>
        <v>Escocia</v>
      </c>
      <c r="G489" s="9" t="str">
        <f ca="1">+WORLDCUP!BD58</f>
        <v>República Checa</v>
      </c>
      <c r="H489" s="9" t="str">
        <f ca="1">+WORLDCUP!BD63</f>
        <v>Suecia</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Cabo Verde</v>
      </c>
      <c r="D490" s="9" t="str">
        <f ca="1">+WORLDCUP!BD67</f>
        <v>Argelia</v>
      </c>
      <c r="E490" s="9" t="str">
        <f ca="1">+WORLDCUP!BD59</f>
        <v>Bosnia y Herzegovina</v>
      </c>
      <c r="F490" s="9" t="str">
        <f ca="1">+WORLDCUP!BD60</f>
        <v>Escocia</v>
      </c>
      <c r="G490" s="9" t="str">
        <f ca="1">+WORLDCUP!BD58</f>
        <v>República Checa</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Cabo Verde</v>
      </c>
      <c r="D491" s="9" t="str">
        <f ca="1">+WORLDCUP!BD62</f>
        <v>Ecuador</v>
      </c>
      <c r="E491" s="9" t="str">
        <f ca="1">+WORLDCUP!BD59</f>
        <v>Bosnia y Herzegovina</v>
      </c>
      <c r="F491" s="9" t="str">
        <f ca="1">+WORLDCUP!BD60</f>
        <v>Escocia</v>
      </c>
      <c r="G491" s="9" t="str">
        <f ca="1">+WORLDCUP!BD58</f>
        <v>República Checa</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Bélgica</v>
      </c>
      <c r="E492" s="9" t="str">
        <f ca="1">+WORLDCUP!BD59</f>
        <v>Bosnia y Herzegovina</v>
      </c>
      <c r="F492" s="9" t="str">
        <f ca="1">+WORLDCUP!BD61</f>
        <v>Paraguay</v>
      </c>
      <c r="G492" s="9" t="str">
        <f ca="1">+WORLDCUP!BD58</f>
        <v>República Checa</v>
      </c>
      <c r="H492" s="9" t="str">
        <f ca="1">+WORLDCUP!BD63</f>
        <v>Suecia</v>
      </c>
      <c r="I492" s="9" t="str">
        <f ca="1">+WORLDCUP!BD69</f>
        <v>Croacia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Bélgica</v>
      </c>
      <c r="E493" s="9" t="str">
        <f ca="1">+WORLDCUP!BD59</f>
        <v>Bosnia y Herzegovina</v>
      </c>
      <c r="F493" s="9" t="str">
        <f ca="1">+WORLDCUP!BD61</f>
        <v>Paraguay</v>
      </c>
      <c r="G493" s="9" t="str">
        <f ca="1">+WORLDCUP!BD58</f>
        <v>República Checa</v>
      </c>
      <c r="H493" s="9" t="str">
        <f ca="1">+WORLDCUP!BD63</f>
        <v>Suecia</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Bélgica</v>
      </c>
      <c r="E494" s="9" t="str">
        <f ca="1">+WORLDCUP!BD59</f>
        <v>Bosnia y Herzegovina</v>
      </c>
      <c r="F494" s="9" t="str">
        <f ca="1">+WORLDCUP!BD61</f>
        <v>Paraguay</v>
      </c>
      <c r="G494" s="9" t="str">
        <f ca="1">+WORLDCUP!BD58</f>
        <v>República Checa</v>
      </c>
      <c r="H494" s="9" t="str">
        <f ca="1">+WORLDCUP!BD63</f>
        <v>Suecia</v>
      </c>
      <c r="I494" s="9" t="str">
        <f ca="1">+WORLDCUP!BD62</f>
        <v>Ecuador</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Bélgica</v>
      </c>
      <c r="E495" s="9" t="str">
        <f ca="1">+WORLDCUP!BD59</f>
        <v>Bosnia y Herzegovina</v>
      </c>
      <c r="F495" s="9" t="str">
        <f ca="1">+WORLDCUP!BD61</f>
        <v>Paraguay</v>
      </c>
      <c r="G495" s="9" t="str">
        <f ca="1">+WORLDCUP!BD58</f>
        <v>República Checa</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Cabo Verde</v>
      </c>
      <c r="D496" s="9" t="str">
        <f ca="1">+WORLDCUP!BD64</f>
        <v>Bélgica</v>
      </c>
      <c r="E496" s="9" t="str">
        <f ca="1">+WORLDCUP!BD59</f>
        <v>Bosnia y Herzegovina</v>
      </c>
      <c r="F496" s="9" t="str">
        <f ca="1">+WORLDCUP!BD60</f>
        <v>Escocia</v>
      </c>
      <c r="G496" s="9" t="str">
        <f ca="1">+WORLDCUP!BD58</f>
        <v>República Checa</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9"/>
      <c r="D4" s="629"/>
      <c r="E4" s="629"/>
      <c r="F4" s="629"/>
      <c r="G4" s="629"/>
      <c r="H4" s="629"/>
      <c r="I4" s="629"/>
      <c r="J4" s="684"/>
      <c r="K4" s="224"/>
      <c r="L4" s="330" t="str">
        <f>+Idiomas!D84</f>
        <v>· Selecciona el idioma y la zona horaria</v>
      </c>
      <c r="M4" s="232"/>
      <c r="N4" s="232"/>
      <c r="O4" s="232"/>
      <c r="P4" s="232"/>
      <c r="Q4" s="232"/>
      <c r="R4" s="334"/>
    </row>
    <row r="5" spans="1:18" x14ac:dyDescent="0.2">
      <c r="A5" s="223"/>
      <c r="B5" s="683"/>
      <c r="C5" s="629"/>
      <c r="D5" s="629"/>
      <c r="E5" s="629"/>
      <c r="F5" s="629"/>
      <c r="G5" s="629"/>
      <c r="H5" s="629"/>
      <c r="I5" s="629"/>
      <c r="J5" s="684"/>
      <c r="K5" s="224"/>
      <c r="L5" s="330" t="str">
        <f>+Idiomas!D85</f>
        <v>· Si vas a participar en una porra escribe tu nombre</v>
      </c>
      <c r="M5" s="232"/>
      <c r="N5" s="232"/>
      <c r="O5" s="232"/>
      <c r="P5" s="232"/>
      <c r="Q5" s="232"/>
      <c r="R5" s="334"/>
    </row>
    <row r="6" spans="1:18" x14ac:dyDescent="0.2">
      <c r="A6" s="223"/>
      <c r="B6" s="683"/>
      <c r="C6" s="629"/>
      <c r="D6" s="629"/>
      <c r="E6" s="629"/>
      <c r="F6" s="629"/>
      <c r="G6" s="629"/>
      <c r="H6" s="629"/>
      <c r="I6" s="629"/>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9"/>
      <c r="D7" s="629"/>
      <c r="E7" s="629"/>
      <c r="F7" s="629"/>
      <c r="G7" s="629"/>
      <c r="H7" s="629"/>
      <c r="I7" s="629"/>
      <c r="J7" s="684"/>
      <c r="K7" s="224"/>
      <c r="L7" s="335"/>
      <c r="M7" s="336"/>
      <c r="N7" s="336"/>
      <c r="O7" s="336"/>
      <c r="P7" s="336"/>
      <c r="Q7" s="336"/>
      <c r="R7" s="337"/>
    </row>
    <row r="8" spans="1:18" x14ac:dyDescent="0.2">
      <c r="A8" s="223"/>
      <c r="B8" s="683"/>
      <c r="C8" s="629"/>
      <c r="D8" s="629"/>
      <c r="E8" s="629"/>
      <c r="F8" s="629"/>
      <c r="G8" s="629"/>
      <c r="H8" s="629"/>
      <c r="I8" s="629"/>
      <c r="J8" s="684"/>
      <c r="K8" s="224"/>
    </row>
    <row r="9" spans="1:18" x14ac:dyDescent="0.2">
      <c r="A9" s="223"/>
      <c r="B9" s="683"/>
      <c r="C9" s="629"/>
      <c r="D9" s="629"/>
      <c r="E9" s="629"/>
      <c r="F9" s="629"/>
      <c r="G9" s="629"/>
      <c r="H9" s="629"/>
      <c r="I9" s="629"/>
      <c r="J9" s="684"/>
      <c r="K9" s="224"/>
      <c r="L9" s="259" t="s">
        <v>309</v>
      </c>
    </row>
    <row r="10" spans="1:18" x14ac:dyDescent="0.2">
      <c r="A10" s="223"/>
      <c r="B10" s="683"/>
      <c r="C10" s="629"/>
      <c r="D10" s="629"/>
      <c r="E10" s="629"/>
      <c r="F10" s="629"/>
      <c r="G10" s="629"/>
      <c r="H10" s="629"/>
      <c r="I10" s="629"/>
      <c r="J10" s="684"/>
      <c r="K10" s="224"/>
      <c r="L10" s="331"/>
      <c r="M10" s="332"/>
      <c r="N10" s="332"/>
      <c r="O10" s="332"/>
      <c r="P10" s="332"/>
      <c r="Q10" s="332"/>
      <c r="R10" s="333"/>
    </row>
    <row r="11" spans="1:18" x14ac:dyDescent="0.2">
      <c r="A11" s="223"/>
      <c r="B11" s="683"/>
      <c r="C11" s="629"/>
      <c r="D11" s="629"/>
      <c r="E11" s="629"/>
      <c r="F11" s="629"/>
      <c r="G11" s="629"/>
      <c r="H11" s="629"/>
      <c r="I11" s="629"/>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9"/>
      <c r="O84" s="629"/>
      <c r="P84" s="629"/>
      <c r="Q84" s="629"/>
      <c r="R84" s="629"/>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2026-06-24T03:58:27Z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
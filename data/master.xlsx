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CB4EEE78-4FDA-C547-BADC-B43AB5886F90}"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AG105" i="2"/>
  <c r="N122" i="2"/>
  <c r="AF122" i="2" s="1"/>
  <c r="C192" i="3" s="1"/>
  <c r="M124" i="2"/>
  <c r="AA124" i="2" s="1"/>
  <c r="AG112" i="2"/>
  <c r="E73"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I88" i="2"/>
  <c r="AA159" i="2"/>
  <c r="BA21" i="4"/>
  <c r="R73" i="2"/>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R15" i="4" s="1"/>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6" i="4" l="1"/>
  <c r="F15" i="4"/>
  <c r="R46" i="4"/>
  <c r="R45" i="4"/>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4" i="4" l="1"/>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BP27" i="2"/>
  <c r="BP53" i="2"/>
  <c r="AU53" i="2"/>
  <c r="AV52" i="2" s="1"/>
  <c r="M105" i="2"/>
  <c r="AA106" i="2" s="1"/>
  <c r="N106" i="2"/>
  <c r="AF105" i="2" s="1"/>
  <c r="BP31" i="2"/>
  <c r="BP41" i="2"/>
  <c r="BP16" i="2"/>
  <c r="M116" i="2"/>
  <c r="AA114" i="2" s="1"/>
  <c r="M109" i="2"/>
  <c r="AA110" i="2" s="1"/>
  <c r="BP44" i="2"/>
  <c r="BP39" i="2"/>
  <c r="BP25" i="2"/>
  <c r="BP9" i="2"/>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33"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3" i="3"/>
  <c r="C173" i="3"/>
  <c r="AA49" i="4"/>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BT43" i="2"/>
  <c r="BT51" i="2"/>
  <c r="BT41" i="2"/>
  <c r="BT38" i="2"/>
  <c r="BT44" i="2"/>
  <c r="BT14" i="2"/>
  <c r="F24" i="2" s="1"/>
  <c r="BT42" i="2"/>
  <c r="BT9" i="2"/>
  <c r="E8" i="2" s="1"/>
  <c r="BT37" i="2"/>
  <c r="BT8" i="2"/>
  <c r="F9" i="2" s="1"/>
  <c r="BT18" i="2"/>
  <c r="BT11" i="2"/>
  <c r="E17" i="2" s="1"/>
  <c r="BT25" i="2"/>
  <c r="BT39" i="2"/>
  <c r="BT52" i="2"/>
  <c r="BT16" i="2"/>
  <c r="F25" i="2" s="1"/>
  <c r="BT32" i="2"/>
  <c r="BT17" i="2"/>
  <c r="E24" i="2" s="1"/>
  <c r="BT35" i="2"/>
  <c r="BT26" i="2"/>
  <c r="BT50" i="2"/>
  <c r="BT30" i="2"/>
  <c r="BT34" i="2"/>
  <c r="BT7" i="2"/>
  <c r="E9" i="2" s="1"/>
  <c r="BT27" i="2"/>
  <c r="BT28" i="2"/>
  <c r="BT48" i="2"/>
  <c r="BT20" i="2"/>
  <c r="BT24" i="2"/>
  <c r="BT13" i="2"/>
  <c r="E16" i="2" s="1"/>
  <c r="BT23" i="2"/>
  <c r="BT22" i="2"/>
  <c r="BT31" i="2"/>
  <c r="BT49" i="2"/>
  <c r="BT21" i="2"/>
  <c r="BT15" i="2"/>
  <c r="E25" i="2" s="1"/>
  <c r="BT45" i="2"/>
  <c r="BT33" i="2"/>
  <c r="BT12" i="2"/>
  <c r="F17" i="2" s="1"/>
  <c r="BT6" i="2"/>
  <c r="F8" i="2" s="1"/>
  <c r="BT10" i="2"/>
  <c r="F16" i="2" s="1"/>
  <c r="BT46" i="2"/>
  <c r="BT19" i="2"/>
  <c r="BT29" i="2"/>
  <c r="BT53" i="2"/>
  <c r="BT36" i="2"/>
  <c r="F85" i="2" l="1"/>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BV30" i="2" s="1"/>
  <c r="F55" i="2"/>
  <c r="F53" i="2"/>
  <c r="BV32" i="2" s="1"/>
  <c r="E55" i="2"/>
  <c r="F61" i="2"/>
  <c r="E63" i="2"/>
  <c r="F60" i="2"/>
  <c r="F63" i="2"/>
  <c r="E52" i="2"/>
  <c r="E54" i="2"/>
  <c r="E53" i="2"/>
  <c r="F54" i="2"/>
  <c r="E61" i="2"/>
  <c r="F62" i="2"/>
  <c r="E60" i="2"/>
  <c r="BV35" i="2" s="1"/>
  <c r="E62" i="2"/>
  <c r="F45" i="2"/>
  <c r="E47" i="2"/>
  <c r="F44" i="2"/>
  <c r="BV26" i="2" s="1"/>
  <c r="F47" i="2"/>
  <c r="F37" i="2"/>
  <c r="E39" i="2"/>
  <c r="BV23" i="2" s="1"/>
  <c r="F36" i="2"/>
  <c r="F39" i="2"/>
  <c r="BV25" i="2" s="1"/>
  <c r="E36" i="2"/>
  <c r="BW23" i="2" s="1"/>
  <c r="E38" i="2"/>
  <c r="E37" i="2"/>
  <c r="BW25" i="2" s="1"/>
  <c r="F38" i="2"/>
  <c r="E45" i="2"/>
  <c r="F46" i="2"/>
  <c r="BU26" i="2" s="1"/>
  <c r="E44" i="2"/>
  <c r="BV27" i="2" s="1"/>
  <c r="E46" i="2"/>
  <c r="F28" i="2"/>
  <c r="F31" i="2"/>
  <c r="F29" i="2"/>
  <c r="BU20" i="2" s="1"/>
  <c r="E31" i="2"/>
  <c r="BU19" i="2" s="1"/>
  <c r="E21" i="2"/>
  <c r="F23" i="2"/>
  <c r="E20" i="2"/>
  <c r="BV15" i="2" s="1"/>
  <c r="E23" i="2"/>
  <c r="F20" i="2"/>
  <c r="F22" i="2"/>
  <c r="F21" i="2"/>
  <c r="E22" i="2"/>
  <c r="E29" i="2"/>
  <c r="F30" i="2"/>
  <c r="E28" i="2"/>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W8" i="2"/>
  <c r="BV8" i="2"/>
  <c r="BW46" i="2"/>
  <c r="BV46" i="2"/>
  <c r="BU46" i="2"/>
  <c r="BV31" i="2"/>
  <c r="BW31" i="2"/>
  <c r="BU31" i="2"/>
  <c r="BW14" i="2"/>
  <c r="BV14" i="2"/>
  <c r="BU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W19" i="2"/>
  <c r="BV19" i="2"/>
  <c r="BV21" i="2"/>
  <c r="BU21" i="2"/>
  <c r="BW21" i="2"/>
  <c r="BU9" i="2"/>
  <c r="BV22" i="2"/>
  <c r="BU22" i="2"/>
  <c r="BW22" i="2"/>
  <c r="BW33" i="2"/>
  <c r="BV33" i="2"/>
  <c r="BU33" i="2"/>
  <c r="BV44" i="2"/>
  <c r="BU15" i="2"/>
  <c r="BW15" i="2"/>
  <c r="BW43" i="2"/>
  <c r="BV43" i="2"/>
  <c r="BU43" i="2"/>
  <c r="BW49" i="2"/>
  <c r="BV49" i="2"/>
  <c r="BU49" i="2"/>
  <c r="BU7" i="2"/>
  <c r="BU30" i="2"/>
  <c r="BW30" i="2"/>
  <c r="BU39" i="2"/>
  <c r="BV39" i="2"/>
  <c r="BU36" i="2"/>
  <c r="BW36" i="2"/>
  <c r="BV36" i="2"/>
  <c r="BW13" i="2"/>
  <c r="BV13" i="2"/>
  <c r="BU13" i="2"/>
  <c r="BW50" i="2"/>
  <c r="BW38" i="2"/>
  <c r="BV38" i="2"/>
  <c r="BV37" i="2" l="1"/>
  <c r="BX37" i="2" s="1"/>
  <c r="BX40" i="2"/>
  <c r="BX32" i="2"/>
  <c r="BX27" i="2"/>
  <c r="BX47" i="2"/>
  <c r="BX29" i="2"/>
  <c r="BX43" i="2"/>
  <c r="BX24" i="2"/>
  <c r="BX22"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I17" i="2" s="1"/>
  <c r="BZ53" i="2"/>
  <c r="H95" i="2" s="1"/>
  <c r="BZ25" i="2"/>
  <c r="H39" i="2" s="1"/>
  <c r="BZ51" i="2"/>
  <c r="I95" i="2" s="1"/>
  <c r="BZ16" i="2"/>
  <c r="BZ50" i="2"/>
  <c r="H94" i="2" s="1"/>
  <c r="BZ34" i="2"/>
  <c r="H62" i="2" s="1"/>
  <c r="BZ41" i="2"/>
  <c r="H71" i="2" s="1"/>
  <c r="BZ30" i="2"/>
  <c r="H54" i="2" s="1"/>
  <c r="BZ9" i="2"/>
  <c r="H8" i="2" s="1"/>
  <c r="BZ32" i="2"/>
  <c r="I54" i="2" s="1"/>
  <c r="BZ17" i="2"/>
  <c r="BZ47" i="2"/>
  <c r="I87" i="2" s="1"/>
  <c r="BZ6" i="2"/>
  <c r="BZ38" i="2"/>
  <c r="H70" i="2" s="1"/>
  <c r="BZ46" i="2"/>
  <c r="H86" i="2" s="1"/>
  <c r="BZ15" i="2"/>
  <c r="BZ44" i="2"/>
  <c r="I78" i="2" s="1"/>
  <c r="BZ48" i="2"/>
  <c r="I86" i="2" s="1"/>
  <c r="BZ26" i="2"/>
  <c r="H46" i="2" s="1"/>
  <c r="BZ19" i="2"/>
  <c r="I31" i="2" s="1"/>
  <c r="BZ20" i="2"/>
  <c r="I30" i="2" s="1"/>
  <c r="BZ29" i="2"/>
  <c r="H47" i="2" s="1"/>
  <c r="BZ10" i="2"/>
  <c r="BZ8" i="2"/>
  <c r="BZ28" i="2"/>
  <c r="I46" i="2" s="1"/>
  <c r="BZ37" i="2"/>
  <c r="H63" i="2" s="1"/>
  <c r="BZ52" i="2"/>
  <c r="I94" i="2" s="1"/>
  <c r="BZ13" i="2"/>
  <c r="BZ35" i="2"/>
  <c r="I63" i="2" s="1"/>
  <c r="BZ18" i="2"/>
  <c r="H30" i="2" s="1"/>
  <c r="BZ43" i="2"/>
  <c r="I79" i="2" s="1"/>
  <c r="BZ11" i="2"/>
  <c r="BZ14" i="2"/>
  <c r="BZ7" i="2"/>
  <c r="H9" i="2" s="1"/>
  <c r="I22" i="2" l="1"/>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I69" i="2"/>
  <c r="I68" i="2"/>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H20" i="2"/>
  <c r="CA13" i="2"/>
  <c r="I13" i="2"/>
  <c r="I28" i="2"/>
  <c r="CB18" i="2" s="1"/>
  <c r="H28" i="2"/>
  <c r="CA19" i="2" s="1"/>
  <c r="I12" i="2"/>
  <c r="H12" i="2"/>
  <c r="CA11" i="2" s="1"/>
  <c r="CB28" i="2"/>
  <c r="CC28" i="2" s="1"/>
  <c r="CA17" i="2"/>
  <c r="CC17" i="2" s="1"/>
  <c r="CA29" i="2"/>
  <c r="CC29" i="2" s="1"/>
  <c r="CB53" i="2"/>
  <c r="I7" i="2"/>
  <c r="I9" i="2"/>
  <c r="CB16" i="2"/>
  <c r="CC16" i="2" s="1"/>
  <c r="H7" i="2"/>
  <c r="I8" i="2"/>
  <c r="CB47" i="2"/>
  <c r="I4" i="2"/>
  <c r="CB6" i="2" s="1"/>
  <c r="I6" i="2"/>
  <c r="I5" i="2"/>
  <c r="H6" i="2"/>
  <c r="H5" i="2"/>
  <c r="CA52" i="2"/>
  <c r="CB13" i="2"/>
  <c r="CB37" i="2"/>
  <c r="CB51" i="2"/>
  <c r="CB48" i="2"/>
  <c r="CC48" i="2" s="1"/>
  <c r="H4" i="2"/>
  <c r="CA41" i="2"/>
  <c r="CC49" i="2"/>
  <c r="CB15" i="2" l="1"/>
  <c r="CB14" i="2"/>
  <c r="CA44" i="2"/>
  <c r="CC44" i="2" s="1"/>
  <c r="CB10" i="2"/>
  <c r="CB38" i="2"/>
  <c r="CA38" i="2"/>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B31" i="2"/>
  <c r="CC31" i="2" s="1"/>
  <c r="CC37" i="2"/>
  <c r="CA20" i="2"/>
  <c r="CC20" i="2" s="1"/>
  <c r="CB19" i="2"/>
  <c r="CC19" i="2" s="1"/>
  <c r="CB24" i="2"/>
  <c r="CC24" i="2" s="1"/>
  <c r="CA26" i="2"/>
  <c r="CC26" i="2" s="1"/>
  <c r="CB34" i="2"/>
  <c r="CC34" i="2" s="1"/>
  <c r="CA30" i="2"/>
  <c r="CC30" i="2" s="1"/>
  <c r="CA22" i="2"/>
  <c r="CC22" i="2" s="1"/>
  <c r="CA40" i="2"/>
  <c r="CB40" i="2"/>
  <c r="CA23" i="2"/>
  <c r="CC23" i="2" s="1"/>
  <c r="CA14" i="2"/>
  <c r="CB27" i="2"/>
  <c r="CC27" i="2" s="1"/>
  <c r="CB21" i="2"/>
  <c r="CC21" i="2" s="1"/>
  <c r="CA15" i="2"/>
  <c r="CC15" i="2" s="1"/>
  <c r="CA18" i="2"/>
  <c r="CC18" i="2" s="1"/>
  <c r="CC13" i="2"/>
  <c r="CB11" i="2"/>
  <c r="CC11" i="2" s="1"/>
  <c r="CA6" i="2"/>
  <c r="CC6" i="2" s="1"/>
  <c r="CA8" i="2"/>
  <c r="CC8" i="2" s="1"/>
  <c r="CA10" i="2"/>
  <c r="CC10" i="2" s="1"/>
  <c r="CB12" i="2"/>
  <c r="CA12" i="2"/>
  <c r="CA9" i="2"/>
  <c r="CB9" i="2"/>
  <c r="CB7" i="2"/>
  <c r="CA7" i="2"/>
  <c r="CC14" i="2" l="1"/>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K47" i="2" s="1"/>
  <c r="CE23" i="2"/>
  <c r="L39" i="2" s="1"/>
  <c r="CE30" i="2"/>
  <c r="K54" i="2" s="1"/>
  <c r="CE51" i="2"/>
  <c r="L95" i="2" s="1"/>
  <c r="CE53" i="2"/>
  <c r="K95" i="2" s="1"/>
  <c r="CE44" i="2"/>
  <c r="L78" i="2" s="1"/>
  <c r="CE52" i="2"/>
  <c r="L94" i="2" s="1"/>
  <c r="CE24" i="2"/>
  <c r="L38" i="2" s="1"/>
  <c r="CE50" i="2"/>
  <c r="K94" i="2" s="1"/>
  <c r="CE27" i="2"/>
  <c r="L47" i="2" s="1"/>
  <c r="CE39" i="2"/>
  <c r="L71" i="2" s="1"/>
  <c r="CE36" i="2"/>
  <c r="L62" i="2" s="1"/>
  <c r="CE42" i="2"/>
  <c r="K78" i="2" s="1"/>
  <c r="CE7" i="2"/>
  <c r="CE25" i="2"/>
  <c r="K39" i="2" s="1"/>
  <c r="CE20" i="2"/>
  <c r="L30" i="2" s="1"/>
  <c r="CE47" i="2"/>
  <c r="L87" i="2" s="1"/>
  <c r="CE34" i="2"/>
  <c r="K62" i="2" s="1"/>
  <c r="CE6" i="2"/>
  <c r="L8" i="2" s="1"/>
  <c r="CE33" i="2"/>
  <c r="K55" i="2" s="1"/>
  <c r="CE11" i="2"/>
  <c r="CE15" i="2"/>
  <c r="CE32" i="2"/>
  <c r="L54" i="2" s="1"/>
  <c r="CE8" i="2"/>
  <c r="L9" i="2" s="1"/>
  <c r="CE31" i="2"/>
  <c r="L55" i="2" s="1"/>
  <c r="CE45" i="2"/>
  <c r="K79" i="2" s="1"/>
  <c r="CE12" i="2"/>
  <c r="CE22" i="2"/>
  <c r="K38" i="2" s="1"/>
  <c r="CE37" i="2"/>
  <c r="K63" i="2" s="1"/>
  <c r="CE9" i="2"/>
  <c r="CE49" i="2"/>
  <c r="K87" i="2" s="1"/>
  <c r="CE28" i="2"/>
  <c r="L46" i="2" s="1"/>
  <c r="CE21" i="2"/>
  <c r="K31" i="2" s="1"/>
  <c r="CE48" i="2"/>
  <c r="L86" i="2" s="1"/>
  <c r="CE10" i="2"/>
  <c r="CE13" i="2"/>
  <c r="CE40" i="2"/>
  <c r="L70" i="2" s="1"/>
  <c r="CE38" i="2"/>
  <c r="K70" i="2" s="1"/>
  <c r="CE35" i="2"/>
  <c r="L63" i="2" s="1"/>
  <c r="CE16" i="2"/>
  <c r="CE26" i="2"/>
  <c r="K46" i="2" s="1"/>
  <c r="CE19" i="2"/>
  <c r="L31" i="2" s="1"/>
  <c r="CE18" i="2"/>
  <c r="K30" i="2" s="1"/>
  <c r="CE41" i="2"/>
  <c r="K71" i="2" s="1"/>
  <c r="CE43" i="2"/>
  <c r="L79" i="2" s="1"/>
  <c r="CE14" i="2"/>
  <c r="CE46" i="2"/>
  <c r="K86" i="2" s="1"/>
  <c r="L22" i="2" l="1"/>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J28" i="2" s="1"/>
  <c r="CH6" i="2"/>
  <c r="N4" i="2" s="1"/>
  <c r="CH34" i="2"/>
  <c r="N62" i="2" s="1"/>
  <c r="CH16" i="2"/>
  <c r="O25" i="2" s="1"/>
  <c r="CH44" i="2"/>
  <c r="O78" i="2" s="1"/>
  <c r="CH25" i="2"/>
  <c r="N39" i="2" s="1"/>
  <c r="CH8" i="2"/>
  <c r="O9" i="2" s="1"/>
  <c r="CH45" i="2"/>
  <c r="N79" i="2" s="1"/>
  <c r="CH18" i="2"/>
  <c r="CH23" i="2"/>
  <c r="CH47" i="2"/>
  <c r="O87" i="2" s="1"/>
  <c r="CH32" i="2"/>
  <c r="O54" i="2" s="1"/>
  <c r="CH43" i="2"/>
  <c r="O79" i="2" s="1"/>
  <c r="CH49" i="2"/>
  <c r="N87" i="2" s="1"/>
  <c r="CH14" i="2"/>
  <c r="CH38" i="2"/>
  <c r="CH36" i="2"/>
  <c r="O62" i="2" s="1"/>
  <c r="CH46" i="2"/>
  <c r="N86" i="2" s="1"/>
  <c r="CH48" i="2"/>
  <c r="O86" i="2" s="1"/>
  <c r="CH24" i="2"/>
  <c r="O38" i="2" s="1"/>
  <c r="CH31" i="2"/>
  <c r="O55" i="2" s="1"/>
  <c r="CH12" i="2"/>
  <c r="CH37" i="2"/>
  <c r="N63" i="2" s="1"/>
  <c r="CH35" i="2"/>
  <c r="O63" i="2" s="1"/>
  <c r="CH53" i="2"/>
  <c r="N95" i="2" s="1"/>
  <c r="CH17" i="2"/>
  <c r="CH19" i="2"/>
  <c r="O31" i="2" s="1"/>
  <c r="CH52" i="2"/>
  <c r="CH51" i="2"/>
  <c r="O95" i="2" s="1"/>
  <c r="CH9" i="2"/>
  <c r="O5" i="2" s="1"/>
  <c r="CH30" i="2"/>
  <c r="N54" i="2" s="1"/>
  <c r="CH13" i="2"/>
  <c r="CH42" i="2"/>
  <c r="N78" i="2" s="1"/>
  <c r="CH27" i="2"/>
  <c r="O47" i="2" s="1"/>
  <c r="CH40" i="2"/>
  <c r="N9" i="2"/>
  <c r="CH26" i="2"/>
  <c r="CH11" i="2"/>
  <c r="N17" i="2" s="1"/>
  <c r="CH33" i="2"/>
  <c r="CH22" i="2"/>
  <c r="CH21" i="2"/>
  <c r="CH15" i="2"/>
  <c r="CH10" i="2"/>
  <c r="O16" i="2" s="1"/>
  <c r="CH39" i="2"/>
  <c r="CH29" i="2"/>
  <c r="CH20" i="2"/>
  <c r="O30" i="2" s="1"/>
  <c r="CH50" i="2"/>
  <c r="O8" i="2"/>
  <c r="O22" i="2" l="1"/>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CK20" i="2" s="1"/>
  <c r="O7" i="2"/>
  <c r="N12" i="2"/>
  <c r="N15" i="2"/>
  <c r="O12" i="2"/>
  <c r="O14"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I41" i="2" l="1"/>
  <c r="CL41" i="2" s="1"/>
  <c r="CL43"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CN18" i="2"/>
  <c r="CN33" i="2"/>
  <c r="CN30" i="2"/>
  <c r="CN28" i="2"/>
  <c r="CN36" i="2"/>
  <c r="CN24" i="2"/>
  <c r="CN48" i="2"/>
  <c r="CN34" i="2"/>
  <c r="CN13" i="2"/>
  <c r="Q16" i="2" s="1"/>
  <c r="CN51" i="2"/>
  <c r="CN43" i="2"/>
  <c r="CN15" i="2"/>
  <c r="Q25" i="2" s="1"/>
  <c r="CN14" i="2"/>
  <c r="R24" i="2" s="1"/>
  <c r="CN40" i="2"/>
  <c r="CN26" i="2"/>
  <c r="CN31" i="2"/>
  <c r="CN38" i="2"/>
  <c r="CN21" i="2"/>
  <c r="CN23" i="2"/>
  <c r="CN17" i="2"/>
  <c r="Q24" i="2" s="1"/>
  <c r="CN20" i="2"/>
  <c r="CN35" i="2"/>
  <c r="CN44" i="2"/>
  <c r="CN25" i="2"/>
  <c r="CN39" i="2"/>
  <c r="CN52" i="2"/>
  <c r="CN47" i="2"/>
  <c r="CN50" i="2"/>
  <c r="CN16" i="2"/>
  <c r="R25" i="2" s="1"/>
  <c r="CN12" i="2"/>
  <c r="R17" i="2" s="1"/>
  <c r="CN22" i="2"/>
  <c r="CN19" i="2"/>
  <c r="CN49" i="2"/>
  <c r="CN41" i="2"/>
  <c r="CN8" i="2"/>
  <c r="CN9" i="2"/>
  <c r="CN10" i="2"/>
  <c r="R16" i="2" s="1"/>
  <c r="CN6" i="2"/>
  <c r="Q4" i="2" s="1"/>
  <c r="CN7" i="2"/>
  <c r="R4" i="2" s="1"/>
  <c r="CN46" i="2"/>
  <c r="CN11" i="2"/>
  <c r="Q17" i="2" s="1"/>
  <c r="R84" i="2" l="1"/>
  <c r="R87" i="2"/>
  <c r="R85" i="2"/>
  <c r="Q87" i="2"/>
  <c r="R93" i="2"/>
  <c r="CP52" i="2" s="1"/>
  <c r="Q95" i="2"/>
  <c r="R92" i="2"/>
  <c r="R95" i="2"/>
  <c r="Q92" i="2"/>
  <c r="Q94" i="2"/>
  <c r="CO52" i="2" s="1"/>
  <c r="Q93" i="2"/>
  <c r="R94" i="2"/>
  <c r="Q84" i="2"/>
  <c r="Q86" i="2"/>
  <c r="Q85" i="2"/>
  <c r="R86" i="2"/>
  <c r="R77" i="2"/>
  <c r="CO44" i="2" s="1"/>
  <c r="Q79" i="2"/>
  <c r="R76" i="2"/>
  <c r="R79" i="2"/>
  <c r="R68" i="2"/>
  <c r="CP38" i="2" s="1"/>
  <c r="R71" i="2"/>
  <c r="CP41" i="2" s="1"/>
  <c r="R69" i="2"/>
  <c r="CO40" i="2" s="1"/>
  <c r="Q71" i="2"/>
  <c r="CP39" i="2" s="1"/>
  <c r="Q68" i="2"/>
  <c r="Q70" i="2"/>
  <c r="Q69" i="2"/>
  <c r="R70" i="2"/>
  <c r="Q77" i="2"/>
  <c r="R78" i="2"/>
  <c r="R52" i="2"/>
  <c r="R55" i="2"/>
  <c r="R53" i="2"/>
  <c r="CP32" i="2" s="1"/>
  <c r="Q55" i="2"/>
  <c r="R60" i="2"/>
  <c r="R63" i="2"/>
  <c r="CP37" i="2" s="1"/>
  <c r="R61" i="2"/>
  <c r="Q63" i="2"/>
  <c r="Q53" i="2"/>
  <c r="R54" i="2"/>
  <c r="Q52" i="2"/>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CP19" i="2" s="1"/>
  <c r="Q30" i="2"/>
  <c r="CP20" i="2" s="1"/>
  <c r="Q29" i="2"/>
  <c r="R30" i="2"/>
  <c r="Q12" i="2"/>
  <c r="Q15" i="2"/>
  <c r="Q13" i="2"/>
  <c r="CO13" i="2" s="1"/>
  <c r="R15" i="2"/>
  <c r="R12" i="2"/>
  <c r="R14" i="2"/>
  <c r="R13" i="2"/>
  <c r="Q14" i="2"/>
  <c r="CP11" i="2" s="1"/>
  <c r="CP42" i="2"/>
  <c r="Q76" i="2"/>
  <c r="CO43" i="2" s="1"/>
  <c r="CP29" i="2"/>
  <c r="R45" i="2"/>
  <c r="R44" i="2"/>
  <c r="CO42" i="2"/>
  <c r="CO29" i="2"/>
  <c r="CQ29" i="2" s="1"/>
  <c r="R8" i="2"/>
  <c r="Q7" i="2"/>
  <c r="Q8" i="2"/>
  <c r="R5" i="2"/>
  <c r="CO8" i="2" s="1"/>
  <c r="Q6" i="2"/>
  <c r="CP7" i="2" s="1"/>
  <c r="CO33" i="2"/>
  <c r="CP33" i="2"/>
  <c r="CP16" i="2"/>
  <c r="CO16" i="2"/>
  <c r="CO36" i="2"/>
  <c r="CP36" i="2"/>
  <c r="R6" i="2"/>
  <c r="Q9" i="2"/>
  <c r="CO47" i="2"/>
  <c r="CP47" i="2"/>
  <c r="R9" i="2"/>
  <c r="Q5" i="2"/>
  <c r="R7" i="2"/>
  <c r="CP44" i="2"/>
  <c r="CO18" i="2"/>
  <c r="CP18" i="2"/>
  <c r="CO53" i="2"/>
  <c r="CP53" i="2"/>
  <c r="CP24" i="2"/>
  <c r="CO24" i="2"/>
  <c r="CP31" i="2"/>
  <c r="CO31" i="2"/>
  <c r="CP49" i="2"/>
  <c r="CO49" i="2"/>
  <c r="CO35" i="2"/>
  <c r="CP35" i="2"/>
  <c r="CP13" i="2"/>
  <c r="CO45" i="2"/>
  <c r="CP45" i="2"/>
  <c r="CP46" i="2"/>
  <c r="CO46" i="2"/>
  <c r="CO50" i="2"/>
  <c r="CP28" i="2"/>
  <c r="CO28" i="2"/>
  <c r="CP51" i="2"/>
  <c r="CO51" i="2"/>
  <c r="CO20" i="2"/>
  <c r="CO22" i="2"/>
  <c r="CP22" i="2"/>
  <c r="CP17" i="2"/>
  <c r="CO17" i="2"/>
  <c r="CP34" i="2"/>
  <c r="CO34" i="2"/>
  <c r="CO32" i="2"/>
  <c r="CP12" i="2"/>
  <c r="CP48" i="2"/>
  <c r="CO48" i="2"/>
  <c r="CO21" i="2"/>
  <c r="CP21" i="2"/>
  <c r="CO6" i="2"/>
  <c r="CP50" i="2" l="1"/>
  <c r="CQ50" i="2" s="1"/>
  <c r="CO23" i="2"/>
  <c r="CO19" i="2"/>
  <c r="CQ19" i="2" s="1"/>
  <c r="CP43" i="2"/>
  <c r="CQ43" i="2" s="1"/>
  <c r="CO37" i="2"/>
  <c r="CQ37" i="2" s="1"/>
  <c r="CO41" i="2"/>
  <c r="CQ41" i="2" s="1"/>
  <c r="CO27" i="2"/>
  <c r="CQ27" i="2" s="1"/>
  <c r="CP15" i="2"/>
  <c r="CO11" i="2"/>
  <c r="CQ11" i="2" s="1"/>
  <c r="CP26" i="2"/>
  <c r="CP40" i="2"/>
  <c r="CQ40" i="2" s="1"/>
  <c r="CO12" i="2"/>
  <c r="CQ12" i="2" s="1"/>
  <c r="CO25" i="2"/>
  <c r="CQ25" i="2" s="1"/>
  <c r="CP14" i="2"/>
  <c r="CP30" i="2"/>
  <c r="CO15" i="2"/>
  <c r="CO39" i="2"/>
  <c r="CQ39" i="2" s="1"/>
  <c r="CO38" i="2"/>
  <c r="CQ38" i="2" s="1"/>
  <c r="CO30" i="2"/>
  <c r="CP10" i="2"/>
  <c r="CO10" i="2"/>
  <c r="CO14" i="2"/>
  <c r="CO7" i="2"/>
  <c r="CQ7" i="2" s="1"/>
  <c r="CO26" i="2"/>
  <c r="CQ42" i="2"/>
  <c r="CP8" i="2"/>
  <c r="CQ8" i="2" s="1"/>
  <c r="CP6" i="2"/>
  <c r="CQ6" i="2" s="1"/>
  <c r="CQ16" i="2"/>
  <c r="CQ36" i="2"/>
  <c r="CQ31" i="2"/>
  <c r="CQ49" i="2"/>
  <c r="CQ53" i="2"/>
  <c r="CQ48" i="2"/>
  <c r="CQ17" i="2"/>
  <c r="CQ52" i="2"/>
  <c r="CQ20" i="2"/>
  <c r="CQ28" i="2"/>
  <c r="CQ18" i="2"/>
  <c r="CO9" i="2"/>
  <c r="CQ35" i="2"/>
  <c r="CQ24" i="2"/>
  <c r="CQ47" i="2"/>
  <c r="CQ32" i="2"/>
  <c r="CP9" i="2"/>
  <c r="CQ22" i="2"/>
  <c r="CQ13" i="2"/>
  <c r="CQ21" i="2"/>
  <c r="CQ44" i="2"/>
  <c r="CQ34" i="2"/>
  <c r="CQ51" i="2"/>
  <c r="CQ46" i="2"/>
  <c r="CQ23" i="2"/>
  <c r="CQ45" i="2"/>
  <c r="CQ33" i="2"/>
  <c r="CQ26" i="2" l="1"/>
  <c r="CQ15" i="2"/>
  <c r="CQ14" i="2"/>
  <c r="CR27" i="2" s="1"/>
  <c r="CQ30" i="2"/>
  <c r="CQ10" i="2"/>
  <c r="CR19" i="2" s="1"/>
  <c r="CR44" i="2"/>
  <c r="CQ9" i="2"/>
  <c r="CR9" i="2" s="1"/>
  <c r="CR21" i="2"/>
  <c r="CR13" i="2"/>
  <c r="CR16" i="2"/>
  <c r="CR20" i="2"/>
  <c r="CR25" i="2"/>
  <c r="CR32" i="2"/>
  <c r="CR28" i="2"/>
  <c r="CR51" i="2"/>
  <c r="CR34" i="2"/>
  <c r="CR43" i="2"/>
  <c r="CR50" i="2"/>
  <c r="CR24" i="2" l="1"/>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T30" i="2" s="1"/>
  <c r="CS49" i="2"/>
  <c r="T87" i="2" s="1"/>
  <c r="CS26" i="2"/>
  <c r="T46" i="2" s="1"/>
  <c r="CS52" i="2"/>
  <c r="U94" i="2" s="1"/>
  <c r="CS53" i="2"/>
  <c r="T95" i="2" s="1"/>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CS7" i="2"/>
  <c r="U4" i="2" s="1"/>
  <c r="CS23" i="2"/>
  <c r="U39" i="2" s="1"/>
  <c r="CS48" i="2"/>
  <c r="U86" i="2" s="1"/>
  <c r="CS12" i="2"/>
  <c r="CS34" i="2"/>
  <c r="T62" i="2" s="1"/>
  <c r="CS16" i="2"/>
  <c r="CS10" i="2"/>
  <c r="CS9" i="2"/>
  <c r="T6" i="2" s="1"/>
  <c r="CS40" i="2"/>
  <c r="U70" i="2" s="1"/>
  <c r="CS6" i="2"/>
  <c r="T7" i="2" s="1"/>
  <c r="CS11" i="2"/>
  <c r="CS27" i="2"/>
  <c r="U47" i="2" s="1"/>
  <c r="CS46" i="2"/>
  <c r="T86" i="2" s="1"/>
  <c r="CS42" i="2"/>
  <c r="T78" i="2" s="1"/>
  <c r="CS25" i="2"/>
  <c r="T39" i="2" s="1"/>
  <c r="CS19" i="2"/>
  <c r="U31" i="2" s="1"/>
  <c r="CS33" i="2"/>
  <c r="T55" i="2" s="1"/>
  <c r="CS13" i="2"/>
  <c r="CS37" i="2"/>
  <c r="T63" i="2" s="1"/>
  <c r="CS36" i="2"/>
  <c r="U62" i="2" s="1"/>
  <c r="CS51" i="2"/>
  <c r="U95" i="2" s="1"/>
  <c r="CS50" i="2"/>
  <c r="T94" i="2" s="1"/>
  <c r="CS45" i="2"/>
  <c r="T79" i="2" s="1"/>
  <c r="CS24" i="2"/>
  <c r="U38" i="2" s="1"/>
  <c r="CS47" i="2"/>
  <c r="U87" i="2" s="1"/>
  <c r="CS43" i="2"/>
  <c r="U79" i="2" s="1"/>
  <c r="CS35" i="2"/>
  <c r="U63" i="2" s="1"/>
  <c r="CS22" i="2"/>
  <c r="T38" i="2" s="1"/>
  <c r="U23" i="2" l="1"/>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T12" i="2"/>
  <c r="CT11" i="2" s="1"/>
  <c r="T9" i="2"/>
  <c r="U8" i="2"/>
  <c r="T8" i="2"/>
  <c r="U6" i="2"/>
  <c r="U9" i="2"/>
  <c r="T5" i="2"/>
  <c r="CT6" i="2"/>
  <c r="T4" i="2"/>
  <c r="CT7" i="2" s="1"/>
  <c r="CT10" i="2" l="1"/>
  <c r="CU37" i="2" s="1"/>
  <c r="CT9" i="2"/>
  <c r="CU34" i="2" s="1"/>
  <c r="CU22" i="2"/>
  <c r="CU17" i="2"/>
  <c r="CU49" i="2"/>
  <c r="CU15" i="2"/>
  <c r="CU42" i="2"/>
  <c r="CU47" i="2"/>
  <c r="CU24" i="2"/>
  <c r="CU46" i="2"/>
  <c r="CU36" i="2"/>
  <c r="CU41" i="2"/>
  <c r="CU28" i="2"/>
  <c r="CU50" i="2"/>
  <c r="CU14" i="2"/>
  <c r="CU16" i="2"/>
  <c r="CU6" i="2"/>
  <c r="CU26" i="2"/>
  <c r="CU52" i="2"/>
  <c r="CU13" i="2"/>
  <c r="CU38" i="2"/>
  <c r="CU48" i="2"/>
  <c r="CU27" i="2"/>
  <c r="CU29" i="2"/>
  <c r="CU18" i="2"/>
  <c r="CU8" i="2"/>
  <c r="CU32" i="2" l="1"/>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15" i="2" l="1"/>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31" i="2"/>
  <c r="DN26" i="2" a="1"/>
  <c r="DN26" i="2" s="1"/>
  <c r="DM26" i="2"/>
  <c r="DN20" i="2" a="1"/>
  <c r="DN20" i="2" s="1"/>
  <c r="DM20" i="2"/>
  <c r="DM28" i="2"/>
  <c r="DN28" i="2" a="1"/>
  <c r="DN28" i="2" s="1"/>
  <c r="DN32" i="2" a="1"/>
  <c r="DN32" i="2" s="1"/>
  <c r="DM32" i="2"/>
  <c r="DM14" i="2"/>
  <c r="DN14" i="2" a="1"/>
  <c r="DN14" i="2" s="1"/>
  <c r="DN43" i="2" a="1"/>
  <c r="DN43" i="2" s="1"/>
  <c r="DM43" i="2"/>
  <c r="DM22" i="2"/>
  <c r="DN22" i="2" a="1"/>
  <c r="DN22" i="2" s="1"/>
  <c r="DN39" i="2" a="1"/>
  <c r="DN39" i="2" s="1"/>
  <c r="DM39" i="2"/>
  <c r="DM21" i="2"/>
  <c r="DN21" i="2" a="1"/>
  <c r="DN21" i="2" s="1"/>
  <c r="DN23" i="2" a="1"/>
  <c r="DN23" i="2" s="1"/>
  <c r="DM23" i="2"/>
  <c r="DN44" i="2" a="1"/>
  <c r="DN44" i="2" s="1"/>
  <c r="DM44" i="2"/>
  <c r="DM51" i="2"/>
  <c r="DN51" i="2" a="1"/>
  <c r="DN51" i="2" s="1"/>
  <c r="DM38" i="2"/>
  <c r="DN38" i="2" a="1"/>
  <c r="DN38" i="2" s="1"/>
  <c r="DN35" i="2" a="1"/>
  <c r="DN35" i="2" s="1"/>
  <c r="DM35" i="2"/>
  <c r="DN36" i="2" a="1"/>
  <c r="DN36" i="2" s="1"/>
  <c r="DM36" i="2"/>
  <c r="DN41" i="2" a="1"/>
  <c r="DN41" i="2" s="1"/>
  <c r="DM41" i="2"/>
  <c r="DM18" i="2"/>
  <c r="DN18" i="2" a="1"/>
  <c r="DN18" i="2" s="1"/>
  <c r="DN47" i="2" a="1"/>
  <c r="DN47" i="2" s="1"/>
  <c r="DM47"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M34" i="2"/>
  <c r="DN34" i="2" a="1"/>
  <c r="DN34" i="2" s="1"/>
  <c r="DM42" i="2"/>
  <c r="DN42" i="2" a="1"/>
  <c r="DN42" i="2" s="1"/>
  <c r="DN17" i="2" a="1"/>
  <c r="DN17" i="2" s="1"/>
  <c r="DM53" i="2"/>
  <c r="DN53" i="2" a="1"/>
  <c r="DN53" i="2" s="1"/>
  <c r="DM50" i="2"/>
  <c r="DN50" i="2" a="1"/>
  <c r="DN50" i="2" s="1"/>
  <c r="DM52" i="2"/>
  <c r="DN52" i="2" a="1"/>
  <c r="DN52" i="2" s="1"/>
  <c r="DN49" i="2" a="1"/>
  <c r="DN49" i="2" s="1"/>
  <c r="DM49" i="2"/>
  <c r="DN30" i="2" a="1"/>
  <c r="DN30" i="2" s="1"/>
  <c r="DM30" i="2"/>
  <c r="DN46" i="2" a="1"/>
  <c r="DN46" i="2" s="1"/>
  <c r="DM46" i="2"/>
  <c r="DM13" i="2" l="1"/>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M113" i="2" s="1"/>
  <c r="AA113" i="2" s="1"/>
  <c r="BH65" i="2"/>
  <c r="AL25" i="2"/>
  <c r="BD61" i="2"/>
  <c r="AL30" i="2"/>
  <c r="BJ67" i="2"/>
  <c r="BK59" i="2"/>
  <c r="BI64" i="2"/>
  <c r="BI60" i="2"/>
  <c r="AL22" i="2"/>
  <c r="M104" i="2" s="1"/>
  <c r="AA102" i="2" s="1"/>
  <c r="AL46" i="2"/>
  <c r="BG67" i="2"/>
  <c r="BH59" i="2"/>
  <c r="BI67" i="2"/>
  <c r="AL64" i="2"/>
  <c r="BG68" i="2"/>
  <c r="AL95" i="2"/>
  <c r="BG65" i="2"/>
  <c r="BH69" i="2"/>
  <c r="AL23" i="2"/>
  <c r="N103" i="2" s="1"/>
  <c r="AF104" i="2" s="1"/>
  <c r="AL86" i="2"/>
  <c r="BK66" i="2"/>
  <c r="BI59" i="2"/>
  <c r="BJ65" i="2"/>
  <c r="BG64" i="2"/>
  <c r="BI61" i="2"/>
  <c r="BG63" i="2"/>
  <c r="AL16" i="2"/>
  <c r="BD59" i="2"/>
  <c r="AL24" i="2"/>
  <c r="BK63" i="2"/>
  <c r="BH62" i="2"/>
  <c r="AL15" i="2"/>
  <c r="N101" i="2" s="1"/>
  <c r="AF101" i="2" s="1"/>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C165" i="3" l="1"/>
  <c r="B165" i="3"/>
  <c r="C131" i="3"/>
  <c r="AA27" i="4"/>
  <c r="C167" i="3"/>
  <c r="B167" i="3"/>
  <c r="C149" i="3"/>
  <c r="AA13" i="4"/>
  <c r="C142" i="3"/>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<sst xmlns="http://schemas.openxmlformats.org/spreadsheetml/2006/main" count="6754" uniqueCount="1516">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</sst>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D9" sqref="AD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9" sqref="AD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4</v>
      </c>
      <c r="BN58" s="16">
        <f t="shared" ref="BN58:BN69" ca="1" si="153">CF58</f>
        <v>4</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(6)</v>
      </c>
      <c r="BU58" s="16">
        <f t="shared" ref="BU58:BU69" ca="1" si="158">IF(BT58="-","-",BL58)</f>
        <v>-1</v>
      </c>
      <c r="BV58" s="16">
        <f t="shared" ref="BV58:BV69" ca="1" si="159">BS58+COUNTIFS(BT$58:BT$69,BT58,BU$58:BU$69,"&gt;"&amp;BU58)</f>
        <v>3</v>
      </c>
      <c r="BW58" s="16" t="str">
        <f t="shared" ref="BW58:BW69" ca="1" si="160">IF(COUNTIF(BV$58:BV$69,BV58)=1,"-","Pos. "&amp;BV58&amp;" ("&amp;COUNTIF(BV$58:BV$69,BV58)&amp;")")</f>
        <v>Pos. 3 (2)</v>
      </c>
      <c r="BX58" s="16">
        <f t="shared" ref="BX58:BX69" ca="1" si="161">IF(BW58="-","-",BJ58)</f>
        <v>2</v>
      </c>
      <c r="BY58" s="16">
        <f t="shared" ref="BY58:BY69" ca="1" si="162">BV58+COUNTIFS(BW$58:BW$69,BW58,BX$58:BX$69,"&gt;"&amp;BX58)</f>
        <v>4</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4</v>
      </c>
      <c r="CC58" s="16"/>
      <c r="CD58" s="16">
        <f t="shared" ref="CD58:CD69" ca="1" si="166">IF(OR(INDEX($AW$102:$AW$113,MATCH($BD58,$AV$102:$AV$113,0))="",BZ58="-"),CB58,INDEX($AW$102:$AW$113,MATCH($BD58,$AV$102:$AV$113,0))+CB58/1000)</f>
        <v>4</v>
      </c>
      <c r="CE58" s="16" t="str">
        <f t="shared" ref="CE58:CE69" ca="1" si="167">IF(BZ58="-","-",COUNTIF(CD$58:CD$69,"&lt;"&amp;CD58))</f>
        <v>-</v>
      </c>
      <c r="CF58" s="16">
        <f t="shared" ref="CF58:CF69" ca="1" si="168">BY58+COUNTIFS(BZ$58:BZ$69,BZ58,CE$58:CE$69,"&lt;"&amp;CE58)</f>
        <v>4</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8"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7</v>
      </c>
      <c r="BN60" s="16">
        <f t="shared" ca="1" si="153"/>
        <v>7</v>
      </c>
      <c r="BO60" s="16" t="str">
        <f t="shared" si="154"/>
        <v>4C</v>
      </c>
      <c r="BP60" s="16"/>
      <c r="BQ60" s="16"/>
      <c r="BR60" s="16">
        <f t="shared" ca="1" si="155"/>
        <v>3</v>
      </c>
      <c r="BS60" s="16">
        <f t="shared" ca="1" si="156"/>
        <v>2</v>
      </c>
      <c r="BT60" s="16" t="str">
        <f t="shared" ca="1" si="157"/>
        <v>Pos. 2 (6)</v>
      </c>
      <c r="BU60" s="16">
        <f t="shared" ca="1" si="158"/>
        <v>-3</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Croacia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6</v>
      </c>
      <c r="BN61" s="16">
        <f t="shared" ca="1" si="153"/>
        <v>6</v>
      </c>
      <c r="BO61" s="16" t="str">
        <f t="shared" si="154"/>
        <v>4D</v>
      </c>
      <c r="BP61" s="16"/>
      <c r="BQ61" s="16"/>
      <c r="BR61" s="16">
        <f t="shared" ca="1" si="155"/>
        <v>3</v>
      </c>
      <c r="BS61" s="16">
        <f t="shared" ca="1" si="156"/>
        <v>2</v>
      </c>
      <c r="BT61" s="16" t="str">
        <f t="shared" ca="1" si="157"/>
        <v>Pos. 2 (6)</v>
      </c>
      <c r="BU61" s="16">
        <f t="shared" ca="1" si="158"/>
        <v>-2</v>
      </c>
      <c r="BV61" s="16">
        <f t="shared" ca="1" si="159"/>
        <v>5</v>
      </c>
      <c r="BW61" s="16" t="str">
        <f t="shared" ca="1" si="160"/>
        <v>Pos. 5 (2)</v>
      </c>
      <c r="BX61" s="16">
        <f t="shared" ca="1" si="161"/>
        <v>2</v>
      </c>
      <c r="BY61" s="16">
        <f t="shared" ca="1" si="162"/>
        <v>5</v>
      </c>
      <c r="BZ61" s="16" t="str">
        <f t="shared" ca="1" si="163"/>
        <v>Pos. 5 (2)</v>
      </c>
      <c r="CA61" s="16">
        <f t="shared" ca="1" si="164"/>
        <v>3</v>
      </c>
      <c r="CB61" s="16">
        <f t="shared" ca="1" si="165"/>
        <v>6</v>
      </c>
      <c r="CC61" s="16"/>
      <c r="CD61" s="16">
        <f t="shared" ca="1" si="166"/>
        <v>6</v>
      </c>
      <c r="CE61" s="16">
        <f t="shared" ca="1" si="167"/>
        <v>5</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Corea del Sur</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1</v>
      </c>
      <c r="BS62" s="16">
        <f t="shared" ca="1" si="156"/>
        <v>10</v>
      </c>
      <c r="BT62" s="16" t="str">
        <f t="shared" ca="1" si="157"/>
        <v>Pos. 10 (2)</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Argelia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2</v>
      </c>
      <c r="BN63" s="16">
        <f t="shared" ca="1" si="153"/>
        <v>2</v>
      </c>
      <c r="BO63" s="16" t="str">
        <f t="shared" si="154"/>
        <v>4F</v>
      </c>
      <c r="BP63" s="16"/>
      <c r="BQ63" s="16"/>
      <c r="BR63" s="16">
        <f t="shared" ca="1" si="155"/>
        <v>3</v>
      </c>
      <c r="BS63" s="16">
        <f t="shared" ca="1" si="156"/>
        <v>2</v>
      </c>
      <c r="BT63" s="16" t="str">
        <f t="shared" ca="1" si="157"/>
        <v>Pos. 2 (6)</v>
      </c>
      <c r="BU63" s="16">
        <f t="shared" ca="1" si="158"/>
        <v>0</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5</v>
      </c>
      <c r="DK63" s="16"/>
      <c r="DL63" s="16">
        <f t="shared" ca="1" si="170"/>
        <v>1</v>
      </c>
      <c r="DM63" s="16" t="str">
        <f t="shared" ca="1" si="171"/>
        <v>5.1</v>
      </c>
      <c r="DN63" s="16">
        <f t="array" aca="1" ref="DN63" ca="1">OFFSET(Horarios!$P$3,DJ63-1,0,DL63,1)</f>
        <v>5</v>
      </c>
      <c r="DO63" s="16"/>
      <c r="DP63" s="16">
        <v>6</v>
      </c>
      <c r="DQ63" s="16" t="str">
        <f t="shared" ca="1" si="172"/>
        <v>Paraguay</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9</v>
      </c>
      <c r="BN64" s="16">
        <f t="shared" ca="1" si="153"/>
        <v>9</v>
      </c>
      <c r="BO64" s="16" t="str">
        <f t="shared" si="154"/>
        <v>4G</v>
      </c>
      <c r="BP64" s="16"/>
      <c r="BQ64" s="16"/>
      <c r="BR64" s="16">
        <f t="shared" ca="1" si="155"/>
        <v>2</v>
      </c>
      <c r="BS64" s="16">
        <f t="shared" ca="1" si="156"/>
        <v>8</v>
      </c>
      <c r="BT64" s="16" t="str">
        <f t="shared" ca="1" si="157"/>
        <v>Pos. 8 (2)</v>
      </c>
      <c r="BU64" s="16">
        <f t="shared" ca="1" si="158"/>
        <v>0</v>
      </c>
      <c r="BV64" s="16">
        <f t="shared" ca="1" si="159"/>
        <v>8</v>
      </c>
      <c r="BW64" s="16" t="str">
        <f t="shared" ca="1" si="160"/>
        <v>Pos. 8 (2)</v>
      </c>
      <c r="BX64" s="16">
        <f t="shared" ca="1" si="161"/>
        <v>1</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8</v>
      </c>
      <c r="BN65" s="16">
        <f t="shared" ca="1" si="153"/>
        <v>8</v>
      </c>
      <c r="BO65" s="16" t="str">
        <f t="shared" si="154"/>
        <v>4H</v>
      </c>
      <c r="BP65" s="16"/>
      <c r="BQ65" s="16"/>
      <c r="BR65" s="16">
        <f t="shared" ca="1" si="155"/>
        <v>2</v>
      </c>
      <c r="BS65" s="16">
        <f t="shared" ca="1" si="156"/>
        <v>8</v>
      </c>
      <c r="BT65" s="16" t="str">
        <f t="shared" ca="1" si="157"/>
        <v>Pos. 8 (2)</v>
      </c>
      <c r="BU65" s="16">
        <f t="shared" ca="1" si="158"/>
        <v>0</v>
      </c>
      <c r="BV65" s="16">
        <f t="shared" ca="1" si="159"/>
        <v>8</v>
      </c>
      <c r="BW65" s="16" t="str">
        <f t="shared" ca="1" si="160"/>
        <v>Pos. 8 (2)</v>
      </c>
      <c r="BX65" s="16">
        <f t="shared" ca="1" si="161"/>
        <v>2</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Cabo Verde</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Bélgica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5</v>
      </c>
      <c r="BN67" s="16">
        <f t="shared" ca="1" si="153"/>
        <v>5</v>
      </c>
      <c r="BO67" s="16" t="str">
        <f t="shared" si="154"/>
        <v>4J</v>
      </c>
      <c r="BP67" s="16"/>
      <c r="BQ67" s="16"/>
      <c r="BR67" s="16">
        <f t="shared" ca="1" si="155"/>
        <v>3</v>
      </c>
      <c r="BS67" s="16">
        <f t="shared" ca="1" si="156"/>
        <v>2</v>
      </c>
      <c r="BT67" s="16" t="str">
        <f t="shared" ca="1" si="157"/>
        <v>Pos. 2 (6)</v>
      </c>
      <c r="BU67" s="16">
        <f t="shared" ca="1" si="158"/>
        <v>-2</v>
      </c>
      <c r="BV67" s="16">
        <f t="shared" ca="1" si="159"/>
        <v>5</v>
      </c>
      <c r="BW67" s="16" t="str">
        <f t="shared" ca="1" si="160"/>
        <v>Pos. 5 (2)</v>
      </c>
      <c r="BX67" s="16">
        <f t="shared" ca="1" si="161"/>
        <v>2</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1"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10</v>
      </c>
      <c r="BN68" s="16">
        <f t="shared" ca="1" si="153"/>
        <v>10</v>
      </c>
      <c r="BO68" s="16" t="str">
        <f t="shared" si="154"/>
        <v>4K</v>
      </c>
      <c r="BP68" s="16"/>
      <c r="BQ68" s="16"/>
      <c r="BR68" s="16">
        <f t="shared" ca="1" si="155"/>
        <v>1</v>
      </c>
      <c r="BS68" s="16">
        <f t="shared" ca="1" si="156"/>
        <v>10</v>
      </c>
      <c r="BT68" s="16" t="str">
        <f t="shared" ca="1" si="157"/>
        <v>Pos. 10 (2)</v>
      </c>
      <c r="BU68" s="16">
        <f t="shared" ca="1" si="158"/>
        <v>-1</v>
      </c>
      <c r="BV68" s="16">
        <f t="shared" ca="1" si="159"/>
        <v>10</v>
      </c>
      <c r="BW68" s="16" t="str">
        <f t="shared" ca="1" si="160"/>
        <v>Pos. 10 (2)</v>
      </c>
      <c r="BX68" s="16">
        <f t="shared" ca="1" si="161"/>
        <v>1</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3</v>
      </c>
      <c r="BN69" s="16">
        <f t="shared" ca="1" si="153"/>
        <v>3</v>
      </c>
      <c r="BO69" s="16" t="str">
        <f t="shared" si="154"/>
        <v>4L</v>
      </c>
      <c r="BP69" s="16"/>
      <c r="BQ69" s="16"/>
      <c r="BR69" s="16">
        <f t="shared" ca="1" si="155"/>
        <v>3</v>
      </c>
      <c r="BS69" s="16">
        <f t="shared" ca="1" si="156"/>
        <v>2</v>
      </c>
      <c r="BT69" s="16" t="str">
        <f t="shared" ca="1" si="157"/>
        <v>Pos. 2 (6)</v>
      </c>
      <c r="BU69" s="16">
        <f t="shared" ca="1" si="158"/>
        <v>-1</v>
      </c>
      <c r="BV69" s="16">
        <f t="shared" ca="1" si="159"/>
        <v>3</v>
      </c>
      <c r="BW69" s="16" t="str">
        <f t="shared" ca="1" si="160"/>
        <v>Pos. 3 (2)</v>
      </c>
      <c r="BX69" s="16">
        <f t="shared" ca="1" si="161"/>
        <v>3</v>
      </c>
      <c r="BY69" s="16">
        <f t="shared" ca="1" si="162"/>
        <v>3</v>
      </c>
      <c r="BZ69" s="16" t="str">
        <f t="shared" ca="1" si="163"/>
        <v>-</v>
      </c>
      <c r="CA69" s="16" t="str">
        <f t="shared" ca="1" si="164"/>
        <v>-</v>
      </c>
      <c r="CB69" s="16">
        <f t="shared" ca="1" si="165"/>
        <v>3</v>
      </c>
      <c r="CC69" s="16"/>
      <c r="CD69" s="16">
        <f t="shared" ca="1" si="166"/>
        <v>3</v>
      </c>
      <c r="CE69" s="16" t="str">
        <f t="shared" ca="1" si="167"/>
        <v>-</v>
      </c>
      <c r="CF69" s="16">
        <f t="shared" ca="1" si="168"/>
        <v>3</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ABCDFHJL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6</v>
      </c>
      <c r="AT102" s="84">
        <f t="shared" ca="1" si="269"/>
        <v>-1</v>
      </c>
      <c r="AU102" s="323" t="str">
        <f t="shared" ref="AU102:AU113" ca="1" si="270">IF($H$113=144,INDEX($DL$58:$DL$69,MATCH(AI102,$DP$58:$DP$69,0)),"")</f>
        <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2</v>
      </c>
      <c r="AO103" s="86">
        <f t="shared" ca="1" si="269"/>
        <v>1</v>
      </c>
      <c r="AP103" s="86">
        <f t="shared" ca="1" si="269"/>
        <v>0</v>
      </c>
      <c r="AQ103" s="86">
        <f t="shared" ca="1" si="269"/>
        <v>1</v>
      </c>
      <c r="AR103" s="86">
        <f t="shared" ca="1" si="269"/>
        <v>6</v>
      </c>
      <c r="AS103" s="86">
        <f t="shared" ca="1" si="269"/>
        <v>6</v>
      </c>
      <c r="AT103" s="87">
        <f t="shared" ca="1" si="269"/>
        <v>0</v>
      </c>
      <c r="AU103" s="323" t="str">
        <f t="shared" ca="1" si="270"/>
        <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Croacia</v>
      </c>
      <c r="AM104" s="576">
        <f t="shared" ca="1" si="269"/>
        <v>3</v>
      </c>
      <c r="AN104" s="86">
        <f t="shared" ca="1" si="269"/>
        <v>2</v>
      </c>
      <c r="AO104" s="86">
        <f t="shared" ca="1" si="269"/>
        <v>1</v>
      </c>
      <c r="AP104" s="86">
        <f t="shared" ca="1" si="269"/>
        <v>0</v>
      </c>
      <c r="AQ104" s="86">
        <f t="shared" ca="1" si="269"/>
        <v>1</v>
      </c>
      <c r="AR104" s="86">
        <f t="shared" ca="1" si="269"/>
        <v>3</v>
      </c>
      <c r="AS104" s="86">
        <f t="shared" ca="1" si="269"/>
        <v>4</v>
      </c>
      <c r="AT104" s="87">
        <f t="shared" ca="1" si="269"/>
        <v>-1</v>
      </c>
      <c r="AU104" s="323" t="str">
        <f t="shared" ca="1" si="270"/>
        <v/>
      </c>
      <c r="AV104" s="182" t="str">
        <f t="shared" ca="1" si="271"/>
        <v>Croacia</v>
      </c>
      <c r="AW104" s="215"/>
      <c r="AX104" s="170"/>
      <c r="AY104" s="270"/>
      <c r="AZ104" s="273" t="str">
        <f t="shared" ca="1" si="272"/>
        <v>1B - 3J</v>
      </c>
      <c r="BA104" s="176"/>
      <c r="BF104" t="str">
        <f t="shared" ca="1" si="273"/>
        <v>F</v>
      </c>
      <c r="BG104">
        <f t="shared" ca="1" si="274"/>
        <v>5</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Corea del Sur</v>
      </c>
      <c r="AM105" s="576">
        <f t="shared" ca="1" si="269"/>
        <v>3</v>
      </c>
      <c r="AN105" s="86">
        <f t="shared" ca="1" si="269"/>
        <v>3</v>
      </c>
      <c r="AO105" s="86">
        <f t="shared" ca="1" si="269"/>
        <v>1</v>
      </c>
      <c r="AP105" s="86">
        <f t="shared" ca="1" si="269"/>
        <v>0</v>
      </c>
      <c r="AQ105" s="86">
        <f t="shared" ca="1" si="269"/>
        <v>2</v>
      </c>
      <c r="AR105" s="86">
        <f t="shared" ca="1" si="269"/>
        <v>2</v>
      </c>
      <c r="AS105" s="86">
        <f t="shared" ca="1" si="269"/>
        <v>3</v>
      </c>
      <c r="AT105" s="87">
        <f t="shared" ca="1" si="269"/>
        <v>-1</v>
      </c>
      <c r="AU105" s="323" t="str">
        <f t="shared" ca="1" si="270"/>
        <v/>
      </c>
      <c r="AV105" s="182" t="str">
        <f t="shared" ca="1" si="271"/>
        <v>Corea del Sur</v>
      </c>
      <c r="AW105" s="215"/>
      <c r="AX105" s="170"/>
      <c r="AY105" s="270"/>
      <c r="AZ105" s="273" t="str">
        <f t="shared" ca="1" si="272"/>
        <v>1D - 3B</v>
      </c>
      <c r="BA105" s="176"/>
      <c r="BF105" t="str">
        <f t="shared" ca="1" si="273"/>
        <v>L</v>
      </c>
      <c r="BG105">
        <f t="shared" ca="1" si="274"/>
        <v>8</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Argelia</v>
      </c>
      <c r="AM106" s="576">
        <f t="shared" ca="1" si="269"/>
        <v>3</v>
      </c>
      <c r="AN106" s="86">
        <f t="shared" ca="1" si="269"/>
        <v>2</v>
      </c>
      <c r="AO106" s="86">
        <f t="shared" ca="1" si="269"/>
        <v>1</v>
      </c>
      <c r="AP106" s="86">
        <f t="shared" ca="1" si="269"/>
        <v>0</v>
      </c>
      <c r="AQ106" s="86">
        <f t="shared" ca="1" si="269"/>
        <v>1</v>
      </c>
      <c r="AR106" s="86">
        <f t="shared" ca="1" si="269"/>
        <v>2</v>
      </c>
      <c r="AS106" s="86">
        <f t="shared" ca="1" si="269"/>
        <v>4</v>
      </c>
      <c r="AT106" s="87">
        <f t="shared" ca="1" si="269"/>
        <v>-2</v>
      </c>
      <c r="AU106" s="323" t="str">
        <f t="shared" ca="1" si="270"/>
        <v/>
      </c>
      <c r="AV106" s="182" t="str">
        <f t="shared" ca="1" si="271"/>
        <v>Argelia</v>
      </c>
      <c r="AW106" s="215"/>
      <c r="AX106" s="170"/>
      <c r="AY106" s="270"/>
      <c r="AZ106" s="273" t="str">
        <f t="shared" ca="1" si="272"/>
        <v>1E - 3D</v>
      </c>
      <c r="BA106" s="176"/>
      <c r="BF106" t="str">
        <f t="shared" ca="1" si="273"/>
        <v>A</v>
      </c>
      <c r="BG106">
        <f t="shared" ca="1" si="274"/>
        <v>1</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Paraguay</v>
      </c>
      <c r="AM107" s="576">
        <f t="shared" ca="1" si="269"/>
        <v>3</v>
      </c>
      <c r="AN107" s="86">
        <f t="shared" ca="1" si="269"/>
        <v>2</v>
      </c>
      <c r="AO107" s="86">
        <f t="shared" ca="1" si="269"/>
        <v>1</v>
      </c>
      <c r="AP107" s="86">
        <f t="shared" ca="1" si="269"/>
        <v>0</v>
      </c>
      <c r="AQ107" s="86">
        <f t="shared" ca="1" si="269"/>
        <v>1</v>
      </c>
      <c r="AR107" s="86">
        <f t="shared" ca="1" si="269"/>
        <v>2</v>
      </c>
      <c r="AS107" s="86">
        <f t="shared" ca="1" si="269"/>
        <v>4</v>
      </c>
      <c r="AT107" s="87">
        <f t="shared" ca="1" si="269"/>
        <v>-2</v>
      </c>
      <c r="AU107" s="323" t="str">
        <f t="shared" ca="1" si="270"/>
        <v/>
      </c>
      <c r="AV107" s="182" t="str">
        <f t="shared" ca="1" si="271"/>
        <v>Paraguay</v>
      </c>
      <c r="AW107" s="215"/>
      <c r="AX107" s="170"/>
      <c r="AY107" s="270"/>
      <c r="AZ107" s="273" t="str">
        <f t="shared" ca="1" si="272"/>
        <v>1G - 3A</v>
      </c>
      <c r="BA107" s="176"/>
      <c r="BF107" t="str">
        <f t="shared" ca="1" si="273"/>
        <v>J</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1</v>
      </c>
      <c r="AS108" s="86">
        <f t="shared" ca="1" si="269"/>
        <v>4</v>
      </c>
      <c r="AT108" s="87">
        <f t="shared" ca="1" si="269"/>
        <v>-3</v>
      </c>
      <c r="AU108" s="323" t="str">
        <f t="shared" ca="1" si="270"/>
        <v/>
      </c>
      <c r="AV108" s="182" t="str">
        <f t="shared" ca="1" si="271"/>
        <v>Escocia</v>
      </c>
      <c r="AW108" s="215"/>
      <c r="AX108" s="170"/>
      <c r="AY108" s="270"/>
      <c r="AZ108" s="273" t="str">
        <f t="shared" ca="1" si="272"/>
        <v>1I - 3F</v>
      </c>
      <c r="BA108" s="176"/>
      <c r="BF108" t="str">
        <f t="shared" ca="1" si="273"/>
        <v>D</v>
      </c>
      <c r="BG108">
        <f t="shared" ca="1" si="274"/>
        <v>4</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Cabo Verde</v>
      </c>
      <c r="AM109" s="576">
        <f t="shared" ca="1" si="269"/>
        <v>2</v>
      </c>
      <c r="AN109" s="86">
        <f t="shared" ca="1" si="269"/>
        <v>2</v>
      </c>
      <c r="AO109" s="86">
        <f t="shared" ca="1" si="269"/>
        <v>0</v>
      </c>
      <c r="AP109" s="86">
        <f t="shared" ca="1" si="269"/>
        <v>2</v>
      </c>
      <c r="AQ109" s="86">
        <f t="shared" ca="1" si="269"/>
        <v>0</v>
      </c>
      <c r="AR109" s="86">
        <f t="shared" ca="1" si="269"/>
        <v>2</v>
      </c>
      <c r="AS109" s="86">
        <f t="shared" ca="1" si="269"/>
        <v>2</v>
      </c>
      <c r="AT109" s="87">
        <f t="shared" ca="1" si="269"/>
        <v>0</v>
      </c>
      <c r="AU109" s="323" t="str">
        <f t="shared" ca="1" si="270"/>
        <v/>
      </c>
      <c r="AV109" s="182" t="str">
        <f t="shared" ca="1" si="271"/>
        <v>Cabo Verde</v>
      </c>
      <c r="AW109" s="215"/>
      <c r="AX109" s="170"/>
      <c r="AY109" s="270"/>
      <c r="AZ109" s="273" t="str">
        <f t="shared" ca="1" si="272"/>
        <v>1K - 3L</v>
      </c>
      <c r="BA109" s="176"/>
      <c r="BF109" t="str">
        <f t="shared" ca="1" si="273"/>
        <v>C</v>
      </c>
      <c r="BG109">
        <f t="shared" ca="1" si="274"/>
        <v>3</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Bélgica</v>
      </c>
      <c r="AM110" s="576">
        <f t="shared" ca="1" si="269"/>
        <v>2</v>
      </c>
      <c r="AN110" s="86">
        <f t="shared" ca="1" si="269"/>
        <v>2</v>
      </c>
      <c r="AO110" s="86">
        <f t="shared" ca="1" si="269"/>
        <v>0</v>
      </c>
      <c r="AP110" s="86">
        <f t="shared" ca="1" si="269"/>
        <v>2</v>
      </c>
      <c r="AQ110" s="86">
        <f t="shared" ca="1" si="269"/>
        <v>0</v>
      </c>
      <c r="AR110" s="86">
        <f t="shared" ca="1" si="269"/>
        <v>1</v>
      </c>
      <c r="AS110" s="86">
        <f t="shared" ca="1" si="269"/>
        <v>1</v>
      </c>
      <c r="AT110" s="87">
        <f t="shared" ca="1" si="269"/>
        <v>0</v>
      </c>
      <c r="AU110" s="323" t="str">
        <f t="shared" ca="1" si="270"/>
        <v/>
      </c>
      <c r="AV110" s="182" t="str">
        <f t="shared" ca="1" si="271"/>
        <v>Bélgica</v>
      </c>
      <c r="AW110" s="215"/>
      <c r="AX110" s="170"/>
      <c r="AY110" s="270"/>
      <c r="AZ110" s="273" t="str">
        <f t="shared" ca="1" si="272"/>
        <v>1L - 3H</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RD Congo</v>
      </c>
      <c r="AM111" s="576">
        <f t="shared" ca="1" si="269"/>
        <v>1</v>
      </c>
      <c r="AN111" s="86">
        <f t="shared" ca="1" si="269"/>
        <v>2</v>
      </c>
      <c r="AO111" s="86">
        <f t="shared" ca="1" si="269"/>
        <v>0</v>
      </c>
      <c r="AP111" s="86">
        <f t="shared" ca="1" si="269"/>
        <v>1</v>
      </c>
      <c r="AQ111" s="86">
        <f t="shared" ca="1" si="269"/>
        <v>1</v>
      </c>
      <c r="AR111" s="86">
        <f t="shared" ca="1" si="269"/>
        <v>1</v>
      </c>
      <c r="AS111" s="86">
        <f t="shared" ca="1" si="269"/>
        <v>2</v>
      </c>
      <c r="AT111" s="87">
        <f t="shared" ca="1" si="269"/>
        <v>-1</v>
      </c>
      <c r="AU111" s="323" t="str">
        <f t="shared" ca="1" si="270"/>
        <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Ecuador</v>
      </c>
      <c r="AM112" s="576">
        <f t="shared" ca="1" si="269"/>
        <v>1</v>
      </c>
      <c r="AN112" s="86">
        <f t="shared" ca="1" si="269"/>
        <v>2</v>
      </c>
      <c r="AO112" s="86">
        <f t="shared" ca="1" si="269"/>
        <v>0</v>
      </c>
      <c r="AP112" s="86">
        <f t="shared" ca="1" si="269"/>
        <v>1</v>
      </c>
      <c r="AQ112" s="86">
        <f t="shared" ca="1" si="269"/>
        <v>1</v>
      </c>
      <c r="AR112" s="86">
        <f t="shared" ca="1" si="269"/>
        <v>0</v>
      </c>
      <c r="AS112" s="86">
        <f t="shared" ca="1" si="269"/>
        <v>1</v>
      </c>
      <c r="AT112" s="87">
        <f t="shared" ca="1" si="269"/>
        <v>-1</v>
      </c>
      <c r="AU112" s="323" t="str">
        <f t="shared" ca="1" si="270"/>
        <v/>
      </c>
      <c r="AV112" s="182" t="str">
        <f t="shared" ca="1" si="271"/>
        <v>Ecuador</v>
      </c>
      <c r="AW112" s="215"/>
      <c r="AX112" s="170"/>
      <c r="AY112" s="269"/>
      <c r="AZ112" s="269"/>
      <c r="BA112" s="176"/>
      <c r="BI112" t="str">
        <f ca="1">IFERROR(CONCATENATE(BJ103,BJ104,BJ105,BJ106,BJ107,BJ108,BJ109,BJ110),"¿A/B/C/D/E/F/G/H/I/J/K/L?")</f>
        <v>ABCDFHJL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108</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3H</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Brasil-2F</v>
      </c>
      <c r="C165" s="342" t="str">
        <f ca="1">CONCATENATE(WORLDCUP!AA102,"-",WORLDCUP!AF102,"·",IF(WORLDCUP!AC102&gt;WORLDCUP!AD102,1,IF(WORLDCUP!AC102&lt;WORLDCUP!AD102,2,IF(AND(WORLDCUP!AC102=WORLDCUP!AD102,WORLDCUP!AC102&lt;&gt;"",WORLDCUP!AD102&lt;&gt;""),"X",0))),"|",WORLDCUP!AC102,"-",WORLDCUP!AD102)</f>
        <v>Brasil-2F·0|-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1F-Marruecos</v>
      </c>
      <c r="C167" s="342" t="str">
        <f ca="1">CONCATENATE(WORLDCUP!AA104,"-",WORLDCUP!AF104,"·",IF(WORLDCUP!AC104&gt;WORLDCUP!AD104,1,IF(WORLDCUP!AC104&lt;WORLDCUP!AD104,2,IF(AND(WORLDCUP!AC104=WORLDCUP!AD104,WORLDCUP!AC104&lt;&gt;"",WORLDCUP!AD104&lt;&gt;""),"X",0))),"|",WORLDCUP!AC104,"-",WORLDCUP!AD104)</f>
        <v>1F-Marruecos·0|-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México-3CEFHI</v>
      </c>
      <c r="C170" s="342" t="str">
        <f ca="1">CONCATENATE(WORLDCUP!AA107,"-",WORLDCUP!AF107,"·",IF(WORLDCUP!AC107&gt;WORLDCUP!AD107,1,IF(WORLDCUP!AC107&lt;WORLDCUP!AD107,2,IF(AND(WORLDCUP!AC107=WORLDCUP!AD107,WORLDCUP!AC107&lt;&gt;"",WORLDCUP!AD107&lt;&gt;""),"X",0))),"|",WORLDCUP!AC107,"-",WORLDCUP!AD107)</f>
        <v>México-3CEFHI·0|-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1</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2026-06-25T04:04:24Z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
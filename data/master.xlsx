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B9738AB2-46A1-324A-9B42-6262F9F21B6A}"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N17" i="2"/>
  <c r="L17" i="2"/>
  <c r="K17" i="2"/>
  <c r="I17" i="2"/>
  <c r="H17" i="2"/>
  <c r="Q17" i="2"/>
  <c r="F17" i="2"/>
  <c r="AJ13" i="2"/>
  <c r="O17" i="2"/>
  <c r="R17" i="2"/>
  <c r="Q24" i="2"/>
  <c r="O24" i="2"/>
  <c r="N24" i="2"/>
  <c r="L24" i="2"/>
  <c r="K24" i="2"/>
  <c r="I24" i="2"/>
  <c r="H24" i="2"/>
  <c r="F24" i="2"/>
  <c r="E24" i="2"/>
  <c r="T24" i="2"/>
  <c r="R24" i="2"/>
  <c r="T17" i="2"/>
  <c r="U24" i="2"/>
  <c r="Z68" i="2"/>
  <c r="Z85" i="2"/>
  <c r="Z84" i="2"/>
  <c r="Z69" i="2"/>
  <c r="Z92" i="2"/>
  <c r="Z76" i="2"/>
  <c r="Z77" i="2"/>
  <c r="Z45" i="2"/>
  <c r="Z60" i="2"/>
  <c r="Z52" i="2"/>
  <c r="Z61" i="2"/>
  <c r="Z36" i="2"/>
  <c r="Z44" i="2"/>
  <c r="Z93" i="2"/>
  <c r="Z37" i="2"/>
  <c r="Z21" i="2"/>
  <c r="Z20" i="2"/>
  <c r="Z29" i="2"/>
  <c r="Z53" i="2"/>
  <c r="Z5" i="2"/>
  <c r="Z28" i="2"/>
  <c r="E17" i="2"/>
  <c r="U17" i="2"/>
  <c r="X146" i="2"/>
  <c r="X130" i="2"/>
  <c r="X119" i="2"/>
  <c r="X83" i="2"/>
  <c r="X51" i="2"/>
  <c r="X137" i="2"/>
  <c r="X100" i="2"/>
  <c r="X59" i="2"/>
  <c r="X142" i="2"/>
  <c r="X75" i="2"/>
  <c r="X67" i="2"/>
  <c r="X91" i="2"/>
  <c r="X11" i="2"/>
  <c r="X27" i="2" s="1"/>
  <c r="X43" i="2" s="1"/>
  <c r="AJ53" i="2"/>
  <c r="AC11" i="2"/>
  <c r="N25" i="2"/>
  <c r="AC142" i="2"/>
  <c r="AC119" i="2"/>
  <c r="AC130" i="2"/>
  <c r="AC75" i="2"/>
  <c r="AC91" i="2"/>
  <c r="AC83" i="2"/>
  <c r="AC59" i="2"/>
  <c r="AC100" i="2"/>
  <c r="AC43" i="2"/>
  <c r="AC35" i="2"/>
  <c r="O25" i="2"/>
  <c r="AR29" i="2"/>
  <c r="AD142" i="2"/>
  <c r="AD59" i="2"/>
  <c r="AD91" i="2"/>
  <c r="AD130" i="2"/>
  <c r="AD119" i="2"/>
  <c r="AD43" i="2"/>
  <c r="AD83" i="2"/>
  <c r="AD100" i="2"/>
  <c r="AD75" i="2"/>
  <c r="AD35" i="2"/>
  <c r="AD27" i="2"/>
  <c r="AD67" i="2"/>
  <c r="AD51" i="2"/>
  <c r="Q25" i="2"/>
  <c r="AF137" i="2"/>
  <c r="AF142" i="2"/>
  <c r="AF146" i="2"/>
  <c r="AF59" i="2"/>
  <c r="AF91" i="2"/>
  <c r="AF67" i="2"/>
  <c r="AF100" i="2"/>
  <c r="AF119" i="2"/>
  <c r="AF83" i="2"/>
  <c r="AF75" i="2"/>
  <c r="AF51" i="2"/>
  <c r="AR85" i="2"/>
  <c r="AR53" i="2"/>
  <c r="AR101" i="2"/>
  <c r="AR77" i="2"/>
  <c r="AR37" i="2"/>
  <c r="AR69" i="2"/>
  <c r="AR93" i="2"/>
  <c r="AR61" i="2"/>
  <c r="AR45" i="2"/>
  <c r="U16" i="2"/>
  <c r="R25"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I64" i="2"/>
  <c r="H64" i="2"/>
  <c r="F64" i="2"/>
  <c r="L64" i="2"/>
  <c r="U64" i="2"/>
  <c r="T64" i="2"/>
  <c r="R64" i="2"/>
  <c r="O64" i="2"/>
  <c r="C213" i="3"/>
  <c r="L32" i="2"/>
  <c r="K32"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U97" i="2"/>
  <c r="C244" i="3"/>
  <c r="B244" i="3"/>
  <c r="C236" i="3"/>
  <c r="C258" i="3"/>
  <c r="AG160" i="2"/>
  <c r="E48" i="2"/>
  <c r="I49" i="2"/>
  <c r="U56" i="2"/>
  <c r="E57" i="2"/>
  <c r="AG103" i="2"/>
  <c r="M120" i="2"/>
  <c r="AA121" i="2" s="1"/>
  <c r="M125" i="2"/>
  <c r="AA125" i="2" s="1"/>
  <c r="AG110" i="2"/>
  <c r="U73" i="2"/>
  <c r="N87" i="2"/>
  <c r="AG105" i="2"/>
  <c r="N122" i="2"/>
  <c r="AF122" i="2" s="1"/>
  <c r="C192" i="3" s="1"/>
  <c r="M124" i="2"/>
  <c r="AA124" i="2" s="1"/>
  <c r="AG112" i="2"/>
  <c r="E73"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U81" i="2"/>
  <c r="H87" i="2"/>
  <c r="I88" i="2"/>
  <c r="AA159" i="2"/>
  <c r="BA21" i="4"/>
  <c r="R73" i="2"/>
  <c r="E81" i="2"/>
  <c r="I87" i="2"/>
  <c r="K88"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AY64" i="2"/>
  <c r="A40" i="2"/>
  <c r="BD25" i="2"/>
  <c r="BC22" i="2"/>
  <c r="BC10" i="2"/>
  <c r="BD20" i="2"/>
  <c r="A31" i="2"/>
  <c r="BC36" i="2"/>
  <c r="BD29" i="2"/>
  <c r="A48" i="2"/>
  <c r="AY16" i="2"/>
  <c r="AA13" i="2"/>
  <c r="AF17" i="2"/>
  <c r="F16" i="4" s="1"/>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R8" i="4" s="1"/>
  <c r="AA52" i="2"/>
  <c r="AA54" i="2"/>
  <c r="AI29" i="9"/>
  <c r="AI41" i="9"/>
  <c r="AA80" i="2"/>
  <c r="AF79" i="2"/>
  <c r="R30" i="4" s="1"/>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29" i="4" l="1"/>
  <c r="R6" i="4"/>
  <c r="R13" i="4"/>
  <c r="F46" i="4"/>
  <c r="F14" i="4"/>
  <c r="R43" i="4"/>
  <c r="R28" i="4"/>
  <c r="R27" i="4"/>
  <c r="R4" i="4"/>
  <c r="R3" i="4"/>
  <c r="F43" i="4"/>
  <c r="F4" i="4"/>
  <c r="O6" i="4"/>
  <c r="B43" i="3"/>
  <c r="B72" i="3"/>
  <c r="O31" i="4"/>
  <c r="C47" i="4"/>
  <c r="BC37" i="2"/>
  <c r="BC15" i="2"/>
  <c r="AF33" i="2"/>
  <c r="F32" i="4" s="1"/>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AF36" i="2"/>
  <c r="AF87" i="2"/>
  <c r="R38" i="4" s="1"/>
  <c r="AA89" i="2"/>
  <c r="AF84" i="2"/>
  <c r="AY87" i="2"/>
  <c r="C5" i="4"/>
  <c r="O3" i="4"/>
  <c r="B18" i="3"/>
  <c r="O7" i="4"/>
  <c r="AA21" i="2"/>
  <c r="AF25" i="2"/>
  <c r="F24" i="4" s="1"/>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AY56" i="2"/>
  <c r="AF56" i="2"/>
  <c r="R7" i="4" s="1"/>
  <c r="AA53" i="2"/>
  <c r="AA84" i="2"/>
  <c r="AF88" i="2"/>
  <c r="R39" i="4" s="1"/>
  <c r="AY86" i="2"/>
  <c r="AA86" i="2"/>
  <c r="BC28" i="2"/>
  <c r="AY72" i="2"/>
  <c r="AA69" i="2"/>
  <c r="AF73" i="2"/>
  <c r="R24" i="4" s="1"/>
  <c r="AF70" i="2"/>
  <c r="AA71" i="2"/>
  <c r="AY73" i="2"/>
  <c r="AA72" i="2"/>
  <c r="AF69" i="2"/>
  <c r="BC11" i="2"/>
  <c r="BC6" i="2"/>
  <c r="AA64" i="2"/>
  <c r="AF63" i="2"/>
  <c r="AF60" i="2"/>
  <c r="AY63" i="2"/>
  <c r="BC34" i="2"/>
  <c r="O30" i="4"/>
  <c r="B49" i="3"/>
  <c r="AF46" i="2"/>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22" i="4" l="1"/>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6" i="3"/>
  <c r="B173" i="3"/>
  <c r="C173" i="3"/>
  <c r="AA49" i="4"/>
  <c r="C176" i="3"/>
  <c r="B166" i="3"/>
  <c r="BR34" i="2"/>
  <c r="C166" i="3"/>
  <c r="B179" i="3"/>
  <c r="C179" i="3"/>
  <c r="AA4" i="4"/>
  <c r="B171" i="3"/>
  <c r="AA7" i="4"/>
  <c r="BR13" i="2"/>
  <c r="C171" i="3"/>
  <c r="AU101" i="2"/>
  <c r="AV100" i="2" s="1"/>
  <c r="AA37" i="4"/>
  <c r="BR19" i="2"/>
  <c r="AA25" i="4"/>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F70" i="2" s="1"/>
  <c r="BT47" i="2"/>
  <c r="F84" i="2" s="1"/>
  <c r="BT43" i="2"/>
  <c r="F76" i="2" s="1"/>
  <c r="BT51" i="2"/>
  <c r="F92" i="2" s="1"/>
  <c r="BT41" i="2"/>
  <c r="BT38" i="2"/>
  <c r="BT44" i="2"/>
  <c r="BT14" i="2"/>
  <c r="BT42" i="2"/>
  <c r="BT9" i="2"/>
  <c r="E8" i="2" s="1"/>
  <c r="BT37" i="2"/>
  <c r="BT8" i="2"/>
  <c r="F9" i="2" s="1"/>
  <c r="BT18" i="2"/>
  <c r="BT11" i="2"/>
  <c r="BT25" i="2"/>
  <c r="BT39" i="2"/>
  <c r="BT52" i="2"/>
  <c r="E93" i="2" s="1"/>
  <c r="BT16" i="2"/>
  <c r="BT32" i="2"/>
  <c r="BT17" i="2"/>
  <c r="BT35" i="2"/>
  <c r="BT26" i="2"/>
  <c r="BT50" i="2"/>
  <c r="E92" i="2" s="1"/>
  <c r="BT30" i="2"/>
  <c r="BT34" i="2"/>
  <c r="BT7" i="2"/>
  <c r="E9" i="2" s="1"/>
  <c r="BT27" i="2"/>
  <c r="BT28" i="2"/>
  <c r="BT48" i="2"/>
  <c r="E85" i="2" s="1"/>
  <c r="BT20" i="2"/>
  <c r="BT24" i="2"/>
  <c r="BT13" i="2"/>
  <c r="BT23" i="2"/>
  <c r="BT22" i="2"/>
  <c r="BT31" i="2"/>
  <c r="BT49" i="2"/>
  <c r="F85" i="2" s="1"/>
  <c r="BT21" i="2"/>
  <c r="BT15" i="2"/>
  <c r="BT45" i="2"/>
  <c r="F77" i="2" s="1"/>
  <c r="BT33" i="2"/>
  <c r="BT12" i="2"/>
  <c r="BT6" i="2"/>
  <c r="F8" i="2" s="1"/>
  <c r="BT10" i="2"/>
  <c r="BT46" i="2"/>
  <c r="E84" i="2" s="1"/>
  <c r="BT19" i="2"/>
  <c r="BT29" i="2"/>
  <c r="BT53" i="2"/>
  <c r="F93" i="2" s="1"/>
  <c r="BT36" i="2"/>
  <c r="F69" i="2" l="1"/>
  <c r="E71" i="2"/>
  <c r="F68" i="2"/>
  <c r="F71" i="2"/>
  <c r="E68" i="2"/>
  <c r="E70" i="2"/>
  <c r="E76" i="2"/>
  <c r="E78" i="2"/>
  <c r="E77" i="2"/>
  <c r="F78" i="2"/>
  <c r="F52" i="2"/>
  <c r="F55" i="2"/>
  <c r="F53" i="2"/>
  <c r="E55" i="2"/>
  <c r="F61" i="2"/>
  <c r="E63" i="2"/>
  <c r="F60" i="2"/>
  <c r="F63" i="2"/>
  <c r="E52" i="2"/>
  <c r="E54" i="2"/>
  <c r="E53" i="2"/>
  <c r="F54" i="2"/>
  <c r="E61" i="2"/>
  <c r="F62" i="2"/>
  <c r="E60" i="2"/>
  <c r="E62" i="2"/>
  <c r="F45" i="2"/>
  <c r="E47" i="2"/>
  <c r="F44" i="2"/>
  <c r="BV26" i="2" s="1"/>
  <c r="F47" i="2"/>
  <c r="F37" i="2"/>
  <c r="E39" i="2"/>
  <c r="F36" i="2"/>
  <c r="F39" i="2"/>
  <c r="E36" i="2"/>
  <c r="E38" i="2"/>
  <c r="E37" i="2"/>
  <c r="F38" i="2"/>
  <c r="E45" i="2"/>
  <c r="F46" i="2"/>
  <c r="E44" i="2"/>
  <c r="BV27" i="2" s="1"/>
  <c r="E46" i="2"/>
  <c r="F28" i="2"/>
  <c r="F31" i="2"/>
  <c r="F29" i="2"/>
  <c r="E31" i="2"/>
  <c r="E21" i="2"/>
  <c r="F23" i="2"/>
  <c r="E20" i="2"/>
  <c r="E23" i="2"/>
  <c r="F20" i="2"/>
  <c r="F22" i="2"/>
  <c r="F21" i="2"/>
  <c r="E22" i="2"/>
  <c r="E29" i="2"/>
  <c r="F30" i="2"/>
  <c r="E28" i="2"/>
  <c r="E30" i="2"/>
  <c r="BW20" i="2" s="1"/>
  <c r="E13" i="2"/>
  <c r="F15" i="2"/>
  <c r="E12" i="2"/>
  <c r="E15" i="2"/>
  <c r="F13" i="2"/>
  <c r="E14" i="2"/>
  <c r="F12" i="2"/>
  <c r="BV10" i="2" s="1"/>
  <c r="F14" i="2"/>
  <c r="BV40" i="2"/>
  <c r="E69" i="2"/>
  <c r="BU41" i="2" s="1"/>
  <c r="E5" i="2"/>
  <c r="F7" i="2"/>
  <c r="E4" i="2"/>
  <c r="E7" i="2"/>
  <c r="F5" i="2"/>
  <c r="BU8" i="2" s="1"/>
  <c r="E6" i="2"/>
  <c r="F4" i="2"/>
  <c r="BU6" i="2" s="1"/>
  <c r="F6" i="2"/>
  <c r="BU40" i="2"/>
  <c r="BW40" i="2"/>
  <c r="BV17" i="2"/>
  <c r="BW17" i="2"/>
  <c r="BU17" i="2"/>
  <c r="BV28" i="2"/>
  <c r="BW28" i="2"/>
  <c r="BU28" i="2"/>
  <c r="BW27" i="2"/>
  <c r="BU27" i="2"/>
  <c r="BW6" i="2"/>
  <c r="BV6" i="2"/>
  <c r="BV12" i="2"/>
  <c r="BW12" i="2"/>
  <c r="BU12" i="2"/>
  <c r="BV53" i="2"/>
  <c r="BU53" i="2"/>
  <c r="BW53" i="2"/>
  <c r="BV24" i="2"/>
  <c r="BW24" i="2"/>
  <c r="BU24" i="2"/>
  <c r="BW26" i="2"/>
  <c r="BU26" i="2"/>
  <c r="BV25" i="2"/>
  <c r="BU25" i="2"/>
  <c r="BW25" i="2"/>
  <c r="BV20" i="2"/>
  <c r="BU20" i="2"/>
  <c r="BW8" i="2"/>
  <c r="BV8" i="2"/>
  <c r="BW46" i="2"/>
  <c r="BV46" i="2"/>
  <c r="BU46" i="2"/>
  <c r="BV31" i="2"/>
  <c r="BW31" i="2"/>
  <c r="BU31" i="2"/>
  <c r="BW14" i="2"/>
  <c r="BV14" i="2"/>
  <c r="BU14" i="2"/>
  <c r="BW23" i="2"/>
  <c r="BV23" i="2"/>
  <c r="BU23" i="2"/>
  <c r="BU45" i="2"/>
  <c r="BV45" i="2"/>
  <c r="BW45" i="2"/>
  <c r="BV35" i="2"/>
  <c r="BU35" i="2"/>
  <c r="BW35" i="2"/>
  <c r="BV11" i="2"/>
  <c r="BU11" i="2"/>
  <c r="BW11" i="2"/>
  <c r="BV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I85" i="2" s="1"/>
  <c r="BZ40" i="2"/>
  <c r="BZ42" i="2"/>
  <c r="H78" i="2" s="1"/>
  <c r="BZ45" i="2"/>
  <c r="BZ24" i="2"/>
  <c r="I38" i="2" s="1"/>
  <c r="BZ36" i="2"/>
  <c r="I62" i="2" s="1"/>
  <c r="BZ39" i="2"/>
  <c r="I71" i="2" s="1"/>
  <c r="BZ31" i="2"/>
  <c r="I55" i="2" s="1"/>
  <c r="BZ22" i="2"/>
  <c r="H38" i="2" s="1"/>
  <c r="BZ23" i="2"/>
  <c r="I39" i="2" s="1"/>
  <c r="BZ33" i="2"/>
  <c r="H55" i="2" s="1"/>
  <c r="BZ21" i="2"/>
  <c r="H31" i="2" s="1"/>
  <c r="BZ27" i="2"/>
  <c r="I47" i="2" s="1"/>
  <c r="BZ12" i="2"/>
  <c r="BZ53" i="2"/>
  <c r="BZ25" i="2"/>
  <c r="H39" i="2" s="1"/>
  <c r="BZ51" i="2"/>
  <c r="BZ16" i="2"/>
  <c r="I23" i="2" s="1"/>
  <c r="BZ50" i="2"/>
  <c r="BZ34" i="2"/>
  <c r="H62" i="2" s="1"/>
  <c r="BZ41" i="2"/>
  <c r="H71" i="2" s="1"/>
  <c r="BZ30" i="2"/>
  <c r="H54" i="2" s="1"/>
  <c r="BZ9" i="2"/>
  <c r="H8" i="2" s="1"/>
  <c r="BZ32" i="2"/>
  <c r="I54" i="2" s="1"/>
  <c r="BZ17" i="2"/>
  <c r="H22" i="2" s="1"/>
  <c r="BZ47" i="2"/>
  <c r="BZ6" i="2"/>
  <c r="BZ38" i="2"/>
  <c r="H70" i="2" s="1"/>
  <c r="BZ46" i="2"/>
  <c r="BZ15" i="2"/>
  <c r="I22" i="2" s="1"/>
  <c r="BZ44" i="2"/>
  <c r="I78" i="2" s="1"/>
  <c r="BZ48" i="2"/>
  <c r="BZ26" i="2"/>
  <c r="H46" i="2" s="1"/>
  <c r="BZ19" i="2"/>
  <c r="I31" i="2" s="1"/>
  <c r="BZ20" i="2"/>
  <c r="I30" i="2" s="1"/>
  <c r="BZ29" i="2"/>
  <c r="H47" i="2" s="1"/>
  <c r="BZ10" i="2"/>
  <c r="H15" i="2" s="1"/>
  <c r="BZ8" i="2"/>
  <c r="BZ28" i="2"/>
  <c r="I46" i="2" s="1"/>
  <c r="BZ37" i="2"/>
  <c r="H63" i="2" s="1"/>
  <c r="BZ52" i="2"/>
  <c r="BZ13" i="2"/>
  <c r="H14" i="2" s="1"/>
  <c r="BZ35" i="2"/>
  <c r="I63" i="2" s="1"/>
  <c r="BZ18" i="2"/>
  <c r="H30" i="2" s="1"/>
  <c r="BZ43" i="2"/>
  <c r="BZ11" i="2"/>
  <c r="I14" i="2" s="1"/>
  <c r="BZ14" i="2"/>
  <c r="H23" i="2" s="1"/>
  <c r="BZ7" i="2"/>
  <c r="H9" i="2" s="1"/>
  <c r="H69" i="2" l="1"/>
  <c r="I70" i="2"/>
  <c r="CA49" i="2"/>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I7" i="2"/>
  <c r="I9" i="2"/>
  <c r="CB16" i="2"/>
  <c r="CC16" i="2" s="1"/>
  <c r="H7" i="2"/>
  <c r="I8" i="2"/>
  <c r="CB47" i="2"/>
  <c r="I4" i="2"/>
  <c r="CB6" i="2" s="1"/>
  <c r="I6" i="2"/>
  <c r="I5" i="2"/>
  <c r="H6" i="2"/>
  <c r="CA44" i="2"/>
  <c r="H5" i="2"/>
  <c r="CA52" i="2"/>
  <c r="CB13" i="2"/>
  <c r="CB37" i="2"/>
  <c r="CB51" i="2"/>
  <c r="CB48" i="2"/>
  <c r="CC48" i="2" s="1"/>
  <c r="H4" i="2"/>
  <c r="CA41" i="2"/>
  <c r="CC49" i="2"/>
  <c r="CA38" i="2" l="1"/>
  <c r="CC38" i="2" s="1"/>
  <c r="CC53" i="2"/>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B34" i="2"/>
  <c r="CC34" i="2" s="1"/>
  <c r="CA30" i="2"/>
  <c r="CC30" i="2" s="1"/>
  <c r="CA22" i="2"/>
  <c r="CC22" i="2" s="1"/>
  <c r="CA40" i="2"/>
  <c r="CB40"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K22" i="2" s="1"/>
  <c r="CE29" i="2"/>
  <c r="K47" i="2" s="1"/>
  <c r="CE23" i="2"/>
  <c r="L39" i="2" s="1"/>
  <c r="CE30" i="2"/>
  <c r="K54" i="2" s="1"/>
  <c r="CE51" i="2"/>
  <c r="CE53" i="2"/>
  <c r="CE44" i="2"/>
  <c r="L78" i="2" s="1"/>
  <c r="CE52" i="2"/>
  <c r="CE24" i="2"/>
  <c r="L38" i="2" s="1"/>
  <c r="CE50" i="2"/>
  <c r="CE27" i="2"/>
  <c r="L47" i="2" s="1"/>
  <c r="CE39" i="2"/>
  <c r="L71" i="2" s="1"/>
  <c r="CE36" i="2"/>
  <c r="L62" i="2" s="1"/>
  <c r="CE42" i="2"/>
  <c r="K78" i="2" s="1"/>
  <c r="CE7" i="2"/>
  <c r="CE25" i="2"/>
  <c r="K39" i="2" s="1"/>
  <c r="CE20" i="2"/>
  <c r="L30" i="2" s="1"/>
  <c r="CE47" i="2"/>
  <c r="CE34" i="2"/>
  <c r="K62" i="2" s="1"/>
  <c r="CE6" i="2"/>
  <c r="L8" i="2" s="1"/>
  <c r="CE33" i="2"/>
  <c r="K55" i="2" s="1"/>
  <c r="CE11" i="2"/>
  <c r="L14" i="2" s="1"/>
  <c r="CE15" i="2"/>
  <c r="L22" i="2" s="1"/>
  <c r="CE32" i="2"/>
  <c r="L54" i="2" s="1"/>
  <c r="CE8" i="2"/>
  <c r="L9" i="2" s="1"/>
  <c r="CE31" i="2"/>
  <c r="L55" i="2" s="1"/>
  <c r="CE45" i="2"/>
  <c r="CE12" i="2"/>
  <c r="L15" i="2" s="1"/>
  <c r="CE22" i="2"/>
  <c r="K38" i="2" s="1"/>
  <c r="CE37" i="2"/>
  <c r="K63" i="2" s="1"/>
  <c r="CE9" i="2"/>
  <c r="CE49" i="2"/>
  <c r="CE28" i="2"/>
  <c r="L46" i="2" s="1"/>
  <c r="CE21" i="2"/>
  <c r="K31" i="2" s="1"/>
  <c r="CE48" i="2"/>
  <c r="CE10" i="2"/>
  <c r="K15" i="2" s="1"/>
  <c r="CE13" i="2"/>
  <c r="K14" i="2" s="1"/>
  <c r="CE40" i="2"/>
  <c r="L70" i="2" s="1"/>
  <c r="CE38" i="2"/>
  <c r="K70" i="2" s="1"/>
  <c r="CE35" i="2"/>
  <c r="L63" i="2" s="1"/>
  <c r="CE16" i="2"/>
  <c r="L23" i="2" s="1"/>
  <c r="CE26" i="2"/>
  <c r="K46" i="2" s="1"/>
  <c r="CE19" i="2"/>
  <c r="L31" i="2" s="1"/>
  <c r="CE18" i="2"/>
  <c r="K30" i="2" s="1"/>
  <c r="CE41" i="2"/>
  <c r="K71" i="2" s="1"/>
  <c r="CE43" i="2"/>
  <c r="CE14" i="2"/>
  <c r="K23" i="2" s="1"/>
  <c r="CE46" i="2"/>
  <c r="CF48" i="2" l="1"/>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N71" i="2" s="1"/>
  <c r="CH7" i="2"/>
  <c r="O4" i="2" s="1"/>
  <c r="CH28" i="2"/>
  <c r="CH6" i="2"/>
  <c r="N4" i="2" s="1"/>
  <c r="CH34" i="2"/>
  <c r="N62" i="2" s="1"/>
  <c r="CH16" i="2"/>
  <c r="CH44" i="2"/>
  <c r="O78" i="2" s="1"/>
  <c r="CH25" i="2"/>
  <c r="N39" i="2" s="1"/>
  <c r="CH8" i="2"/>
  <c r="O9" i="2" s="1"/>
  <c r="CH45" i="2"/>
  <c r="CH18" i="2"/>
  <c r="CH23" i="2"/>
  <c r="CH47" i="2"/>
  <c r="CH32" i="2"/>
  <c r="O54" i="2" s="1"/>
  <c r="CH43" i="2"/>
  <c r="CH49" i="2"/>
  <c r="CH14" i="2"/>
  <c r="N23" i="2" s="1"/>
  <c r="CH38" i="2"/>
  <c r="CH36" i="2"/>
  <c r="O62" i="2" s="1"/>
  <c r="CH46" i="2"/>
  <c r="CH48" i="2"/>
  <c r="CH24" i="2"/>
  <c r="O38" i="2" s="1"/>
  <c r="CH31" i="2"/>
  <c r="O55" i="2" s="1"/>
  <c r="CH12" i="2"/>
  <c r="O15" i="2" s="1"/>
  <c r="CH37" i="2"/>
  <c r="N63" i="2" s="1"/>
  <c r="CH35" i="2"/>
  <c r="O63" i="2" s="1"/>
  <c r="CH53" i="2"/>
  <c r="CK41" i="2"/>
  <c r="CH17" i="2"/>
  <c r="N22" i="2" s="1"/>
  <c r="CH19" i="2"/>
  <c r="O31" i="2" s="1"/>
  <c r="CH52" i="2"/>
  <c r="N93" i="2" s="1"/>
  <c r="CH51" i="2"/>
  <c r="CH9" i="2"/>
  <c r="O5" i="2" s="1"/>
  <c r="CH30" i="2"/>
  <c r="N54" i="2" s="1"/>
  <c r="CH13" i="2"/>
  <c r="N14" i="2" s="1"/>
  <c r="CH42" i="2"/>
  <c r="N78" i="2" s="1"/>
  <c r="CH27" i="2"/>
  <c r="O47" i="2" s="1"/>
  <c r="CH40" i="2"/>
  <c r="N9" i="2"/>
  <c r="CH26" i="2"/>
  <c r="CH11" i="2"/>
  <c r="CH33" i="2"/>
  <c r="CH22" i="2"/>
  <c r="CH21" i="2"/>
  <c r="CH15" i="2"/>
  <c r="O22" i="2" s="1"/>
  <c r="CH10" i="2"/>
  <c r="CH39" i="2"/>
  <c r="CH29" i="2"/>
  <c r="CH20" i="2"/>
  <c r="O30" i="2" s="1"/>
  <c r="CH50" i="2"/>
  <c r="N92" i="2" s="1"/>
  <c r="O8" i="2"/>
  <c r="CJ28" i="2"/>
  <c r="O68" i="2" l="1"/>
  <c r="O71" i="2"/>
  <c r="N68" i="2"/>
  <c r="N70" i="2"/>
  <c r="N69" i="2"/>
  <c r="O70" i="2"/>
  <c r="O53" i="2"/>
  <c r="N55" i="2"/>
  <c r="O45" i="2"/>
  <c r="N47" i="2"/>
  <c r="O36" i="2"/>
  <c r="O39" i="2"/>
  <c r="N36" i="2"/>
  <c r="N38" i="2"/>
  <c r="N44" i="2"/>
  <c r="N46" i="2"/>
  <c r="N45" i="2"/>
  <c r="O46" i="2"/>
  <c r="N7" i="2"/>
  <c r="O29" i="2"/>
  <c r="N31" i="2"/>
  <c r="CI16" i="2"/>
  <c r="O23" i="2"/>
  <c r="CK18" i="2"/>
  <c r="N30" i="2"/>
  <c r="O7" i="2"/>
  <c r="N12" i="2"/>
  <c r="N15" i="2"/>
  <c r="O12" i="2"/>
  <c r="O14" i="2"/>
  <c r="CI41" i="2"/>
  <c r="CK28" i="2"/>
  <c r="O6" i="2"/>
  <c r="CJ48" i="2"/>
  <c r="N85" i="2"/>
  <c r="CI49" i="2"/>
  <c r="O85" i="2"/>
  <c r="CI28" i="2"/>
  <c r="CJ53" i="2"/>
  <c r="O93" i="2"/>
  <c r="CI52" i="2" s="1"/>
  <c r="CK51" i="2"/>
  <c r="O92" i="2"/>
  <c r="CK46" i="2"/>
  <c r="N84" i="2"/>
  <c r="CI47" i="2"/>
  <c r="O84" i="2"/>
  <c r="CJ45" i="2"/>
  <c r="O77" i="2"/>
  <c r="CI44" i="2" s="1"/>
  <c r="N77" i="2"/>
  <c r="CJ43" i="2"/>
  <c r="O76" i="2"/>
  <c r="CI42" i="2" s="1"/>
  <c r="N76" i="2"/>
  <c r="N5" i="2"/>
  <c r="CJ41" i="2"/>
  <c r="O69" i="2"/>
  <c r="CK40" i="2" s="1"/>
  <c r="CI32" i="2"/>
  <c r="N53" i="2"/>
  <c r="CI36" i="2"/>
  <c r="N61" i="2"/>
  <c r="CJ37" i="2" s="1"/>
  <c r="CK37" i="2"/>
  <c r="O61" i="2"/>
  <c r="O52" i="2"/>
  <c r="CJ30" i="2" s="1"/>
  <c r="N52" i="2"/>
  <c r="CJ31" i="2" s="1"/>
  <c r="O60" i="2"/>
  <c r="CJ34" i="2" s="1"/>
  <c r="N60" i="2"/>
  <c r="CJ35" i="2" s="1"/>
  <c r="CJ24" i="2"/>
  <c r="N37" i="2"/>
  <c r="CK25" i="2" s="1"/>
  <c r="CJ25" i="2"/>
  <c r="O37" i="2"/>
  <c r="CI24" i="2" s="1"/>
  <c r="CI27" i="2"/>
  <c r="O44" i="2"/>
  <c r="CJ26" i="2" s="1"/>
  <c r="CI45" i="2"/>
  <c r="CK20" i="2"/>
  <c r="N29" i="2"/>
  <c r="CK45" i="2"/>
  <c r="CI8" i="2"/>
  <c r="CK17" i="2"/>
  <c r="O21" i="2"/>
  <c r="CJ16" i="2"/>
  <c r="N21" i="2"/>
  <c r="CI15" i="2"/>
  <c r="O20" i="2"/>
  <c r="CJ14" i="2" s="1"/>
  <c r="CI14" i="2"/>
  <c r="N20" i="2"/>
  <c r="CJ15" i="2" s="1"/>
  <c r="CI34" i="2"/>
  <c r="CJ32" i="2"/>
  <c r="CK43"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K35" i="2"/>
  <c r="CJ9" i="2"/>
  <c r="CJ42" i="2"/>
  <c r="CI19" i="2"/>
  <c r="CK31" i="2"/>
  <c r="CI31" i="2"/>
  <c r="CK44" i="2"/>
  <c r="CK9" i="2"/>
  <c r="CI30" i="2"/>
  <c r="CK14" i="2"/>
  <c r="CI23" i="2"/>
  <c r="CJ23" i="2"/>
  <c r="CK23" i="2"/>
  <c r="CI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L43" i="2" l="1"/>
  <c r="CL41" i="2"/>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Q47" i="2" s="1"/>
  <c r="CN27" i="2"/>
  <c r="R47" i="2" s="1"/>
  <c r="CN42" i="2"/>
  <c r="Q78" i="2" s="1"/>
  <c r="CN37" i="2"/>
  <c r="CN32" i="2"/>
  <c r="CN45" i="2"/>
  <c r="R77" i="2" s="1"/>
  <c r="CN53" i="2"/>
  <c r="R93" i="2" s="1"/>
  <c r="CN18" i="2"/>
  <c r="CN33" i="2"/>
  <c r="CN30" i="2"/>
  <c r="CN28" i="2"/>
  <c r="CN36" i="2"/>
  <c r="CN24" i="2"/>
  <c r="CN48" i="2"/>
  <c r="Q85" i="2" s="1"/>
  <c r="CN34" i="2"/>
  <c r="CN13" i="2"/>
  <c r="CN51" i="2"/>
  <c r="R92" i="2" s="1"/>
  <c r="CN43" i="2"/>
  <c r="R76" i="2" s="1"/>
  <c r="CN15" i="2"/>
  <c r="CN14" i="2"/>
  <c r="CN40" i="2"/>
  <c r="CN26" i="2"/>
  <c r="CN31" i="2"/>
  <c r="CN38" i="2"/>
  <c r="CN21" i="2"/>
  <c r="CN23" i="2"/>
  <c r="CN17" i="2"/>
  <c r="CN20" i="2"/>
  <c r="CN35" i="2"/>
  <c r="CN44" i="2"/>
  <c r="CN25" i="2"/>
  <c r="CN39" i="2"/>
  <c r="CN52" i="2"/>
  <c r="Q93" i="2" s="1"/>
  <c r="CN47" i="2"/>
  <c r="R84" i="2" s="1"/>
  <c r="CN50" i="2"/>
  <c r="Q92" i="2" s="1"/>
  <c r="CN16" i="2"/>
  <c r="CN12" i="2"/>
  <c r="CN22" i="2"/>
  <c r="CN19" i="2"/>
  <c r="CN49" i="2"/>
  <c r="R85" i="2" s="1"/>
  <c r="CN41" i="2"/>
  <c r="CN8" i="2"/>
  <c r="CN9" i="2"/>
  <c r="CN10" i="2"/>
  <c r="CN6" i="2"/>
  <c r="Q4" i="2" s="1"/>
  <c r="CN7" i="2"/>
  <c r="R4" i="2" s="1"/>
  <c r="CN46" i="2"/>
  <c r="Q84" i="2" s="1"/>
  <c r="CN11" i="2"/>
  <c r="R68" i="2" l="1"/>
  <c r="R71" i="2"/>
  <c r="R69" i="2"/>
  <c r="Q71" i="2"/>
  <c r="Q68" i="2"/>
  <c r="Q70" i="2"/>
  <c r="Q69" i="2"/>
  <c r="R70" i="2"/>
  <c r="CO38" i="2" s="1"/>
  <c r="Q77" i="2"/>
  <c r="R78" i="2"/>
  <c r="R52" i="2"/>
  <c r="R55" i="2"/>
  <c r="R53" i="2"/>
  <c r="Q55" i="2"/>
  <c r="R60" i="2"/>
  <c r="R63" i="2"/>
  <c r="R61" i="2"/>
  <c r="Q63" i="2"/>
  <c r="Q53" i="2"/>
  <c r="R54" i="2"/>
  <c r="CP30" i="2" s="1"/>
  <c r="Q52" i="2"/>
  <c r="Q54" i="2"/>
  <c r="Q61" i="2"/>
  <c r="R62" i="2"/>
  <c r="Q60" i="2"/>
  <c r="Q62" i="2"/>
  <c r="R37" i="2"/>
  <c r="Q39" i="2"/>
  <c r="R36" i="2"/>
  <c r="R39" i="2"/>
  <c r="Q36" i="2"/>
  <c r="Q38" i="2"/>
  <c r="Q37" i="2"/>
  <c r="R38" i="2"/>
  <c r="Q45" i="2"/>
  <c r="R46" i="2"/>
  <c r="Q44" i="2"/>
  <c r="Q46" i="2"/>
  <c r="R28" i="2"/>
  <c r="R31" i="2"/>
  <c r="R29" i="2"/>
  <c r="Q31" i="2"/>
  <c r="Q21" i="2"/>
  <c r="R23" i="2"/>
  <c r="CP14" i="2" s="1"/>
  <c r="Q20" i="2"/>
  <c r="Q23" i="2"/>
  <c r="R21" i="2"/>
  <c r="Q22" i="2"/>
  <c r="R20" i="2"/>
  <c r="R22" i="2"/>
  <c r="Q28" i="2"/>
  <c r="Q30" i="2"/>
  <c r="Q29" i="2"/>
  <c r="R30" i="2"/>
  <c r="Q12" i="2"/>
  <c r="Q15" i="2"/>
  <c r="CO12" i="2" s="1"/>
  <c r="Q13" i="2"/>
  <c r="R15" i="2"/>
  <c r="R12" i="2"/>
  <c r="R14" i="2"/>
  <c r="R13" i="2"/>
  <c r="Q14" i="2"/>
  <c r="CP42" i="2"/>
  <c r="Q76" i="2"/>
  <c r="CP29" i="2"/>
  <c r="R45" i="2"/>
  <c r="CP27" i="2"/>
  <c r="R44" i="2"/>
  <c r="CP26" i="2" s="1"/>
  <c r="CO42" i="2"/>
  <c r="CO29" i="2"/>
  <c r="CQ29" i="2" s="1"/>
  <c r="CO27" i="2"/>
  <c r="CP38" i="2"/>
  <c r="R8" i="2"/>
  <c r="Q7" i="2"/>
  <c r="CP40" i="2"/>
  <c r="CO40" i="2"/>
  <c r="Q8" i="2"/>
  <c r="R5" i="2"/>
  <c r="CO8" i="2" s="1"/>
  <c r="Q6" i="2"/>
  <c r="CP7" i="2" s="1"/>
  <c r="CP39" i="2"/>
  <c r="CO39" i="2"/>
  <c r="CO33" i="2"/>
  <c r="CP33" i="2"/>
  <c r="CP16" i="2"/>
  <c r="CO16" i="2"/>
  <c r="CO36" i="2"/>
  <c r="CP36" i="2"/>
  <c r="CP25" i="2"/>
  <c r="CO25" i="2"/>
  <c r="R6" i="2"/>
  <c r="Q9" i="2"/>
  <c r="CO47" i="2"/>
  <c r="CP47" i="2"/>
  <c r="CO52" i="2"/>
  <c r="CP52" i="2"/>
  <c r="R9" i="2"/>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P12" i="2"/>
  <c r="CO23" i="2"/>
  <c r="CP23" i="2"/>
  <c r="CP48" i="2"/>
  <c r="CO48" i="2"/>
  <c r="CP11" i="2"/>
  <c r="CO11" i="2"/>
  <c r="CO21" i="2"/>
  <c r="CP21" i="2"/>
  <c r="CO6" i="2"/>
  <c r="CO30" i="2" l="1"/>
  <c r="CQ30" i="2" s="1"/>
  <c r="CP10" i="2"/>
  <c r="CO10" i="2"/>
  <c r="CO14" i="2"/>
  <c r="CQ14" i="2" s="1"/>
  <c r="CO7" i="2"/>
  <c r="CQ7" i="2" s="1"/>
  <c r="CO26" i="2"/>
  <c r="CQ26" i="2" s="1"/>
  <c r="CQ42" i="2"/>
  <c r="CQ27" i="2"/>
  <c r="CP8" i="2"/>
  <c r="CQ8" i="2" s="1"/>
  <c r="CP6" i="2"/>
  <c r="CQ6" i="2" s="1"/>
  <c r="CQ16" i="2"/>
  <c r="CQ36" i="2"/>
  <c r="CQ31" i="2"/>
  <c r="CQ37" i="2"/>
  <c r="CQ11" i="2"/>
  <c r="CQ49" i="2"/>
  <c r="CQ53" i="2"/>
  <c r="CQ48" i="2"/>
  <c r="CQ17" i="2"/>
  <c r="CQ52" i="2"/>
  <c r="CQ20" i="2"/>
  <c r="CQ38" i="2"/>
  <c r="CQ28" i="2"/>
  <c r="CQ18" i="2"/>
  <c r="CO9" i="2"/>
  <c r="CQ35" i="2"/>
  <c r="CQ40" i="2"/>
  <c r="CQ24" i="2"/>
  <c r="CQ47" i="2"/>
  <c r="CQ32" i="2"/>
  <c r="CQ15" i="2"/>
  <c r="CP9" i="2"/>
  <c r="CQ25" i="2"/>
  <c r="CQ39" i="2"/>
  <c r="CQ19" i="2"/>
  <c r="CQ43" i="2"/>
  <c r="CQ12" i="2"/>
  <c r="CQ50" i="2"/>
  <c r="CQ22" i="2"/>
  <c r="CQ13" i="2"/>
  <c r="CQ21" i="2"/>
  <c r="CQ44" i="2"/>
  <c r="CQ34" i="2"/>
  <c r="CQ51" i="2"/>
  <c r="CQ46" i="2"/>
  <c r="CQ41" i="2"/>
  <c r="CQ23" i="2"/>
  <c r="CQ45" i="2"/>
  <c r="CQ33" i="2"/>
  <c r="CQ10" i="2" l="1"/>
  <c r="CR46" i="2"/>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T23" i="2" s="1"/>
  <c r="CS15" i="2"/>
  <c r="U22" i="2" s="1"/>
  <c r="CS18" i="2"/>
  <c r="T30" i="2" s="1"/>
  <c r="CS49" i="2"/>
  <c r="CS26" i="2"/>
  <c r="T46" i="2" s="1"/>
  <c r="CS52" i="2"/>
  <c r="CS53" i="2"/>
  <c r="CS41" i="2"/>
  <c r="T71" i="2" s="1"/>
  <c r="CS29" i="2"/>
  <c r="T47" i="2" s="1"/>
  <c r="CS8" i="2"/>
  <c r="U7" i="2" s="1"/>
  <c r="CS31" i="2"/>
  <c r="U55" i="2" s="1"/>
  <c r="CS39" i="2"/>
  <c r="U71" i="2" s="1"/>
  <c r="CS28" i="2"/>
  <c r="U46" i="2" s="1"/>
  <c r="CS44" i="2"/>
  <c r="U78" i="2" s="1"/>
  <c r="CS20" i="2"/>
  <c r="U30" i="2" s="1"/>
  <c r="CS21" i="2"/>
  <c r="T31" i="2" s="1"/>
  <c r="CS38" i="2"/>
  <c r="T70" i="2" s="1"/>
  <c r="CS30" i="2"/>
  <c r="T54" i="2" s="1"/>
  <c r="CS32" i="2"/>
  <c r="U54" i="2" s="1"/>
  <c r="CS17" i="2"/>
  <c r="T22" i="2" s="1"/>
  <c r="CS7" i="2"/>
  <c r="U4" i="2" s="1"/>
  <c r="CS23" i="2"/>
  <c r="U39" i="2" s="1"/>
  <c r="CS48" i="2"/>
  <c r="CS12" i="2"/>
  <c r="U15" i="2" s="1"/>
  <c r="CS34" i="2"/>
  <c r="T62" i="2" s="1"/>
  <c r="CS16" i="2"/>
  <c r="U23" i="2" s="1"/>
  <c r="CS10" i="2"/>
  <c r="T15" i="2" s="1"/>
  <c r="CS9" i="2"/>
  <c r="T6" i="2" s="1"/>
  <c r="CS40" i="2"/>
  <c r="U70" i="2" s="1"/>
  <c r="CS6" i="2"/>
  <c r="T7" i="2" s="1"/>
  <c r="CS11" i="2"/>
  <c r="U14" i="2" s="1"/>
  <c r="CS27" i="2"/>
  <c r="U47" i="2" s="1"/>
  <c r="CS46" i="2"/>
  <c r="CS42" i="2"/>
  <c r="T78" i="2" s="1"/>
  <c r="CS25" i="2"/>
  <c r="T39" i="2" s="1"/>
  <c r="CS19" i="2"/>
  <c r="U31" i="2" s="1"/>
  <c r="CS33" i="2"/>
  <c r="T55" i="2" s="1"/>
  <c r="CS13" i="2"/>
  <c r="T14" i="2" s="1"/>
  <c r="CS37" i="2"/>
  <c r="T63" i="2" s="1"/>
  <c r="CS36" i="2"/>
  <c r="U62" i="2" s="1"/>
  <c r="CS51" i="2"/>
  <c r="CS50" i="2"/>
  <c r="CS45" i="2"/>
  <c r="CS24" i="2"/>
  <c r="U38" i="2" s="1"/>
  <c r="CS47" i="2"/>
  <c r="CS43" i="2"/>
  <c r="CS35" i="2"/>
  <c r="U63" i="2" s="1"/>
  <c r="CS22" i="2"/>
  <c r="T38" i="2" s="1"/>
  <c r="CT48" i="2" l="1"/>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6" i="2"/>
  <c r="CU26" i="2"/>
  <c r="CU52" i="2"/>
  <c r="CU13" i="2"/>
  <c r="CU38" i="2"/>
  <c r="CU48" i="2"/>
  <c r="CU27" i="2"/>
  <c r="CU29" i="2"/>
  <c r="CU20" i="2"/>
  <c r="CU18" i="2"/>
  <c r="CU10" i="2"/>
  <c r="CU8" i="2"/>
  <c r="CU33" i="2" l="1"/>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T6" i="2" l="1"/>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<sst xmlns="http://schemas.openxmlformats.org/spreadsheetml/2006/main" count="6754" uniqueCount="1516">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</sst>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3"/>
  <sheetViews>
    <sheetView showGridLines="0" showRowColHeaders="0" tabSelected="1" zoomScaleNormal="100" workbookViewId="0">
      <selection activeCell="AY67" sqref="AY67"/>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6" spans="29:30" x14ac:dyDescent="0.2">
      <c r="AC76" s="292">
        <v>3</v>
      </c>
      <c r="AD76" s="292">
        <v>0</v>
      </c>
    </row>
    <row r="77" spans="29:30" x14ac:dyDescent="0.2">
      <c r="AC77" s="292">
        <v>3</v>
      </c>
      <c r="AD77" s="292">
        <v>1</v>
      </c>
    </row>
    <row r="78" spans="29:30" x14ac:dyDescent="0.2">
      <c r="AC78" s="292">
        <v>2</v>
      </c>
      <c r="AD78" s="292">
        <v>0</v>
      </c>
    </row>
    <row r="84" spans="29:30" x14ac:dyDescent="0.2">
      <c r="AC84" s="292">
        <v>1</v>
      </c>
      <c r="AD84" s="292">
        <v>1</v>
      </c>
    </row>
    <row r="85" spans="29:30" x14ac:dyDescent="0.2">
      <c r="AC85" s="292">
        <v>1</v>
      </c>
      <c r="AD85" s="292">
        <v>3</v>
      </c>
    </row>
    <row r="92" spans="29:30" x14ac:dyDescent="0.2">
      <c r="AC92" s="292">
        <v>4</v>
      </c>
      <c r="AD92" s="292">
        <v>2</v>
      </c>
    </row>
    <row r="93" spans="29:30" x14ac:dyDescent="0.2">
      <c r="AC93" s="292">
        <v>1</v>
      </c>
      <c r="AD93"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38" zoomScaleNormal="100" workbookViewId="0">
      <selection activeCell="AY67" sqref="AY67"/>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3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2</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3</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8</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8</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2</v>
      </c>
      <c r="BG8" s="16">
        <f t="shared" ca="1" si="18"/>
        <v>1</v>
      </c>
      <c r="BH8" s="16">
        <f t="shared" ca="1" si="19"/>
        <v>0</v>
      </c>
      <c r="BI8" s="16">
        <f t="shared" ca="1" si="20"/>
        <v>1</v>
      </c>
      <c r="BJ8" s="16">
        <f t="shared" ca="1" si="21"/>
        <v>2</v>
      </c>
      <c r="BK8" s="16">
        <f t="shared" ca="1" si="22"/>
        <v>2</v>
      </c>
      <c r="BL8" s="16">
        <f t="shared" ca="1" si="23"/>
        <v>0</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8</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8</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2</v>
      </c>
      <c r="BG10" s="16">
        <f t="shared" ca="1" si="18"/>
        <v>1</v>
      </c>
      <c r="BH10" s="16">
        <f t="shared" ca="1" si="19"/>
        <v>1</v>
      </c>
      <c r="BI10" s="16">
        <f t="shared" ca="1" si="20"/>
        <v>0</v>
      </c>
      <c r="BJ10" s="16">
        <f t="shared" ca="1" si="21"/>
        <v>7</v>
      </c>
      <c r="BK10" s="16">
        <f t="shared" ca="1" si="22"/>
        <v>1</v>
      </c>
      <c r="BL10" s="16">
        <f t="shared" ca="1" si="23"/>
        <v>6</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ca="1" si="46"/>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47"/>
        <v>1</v>
      </c>
      <c r="DK10" s="16">
        <f t="shared" ca="1" si="48"/>
        <v>8</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2</v>
      </c>
      <c r="BG11" s="16">
        <f t="shared" ca="1" si="18"/>
        <v>0</v>
      </c>
      <c r="BH11" s="16">
        <f t="shared" ca="1" si="19"/>
        <v>1</v>
      </c>
      <c r="BI11" s="16">
        <f t="shared" ca="1" si="20"/>
        <v>1</v>
      </c>
      <c r="BJ11" s="16">
        <f t="shared" ca="1" si="21"/>
        <v>2</v>
      </c>
      <c r="BK11" s="16">
        <f t="shared" ca="1" si="22"/>
        <v>5</v>
      </c>
      <c r="BL11" s="16">
        <f t="shared" ca="1" si="23"/>
        <v>-3</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0</v>
      </c>
      <c r="BW11" s="16">
        <f t="shared" ca="1" si="30"/>
        <v>0</v>
      </c>
      <c r="BX11" s="16">
        <f t="shared" ca="1" si="31"/>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0</v>
      </c>
      <c r="CB11" s="16">
        <f t="shared" ca="1" si="33"/>
        <v>0</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0</v>
      </c>
      <c r="CK11" s="16">
        <f t="shared" ca="1" si="38"/>
        <v>0</v>
      </c>
      <c r="CL11" s="16">
        <f t="shared" ca="1" si="39"/>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0</v>
      </c>
      <c r="CP11" s="16">
        <f t="shared" ca="1" si="41"/>
        <v>0</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8</v>
      </c>
      <c r="DL11" s="16">
        <f t="shared" ca="1" si="49"/>
        <v>1</v>
      </c>
      <c r="DM11" s="16" t="str">
        <f t="shared" ca="1" si="50"/>
        <v>2.1</v>
      </c>
      <c r="DN11" s="16">
        <f t="array" aca="1" ref="DN11" ca="1">OFFSET(Horarios!$P$3,DJ11-1,0,DL11,1)</f>
        <v>2</v>
      </c>
      <c r="DO11" s="16"/>
      <c r="DP11" s="16" t="s">
        <v>75</v>
      </c>
      <c r="DQ11" s="16" t="str">
        <f t="shared" ca="1" si="51"/>
        <v>Suiza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(2)</v>
      </c>
      <c r="F12" s="16" t="str">
        <f t="shared" ref="F12:F17" ca="1" si="54">IF(D12="Pendiente","-",INDEX($BT$6:$BT$53,MATCH($AF12,$BD$6:$BD$53,0)))</f>
        <v>P.3 (2)</v>
      </c>
      <c r="G12" s="16"/>
      <c r="H12" s="16" t="str">
        <f t="shared" ref="H12:H17" ca="1" si="55">IF(D12="Pendiente","-",INDEX($BZ$6:$BZ$53,MATCH($AA12,$BD$6:$BD$53,0)))</f>
        <v>P.1 (2)</v>
      </c>
      <c r="I12" s="16" t="str">
        <f t="shared" ref="I12:I17" ca="1" si="56">IF(D12="Pendiente","-",INDEX($BZ$6:$BZ$53,MATCH($AF12,$BD$6:$BD$53,0)))</f>
        <v>P.3 (2)</v>
      </c>
      <c r="J12" s="16"/>
      <c r="K12" s="16" t="str">
        <f t="shared" ref="K12:K17" ca="1" si="57">IF(D12="Pendiente","-",INDEX($CE$6:$CE$53,MATCH($AA12,$BD$6:$BD$53,0)))</f>
        <v>P.1 (2)</v>
      </c>
      <c r="L12" s="16" t="str">
        <f t="shared" ref="L12:L17" ca="1" si="58">IF(D12="Pendiente","-",INDEX($CE$6:$CE$53,MATCH($AF12,$BD$6:$BD$53,0)))</f>
        <v>P.3 (2)</v>
      </c>
      <c r="M12" s="16"/>
      <c r="N12" s="16" t="str">
        <f t="shared" ref="N12:N17" ca="1" si="59">IF(D12="Pendiente","-",INDEX($CH$6:$CH$53,MATCH($AA12,$BD$6:$BD$53,0)))</f>
        <v>P.1 (2)</v>
      </c>
      <c r="O12" s="16" t="str">
        <f t="shared" ref="O12:O17" ca="1" si="60">IF(D12="Pendiente","-",INDEX($CH$6:$CH$53,MATCH($AF12,$BD$6:$BD$53,0)))</f>
        <v>P.3 (2)</v>
      </c>
      <c r="P12" s="16"/>
      <c r="Q12" s="16" t="str">
        <f t="shared" ref="Q12:Q17" ca="1" si="61">IF(D12="Pendiente","-",INDEX($CN$6:$CN$53,MATCH($AA12,$BD$6:$BD$53,0)))</f>
        <v>P.1 (2)</v>
      </c>
      <c r="R12" s="16" t="str">
        <f t="shared" ref="R12:R17" ca="1" si="62">IF(D12="Pendiente","-",INDEX($CN$6:$CN$53,MATCH($AF12,$BD$6:$BD$53,0)))</f>
        <v>P.3 (2)</v>
      </c>
      <c r="S12" s="16"/>
      <c r="T12" s="16" t="str">
        <f t="shared" ref="T12:T17" ca="1" si="63">IF(D12="Pendiente","-",INDEX($CS$6:$CS$53,MATCH($AA12,$BD$6:$BD$53,0)))</f>
        <v>P.1 (2)</v>
      </c>
      <c r="U12" s="16" t="str">
        <f t="shared" ref="U12:U17" ca="1" si="64">IF(D12="Pendiente","-",INDEX($CS$6:$CS$53,MATCH($AF12,$BD$6:$BD$53,0)))</f>
        <v>P.3 (2)</v>
      </c>
      <c r="V12" s="17"/>
      <c r="W12" s="64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2</v>
      </c>
      <c r="BG12" s="16">
        <f t="shared" ca="1" si="18"/>
        <v>0</v>
      </c>
      <c r="BH12" s="16">
        <f t="shared" ca="1" si="19"/>
        <v>1</v>
      </c>
      <c r="BI12" s="16">
        <f t="shared" ca="1" si="20"/>
        <v>1</v>
      </c>
      <c r="BJ12" s="16">
        <f t="shared" ca="1" si="21"/>
        <v>1</v>
      </c>
      <c r="BK12" s="16">
        <f t="shared" ca="1" si="22"/>
        <v>7</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0</v>
      </c>
      <c r="BW12" s="16">
        <f t="shared" ca="1" si="30"/>
        <v>0</v>
      </c>
      <c r="BX12" s="16">
        <f t="shared" ca="1" si="31"/>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0</v>
      </c>
      <c r="CK12" s="16">
        <f t="shared" ca="1" si="38"/>
        <v>0</v>
      </c>
      <c r="CL12" s="16">
        <f t="shared" ca="1" si="39"/>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8</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P.3 (2)</v>
      </c>
      <c r="F13" s="16" t="str">
        <f t="shared" ca="1" si="54"/>
        <v>P.1 (2)</v>
      </c>
      <c r="G13" s="16"/>
      <c r="H13" s="16" t="str">
        <f t="shared" ca="1" si="55"/>
        <v>P.3 (2)</v>
      </c>
      <c r="I13" s="16" t="str">
        <f t="shared" ca="1" si="56"/>
        <v>P.1 (2)</v>
      </c>
      <c r="J13" s="16"/>
      <c r="K13" s="16" t="str">
        <f t="shared" ca="1" si="57"/>
        <v>P.3 (2)</v>
      </c>
      <c r="L13" s="16" t="str">
        <f t="shared" ca="1" si="58"/>
        <v>P.1 (2)</v>
      </c>
      <c r="M13" s="16"/>
      <c r="N13" s="16" t="str">
        <f t="shared" ca="1" si="59"/>
        <v>P.3 (2)</v>
      </c>
      <c r="O13" s="16" t="str">
        <f t="shared" ca="1" si="60"/>
        <v>P.1 (2)</v>
      </c>
      <c r="P13" s="16"/>
      <c r="Q13" s="16" t="str">
        <f t="shared" ca="1" si="61"/>
        <v>P.3 (2)</v>
      </c>
      <c r="R13" s="16" t="str">
        <f t="shared" ca="1" si="62"/>
        <v>P.1 (2)</v>
      </c>
      <c r="S13" s="16"/>
      <c r="T13" s="16" t="str">
        <f t="shared" ca="1" si="63"/>
        <v>P.3 (2)</v>
      </c>
      <c r="U13" s="16" t="str">
        <f t="shared" ca="1" si="64"/>
        <v>P.1 (2)</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4</v>
      </c>
      <c r="BF13" s="16">
        <f t="shared" ca="1" si="17"/>
        <v>2</v>
      </c>
      <c r="BG13" s="16">
        <f t="shared" ca="1" si="18"/>
        <v>1</v>
      </c>
      <c r="BH13" s="16">
        <f t="shared" ca="1" si="19"/>
        <v>1</v>
      </c>
      <c r="BI13" s="16">
        <f t="shared" ca="1" si="20"/>
        <v>0</v>
      </c>
      <c r="BJ13" s="16">
        <f t="shared" ca="1" si="21"/>
        <v>5</v>
      </c>
      <c r="BK13" s="16">
        <f t="shared" ca="1" si="22"/>
        <v>2</v>
      </c>
      <c r="BL13" s="16">
        <f t="shared" ca="1" si="23"/>
        <v>3</v>
      </c>
      <c r="BM13" s="16" t="str">
        <f t="shared" ca="1" si="24"/>
        <v>2B</v>
      </c>
      <c r="BN13" s="16" t="str">
        <f t="shared" ca="1" si="25"/>
        <v>2B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46"/>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47"/>
        <v>4</v>
      </c>
      <c r="DK13" s="16">
        <f t="shared" ca="1" si="48"/>
        <v>8</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P.3 (2)</v>
      </c>
      <c r="G14" s="16"/>
      <c r="H14" s="16" t="str">
        <f t="shared" ca="1" si="55"/>
        <v>P.1 (2)</v>
      </c>
      <c r="I14" s="16" t="str">
        <f t="shared" ca="1" si="56"/>
        <v>P.3 (2)</v>
      </c>
      <c r="J14" s="16"/>
      <c r="K14" s="16" t="str">
        <f t="shared" ca="1" si="57"/>
        <v>P.1 (2)</v>
      </c>
      <c r="L14" s="16" t="str">
        <f t="shared" ca="1" si="58"/>
        <v>P.3 (2)</v>
      </c>
      <c r="M14" s="16"/>
      <c r="N14" s="16" t="str">
        <f t="shared" ca="1" si="59"/>
        <v>P.1 (2)</v>
      </c>
      <c r="O14" s="16" t="str">
        <f t="shared" ca="1" si="60"/>
        <v>P.3 (2)</v>
      </c>
      <c r="P14" s="16"/>
      <c r="Q14" s="16" t="str">
        <f t="shared" ca="1" si="61"/>
        <v>P.1 (2)</v>
      </c>
      <c r="R14" s="16" t="str">
        <f t="shared" ca="1" si="62"/>
        <v>P.3 (2)</v>
      </c>
      <c r="S14" s="16"/>
      <c r="T14" s="16" t="str">
        <f t="shared" ca="1" si="63"/>
        <v>P.1 (2)</v>
      </c>
      <c r="U14" s="16" t="str">
        <f t="shared" ca="1" si="64"/>
        <v>P.3 (2)</v>
      </c>
      <c r="V14" s="17"/>
      <c r="W14" s="620"/>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4</v>
      </c>
      <c r="AN14" s="36">
        <f t="shared" ca="1" si="67"/>
        <v>2</v>
      </c>
      <c r="AO14" s="36">
        <f t="shared" ca="1" si="67"/>
        <v>1</v>
      </c>
      <c r="AP14" s="36">
        <f t="shared" ca="1" si="67"/>
        <v>1</v>
      </c>
      <c r="AQ14" s="36">
        <f t="shared" ca="1" si="67"/>
        <v>0</v>
      </c>
      <c r="AR14" s="36">
        <f t="shared" ca="1" si="67"/>
        <v>7</v>
      </c>
      <c r="AS14" s="36">
        <f t="shared" ca="1" si="67"/>
        <v>1</v>
      </c>
      <c r="AT14" s="72">
        <f t="shared" ca="1" si="67"/>
        <v>6</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4</v>
      </c>
      <c r="BF14" s="16">
        <f t="shared" ca="1" si="17"/>
        <v>2</v>
      </c>
      <c r="BG14" s="16">
        <f t="shared" ca="1" si="18"/>
        <v>1</v>
      </c>
      <c r="BH14" s="16">
        <f t="shared" ca="1" si="19"/>
        <v>1</v>
      </c>
      <c r="BI14" s="16">
        <f t="shared" ca="1" si="20"/>
        <v>0</v>
      </c>
      <c r="BJ14" s="16">
        <f t="shared" ca="1" si="21"/>
        <v>4</v>
      </c>
      <c r="BK14" s="16">
        <f t="shared" ca="1" si="22"/>
        <v>1</v>
      </c>
      <c r="BL14" s="16">
        <f t="shared" ca="1" si="23"/>
        <v>3</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8</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P.1 (2)</v>
      </c>
      <c r="F15" s="16" t="str">
        <f t="shared" ca="1" si="54"/>
        <v>P.3 (2)</v>
      </c>
      <c r="G15" s="16"/>
      <c r="H15" s="16" t="str">
        <f t="shared" ca="1" si="55"/>
        <v>P.1 (2)</v>
      </c>
      <c r="I15" s="16" t="str">
        <f t="shared" ca="1" si="56"/>
        <v>P.3 (2)</v>
      </c>
      <c r="J15" s="16"/>
      <c r="K15" s="16" t="str">
        <f t="shared" ca="1" si="57"/>
        <v>P.1 (2)</v>
      </c>
      <c r="L15" s="16" t="str">
        <f t="shared" ca="1" si="58"/>
        <v>P.3 (2)</v>
      </c>
      <c r="M15" s="16"/>
      <c r="N15" s="16" t="str">
        <f t="shared" ca="1" si="59"/>
        <v>P.1 (2)</v>
      </c>
      <c r="O15" s="16" t="str">
        <f t="shared" ca="1" si="60"/>
        <v>P.3 (2)</v>
      </c>
      <c r="P15" s="16"/>
      <c r="Q15" s="16" t="str">
        <f t="shared" ca="1" si="61"/>
        <v>P.1 (2)</v>
      </c>
      <c r="R15" s="16" t="str">
        <f t="shared" ca="1" si="62"/>
        <v>P.3 (2)</v>
      </c>
      <c r="S15" s="16"/>
      <c r="T15" s="16" t="str">
        <f t="shared" ca="1" si="63"/>
        <v>P.1 (2)</v>
      </c>
      <c r="U15" s="16" t="str">
        <f t="shared" ca="1" si="64"/>
        <v>P.3 (2)</v>
      </c>
      <c r="V15" s="17"/>
      <c r="W15" s="620"/>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Suiza</v>
      </c>
      <c r="AM15" s="38">
        <f t="shared" ca="1" si="67"/>
        <v>4</v>
      </c>
      <c r="AN15" s="39">
        <f t="shared" ca="1" si="67"/>
        <v>2</v>
      </c>
      <c r="AO15" s="39">
        <f t="shared" ca="1" si="67"/>
        <v>1</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Suiza</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2</v>
      </c>
      <c r="BG15" s="16">
        <f t="shared" ca="1" si="18"/>
        <v>1</v>
      </c>
      <c r="BH15" s="16">
        <f t="shared" ca="1" si="19"/>
        <v>1</v>
      </c>
      <c r="BI15" s="16">
        <f t="shared" ca="1" si="20"/>
        <v>0</v>
      </c>
      <c r="BJ15" s="16">
        <f t="shared" ca="1" si="21"/>
        <v>2</v>
      </c>
      <c r="BK15" s="16">
        <f t="shared" ca="1" si="22"/>
        <v>1</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8</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Bosnia y Herzegovina</v>
      </c>
      <c r="AM16" s="38">
        <f t="shared" ca="1" si="67"/>
        <v>1</v>
      </c>
      <c r="AN16" s="39">
        <f t="shared" ca="1" si="67"/>
        <v>2</v>
      </c>
      <c r="AO16" s="39">
        <f t="shared" ca="1" si="67"/>
        <v>0</v>
      </c>
      <c r="AP16" s="39">
        <f t="shared" ca="1" si="67"/>
        <v>1</v>
      </c>
      <c r="AQ16" s="39">
        <f t="shared" ca="1" si="67"/>
        <v>1</v>
      </c>
      <c r="AR16" s="39">
        <f t="shared" ca="1" si="67"/>
        <v>2</v>
      </c>
      <c r="AS16" s="39">
        <f t="shared" ca="1" si="67"/>
        <v>5</v>
      </c>
      <c r="AT16" s="74">
        <f t="shared" ca="1" si="67"/>
        <v>-3</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2</v>
      </c>
      <c r="BG16" s="16">
        <f t="shared" ca="1" si="18"/>
        <v>0</v>
      </c>
      <c r="BH16" s="16">
        <f t="shared" ca="1" si="19"/>
        <v>0</v>
      </c>
      <c r="BI16" s="16">
        <f t="shared" ca="1" si="20"/>
        <v>2</v>
      </c>
      <c r="BJ16" s="16">
        <f t="shared" ca="1" si="21"/>
        <v>0</v>
      </c>
      <c r="BK16" s="16">
        <f t="shared" ca="1" si="22"/>
        <v>4</v>
      </c>
      <c r="BL16" s="16">
        <f t="shared" ca="1" si="23"/>
        <v>-4</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8</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2</v>
      </c>
      <c r="AO17" s="78">
        <f t="shared" ca="1" si="67"/>
        <v>0</v>
      </c>
      <c r="AP17" s="78">
        <f t="shared" ca="1" si="67"/>
        <v>1</v>
      </c>
      <c r="AQ17" s="78">
        <f t="shared" ca="1" si="67"/>
        <v>1</v>
      </c>
      <c r="AR17" s="78">
        <f t="shared" ca="1" si="67"/>
        <v>1</v>
      </c>
      <c r="AS17" s="78">
        <f t="shared" ca="1" si="67"/>
        <v>7</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2</v>
      </c>
      <c r="BG17" s="16">
        <f t="shared" ca="1" si="18"/>
        <v>1</v>
      </c>
      <c r="BH17" s="16">
        <f t="shared" ca="1" si="19"/>
        <v>0</v>
      </c>
      <c r="BI17" s="16">
        <f t="shared" ca="1" si="20"/>
        <v>1</v>
      </c>
      <c r="BJ17" s="16">
        <f t="shared" ca="1" si="21"/>
        <v>1</v>
      </c>
      <c r="BK17" s="16">
        <f t="shared" ca="1" si="22"/>
        <v>1</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8</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2</v>
      </c>
      <c r="BG18" s="16">
        <f t="shared" ca="1" si="18"/>
        <v>2</v>
      </c>
      <c r="BH18" s="16">
        <f t="shared" ca="1" si="19"/>
        <v>0</v>
      </c>
      <c r="BI18" s="16">
        <f t="shared" ca="1" si="20"/>
        <v>0</v>
      </c>
      <c r="BJ18" s="16">
        <f t="shared" ca="1" si="21"/>
        <v>6</v>
      </c>
      <c r="BK18" s="16">
        <f t="shared" ca="1" si="22"/>
        <v>1</v>
      </c>
      <c r="BL18" s="16">
        <f t="shared" ca="1" si="23"/>
        <v>5</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8</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2</v>
      </c>
      <c r="BG19" s="16">
        <f t="shared" ca="1" si="18"/>
        <v>1</v>
      </c>
      <c r="BH19" s="16">
        <f t="shared" ca="1" si="19"/>
        <v>0</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0</v>
      </c>
      <c r="BW19" s="16">
        <f t="shared" ca="1" si="30"/>
        <v>0</v>
      </c>
      <c r="BX19" s="16">
        <f t="shared" ca="1" si="31"/>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0</v>
      </c>
      <c r="CK19" s="16">
        <f t="shared" ca="1" si="38"/>
        <v>0</v>
      </c>
      <c r="CL19" s="16">
        <f t="shared" ca="1" si="39"/>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8</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2</v>
      </c>
      <c r="BG20" s="16">
        <f t="shared" ca="1" si="18"/>
        <v>1</v>
      </c>
      <c r="BH20" s="16">
        <f t="shared" ca="1" si="19"/>
        <v>0</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0</v>
      </c>
      <c r="BW20" s="16">
        <f t="shared" ca="1" si="30"/>
        <v>0</v>
      </c>
      <c r="BX20" s="16">
        <f t="shared" ca="1" si="31"/>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0</v>
      </c>
      <c r="CK20" s="16">
        <f t="shared" ca="1" si="38"/>
        <v>0</v>
      </c>
      <c r="CL20" s="16">
        <f t="shared" ca="1" si="39"/>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8</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2</v>
      </c>
      <c r="BG21" s="16">
        <f t="shared" ca="1" si="18"/>
        <v>0</v>
      </c>
      <c r="BH21" s="16">
        <f t="shared" ca="1" si="19"/>
        <v>0</v>
      </c>
      <c r="BI21" s="16">
        <f t="shared" ca="1" si="20"/>
        <v>2</v>
      </c>
      <c r="BJ21" s="16">
        <f t="shared" ca="1" si="21"/>
        <v>0</v>
      </c>
      <c r="BK21" s="16">
        <f t="shared" ca="1" si="22"/>
        <v>3</v>
      </c>
      <c r="BL21" s="16">
        <f t="shared" ca="1" si="23"/>
        <v>-3</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8</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0"/>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4</v>
      </c>
      <c r="AN22" s="36">
        <f t="shared" ca="1" si="83"/>
        <v>2</v>
      </c>
      <c r="AO22" s="36">
        <f t="shared" ca="1" si="83"/>
        <v>1</v>
      </c>
      <c r="AP22" s="36">
        <f t="shared" ca="1" si="83"/>
        <v>1</v>
      </c>
      <c r="AQ22" s="36">
        <f t="shared" ca="1" si="83"/>
        <v>0</v>
      </c>
      <c r="AR22" s="36">
        <f t="shared" ca="1" si="83"/>
        <v>4</v>
      </c>
      <c r="AS22" s="36">
        <f t="shared" ca="1" si="83"/>
        <v>1</v>
      </c>
      <c r="AT22" s="41">
        <f t="shared" ca="1" si="83"/>
        <v>3</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2</v>
      </c>
      <c r="BG22" s="16">
        <f t="shared" ca="1" si="18"/>
        <v>2</v>
      </c>
      <c r="BH22" s="16">
        <f t="shared" ca="1" si="19"/>
        <v>0</v>
      </c>
      <c r="BI22" s="16">
        <f t="shared" ca="1" si="20"/>
        <v>0</v>
      </c>
      <c r="BJ22" s="16">
        <f t="shared" ca="1" si="21"/>
        <v>9</v>
      </c>
      <c r="BK22" s="16">
        <f t="shared" ca="1" si="22"/>
        <v>2</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8</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4</v>
      </c>
      <c r="AN23" s="39">
        <f t="shared" ca="1" si="83"/>
        <v>2</v>
      </c>
      <c r="AO23" s="39">
        <f t="shared" ca="1" si="83"/>
        <v>1</v>
      </c>
      <c r="AP23" s="39">
        <f t="shared" ca="1" si="83"/>
        <v>1</v>
      </c>
      <c r="AQ23" s="39">
        <f t="shared" ca="1" si="83"/>
        <v>0</v>
      </c>
      <c r="AR23" s="39">
        <f t="shared" ca="1" si="83"/>
        <v>2</v>
      </c>
      <c r="AS23" s="39">
        <f t="shared" ca="1" si="83"/>
        <v>1</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2</v>
      </c>
      <c r="BG23" s="16">
        <f t="shared" ca="1" si="18"/>
        <v>0</v>
      </c>
      <c r="BH23" s="16">
        <f t="shared" ca="1" si="19"/>
        <v>1</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1</v>
      </c>
      <c r="BW23" s="16">
        <f t="shared" ca="1" si="30"/>
        <v>0</v>
      </c>
      <c r="BX23" s="16">
        <f t="shared" ca="1" si="31"/>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1</v>
      </c>
      <c r="CK23" s="16">
        <f t="shared" ca="1" si="38"/>
        <v>0</v>
      </c>
      <c r="CL23" s="16">
        <f t="shared" ca="1" si="39"/>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8</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2</v>
      </c>
      <c r="AO24" s="39">
        <f t="shared" ca="1" si="83"/>
        <v>1</v>
      </c>
      <c r="AP24" s="39">
        <f t="shared" ca="1" si="83"/>
        <v>0</v>
      </c>
      <c r="AQ24" s="39">
        <f t="shared" ca="1" si="83"/>
        <v>1</v>
      </c>
      <c r="AR24" s="39">
        <f t="shared" ca="1" si="83"/>
        <v>1</v>
      </c>
      <c r="AS24" s="39">
        <f t="shared" ca="1" si="83"/>
        <v>1</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2</v>
      </c>
      <c r="BG24" s="16">
        <f t="shared" ca="1" si="18"/>
        <v>1</v>
      </c>
      <c r="BH24" s="16">
        <f t="shared" ca="1" si="19"/>
        <v>0</v>
      </c>
      <c r="BI24" s="16">
        <f t="shared" ca="1" si="20"/>
        <v>1</v>
      </c>
      <c r="BJ24" s="16">
        <f t="shared" ca="1" si="21"/>
        <v>2</v>
      </c>
      <c r="BK24" s="16">
        <f t="shared" ca="1" si="22"/>
        <v>2</v>
      </c>
      <c r="BL24" s="16">
        <f t="shared" ca="1" si="23"/>
        <v>0</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8</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2</v>
      </c>
      <c r="AO25" s="47">
        <f t="shared" ca="1" si="83"/>
        <v>0</v>
      </c>
      <c r="AP25" s="47">
        <f t="shared" ca="1" si="83"/>
        <v>0</v>
      </c>
      <c r="AQ25" s="47">
        <f t="shared" ca="1" si="83"/>
        <v>2</v>
      </c>
      <c r="AR25" s="47">
        <f t="shared" ca="1" si="83"/>
        <v>0</v>
      </c>
      <c r="AS25" s="47">
        <f t="shared" ca="1" si="83"/>
        <v>4</v>
      </c>
      <c r="AT25" s="48">
        <f t="shared" ca="1" si="83"/>
        <v>-4</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1</v>
      </c>
      <c r="BF25" s="16">
        <f t="shared" ca="1" si="17"/>
        <v>2</v>
      </c>
      <c r="BG25" s="16">
        <f t="shared" ca="1" si="18"/>
        <v>0</v>
      </c>
      <c r="BH25" s="16">
        <f t="shared" ca="1" si="19"/>
        <v>1</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1</v>
      </c>
      <c r="BW25" s="16">
        <f t="shared" ca="1" si="30"/>
        <v>0</v>
      </c>
      <c r="BX25" s="16">
        <f t="shared" ca="1" si="31"/>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1</v>
      </c>
      <c r="CK25" s="16">
        <f t="shared" ca="1" si="38"/>
        <v>0</v>
      </c>
      <c r="CL25" s="16">
        <f t="shared" ca="1" si="39"/>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8</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4</v>
      </c>
      <c r="BF26" s="16">
        <f t="shared" ca="1" si="17"/>
        <v>2</v>
      </c>
      <c r="BG26" s="16">
        <f t="shared" ca="1" si="18"/>
        <v>1</v>
      </c>
      <c r="BH26" s="16">
        <f t="shared" ca="1" si="19"/>
        <v>1</v>
      </c>
      <c r="BI26" s="16">
        <f t="shared" ca="1" si="20"/>
        <v>0</v>
      </c>
      <c r="BJ26" s="16">
        <f t="shared" ca="1" si="21"/>
        <v>7</v>
      </c>
      <c r="BK26" s="16">
        <f t="shared" ca="1" si="22"/>
        <v>3</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8</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2</v>
      </c>
      <c r="BG27" s="16">
        <f t="shared" ca="1" si="18"/>
        <v>1</v>
      </c>
      <c r="BH27" s="16">
        <f t="shared" ca="1" si="19"/>
        <v>1</v>
      </c>
      <c r="BI27" s="16">
        <f t="shared" ca="1" si="20"/>
        <v>0</v>
      </c>
      <c r="BJ27" s="16">
        <f t="shared" ca="1" si="21"/>
        <v>6</v>
      </c>
      <c r="BK27" s="16">
        <f t="shared" ca="1" si="22"/>
        <v>2</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8</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0"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2</v>
      </c>
      <c r="BG28" s="16">
        <f t="shared" ca="1" si="18"/>
        <v>1</v>
      </c>
      <c r="BH28" s="16">
        <f t="shared" ca="1" si="19"/>
        <v>0</v>
      </c>
      <c r="BI28" s="16">
        <f t="shared" ca="1" si="20"/>
        <v>1</v>
      </c>
      <c r="BJ28" s="16">
        <f t="shared" ca="1" si="21"/>
        <v>6</v>
      </c>
      <c r="BK28" s="16">
        <f t="shared" ca="1" si="22"/>
        <v>6</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8</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2</v>
      </c>
      <c r="BG29" s="16">
        <f t="shared" ca="1" si="18"/>
        <v>0</v>
      </c>
      <c r="BH29" s="16">
        <f t="shared" ca="1" si="19"/>
        <v>0</v>
      </c>
      <c r="BI29" s="16">
        <f t="shared" ca="1" si="20"/>
        <v>2</v>
      </c>
      <c r="BJ29" s="16">
        <f t="shared" ca="1" si="21"/>
        <v>1</v>
      </c>
      <c r="BK29" s="16">
        <f t="shared" ca="1" si="22"/>
        <v>9</v>
      </c>
      <c r="BL29" s="16">
        <f t="shared" ca="1" si="23"/>
        <v>-8</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8</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2</v>
      </c>
      <c r="AO30" s="36">
        <f t="shared" ca="1" si="99"/>
        <v>2</v>
      </c>
      <c r="AP30" s="36">
        <f t="shared" ca="1" si="99"/>
        <v>0</v>
      </c>
      <c r="AQ30" s="36">
        <f t="shared" ca="1" si="99"/>
        <v>0</v>
      </c>
      <c r="AR30" s="36">
        <f t="shared" ca="1" si="99"/>
        <v>6</v>
      </c>
      <c r="AS30" s="36">
        <f t="shared" ca="1" si="99"/>
        <v>1</v>
      </c>
      <c r="AT30" s="41">
        <f t="shared" ca="1" si="99"/>
        <v>5</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2</v>
      </c>
      <c r="BF30" s="16">
        <f t="shared" ca="1" si="17"/>
        <v>2</v>
      </c>
      <c r="BG30" s="16">
        <f t="shared" ca="1" si="18"/>
        <v>0</v>
      </c>
      <c r="BH30" s="16">
        <f t="shared" ca="1" si="19"/>
        <v>2</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2</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P.2 (2)</v>
      </c>
      <c r="BU30" s="16">
        <f t="shared" ca="1" si="28"/>
        <v>0</v>
      </c>
      <c r="BV30" s="16">
        <f t="shared" ca="1" si="29"/>
        <v>1</v>
      </c>
      <c r="BW30" s="16">
        <f t="shared" ca="1" si="30"/>
        <v>0</v>
      </c>
      <c r="BX30" s="16">
        <f t="shared" ca="1" si="31"/>
        <v>1</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P.2 (2)</v>
      </c>
      <c r="CA30" s="16">
        <f t="shared" ca="1" si="32"/>
        <v>0</v>
      </c>
      <c r="CB30" s="16">
        <f t="shared" ca="1" si="33"/>
        <v>0</v>
      </c>
      <c r="CC30" s="16">
        <f t="shared" ca="1" si="34"/>
        <v>0</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P.2 (2)</v>
      </c>
      <c r="CF30" s="16">
        <f t="shared" ca="1" si="35"/>
        <v>0</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P.2 (2)</v>
      </c>
      <c r="CI30" s="16">
        <f t="shared" ca="1" si="36"/>
        <v>0</v>
      </c>
      <c r="CJ30" s="16">
        <f t="shared" ca="1" si="37"/>
        <v>1</v>
      </c>
      <c r="CK30" s="16">
        <f t="shared" ca="1" si="38"/>
        <v>0</v>
      </c>
      <c r="CL30" s="16">
        <f t="shared" ca="1" si="39"/>
        <v>1</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P.2 (2)</v>
      </c>
      <c r="CO30" s="16">
        <f t="shared" ca="1" si="40"/>
        <v>0</v>
      </c>
      <c r="CP30" s="16">
        <f t="shared" ca="1" si="41"/>
        <v>0</v>
      </c>
      <c r="CQ30" s="16">
        <f t="shared" ca="1" si="42"/>
        <v>0</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P.2 (2)</v>
      </c>
      <c r="CT30" s="16">
        <f t="shared" ca="1" si="43"/>
        <v>0</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P.2 (2)</v>
      </c>
      <c r="CW30" s="16">
        <f t="shared" ca="1" si="44"/>
        <v>0</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P.2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46"/>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47"/>
        <v>1</v>
      </c>
      <c r="DK30" s="16">
        <f t="shared" ca="1" si="48"/>
        <v>8</v>
      </c>
      <c r="DL30" s="16">
        <f t="shared" ca="1" si="49"/>
        <v>1</v>
      </c>
      <c r="DM30" s="16" t="str">
        <f t="shared" ca="1" si="50"/>
        <v>1.1</v>
      </c>
      <c r="DN30" s="16">
        <f t="array" aca="1" ref="DN30" ca="1">OFFSET(Horarios!$P$3,DJ30-1,0,DL30,1)</f>
        <v>1</v>
      </c>
      <c r="DO30" s="16"/>
      <c r="DP30" s="16" t="s">
        <v>97</v>
      </c>
      <c r="DQ30" s="16" t="str">
        <f t="shared" ca="1" si="51"/>
        <v>Egipto</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2</v>
      </c>
      <c r="AO31" s="39">
        <f t="shared" ca="1" si="99"/>
        <v>1</v>
      </c>
      <c r="AP31" s="39">
        <f t="shared" ca="1" si="99"/>
        <v>0</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2</v>
      </c>
      <c r="BG31" s="16">
        <f t="shared" ca="1" si="18"/>
        <v>1</v>
      </c>
      <c r="BH31" s="16">
        <f t="shared" ca="1" si="19"/>
        <v>1</v>
      </c>
      <c r="BI31" s="16">
        <f t="shared" ca="1" si="20"/>
        <v>0</v>
      </c>
      <c r="BJ31" s="16">
        <f t="shared" ca="1" si="21"/>
        <v>4</v>
      </c>
      <c r="BK31" s="16">
        <f t="shared" ca="1" si="22"/>
        <v>2</v>
      </c>
      <c r="BL31" s="16">
        <f t="shared" ca="1" si="23"/>
        <v>2</v>
      </c>
      <c r="BM31" s="16" t="str">
        <f t="shared" ca="1" si="24"/>
        <v>1G</v>
      </c>
      <c r="BN31" s="16" t="str">
        <f t="shared" ca="1" si="25"/>
        <v>1G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46"/>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47"/>
        <v>2</v>
      </c>
      <c r="DK31" s="16">
        <f t="shared" ca="1" si="48"/>
        <v>8</v>
      </c>
      <c r="DL31" s="16">
        <f t="shared" ca="1" si="49"/>
        <v>1</v>
      </c>
      <c r="DM31" s="16" t="str">
        <f t="shared" ca="1" si="50"/>
        <v>2.1</v>
      </c>
      <c r="DN31" s="16">
        <f t="array" aca="1" ref="DN31" ca="1">OFFSET(Horarios!$P$3,DJ31-1,0,DL31,1)</f>
        <v>2</v>
      </c>
      <c r="DO31" s="16"/>
      <c r="DP31" s="16" t="s">
        <v>98</v>
      </c>
      <c r="DQ31" s="16" t="str">
        <f t="shared" ca="1" si="51"/>
        <v>Irán</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2</v>
      </c>
      <c r="AO32" s="39">
        <f t="shared" ca="1" si="99"/>
        <v>1</v>
      </c>
      <c r="AP32" s="39">
        <f t="shared" ca="1" si="99"/>
        <v>0</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2</v>
      </c>
      <c r="BF32" s="16">
        <f t="shared" ca="1" si="17"/>
        <v>2</v>
      </c>
      <c r="BG32" s="16">
        <f t="shared" ca="1" si="18"/>
        <v>0</v>
      </c>
      <c r="BH32" s="16">
        <f t="shared" ca="1" si="19"/>
        <v>2</v>
      </c>
      <c r="BI32" s="16">
        <f t="shared" ca="1" si="20"/>
        <v>0</v>
      </c>
      <c r="BJ32" s="16">
        <f t="shared" ca="1" si="21"/>
        <v>2</v>
      </c>
      <c r="BK32" s="16">
        <f t="shared" ca="1" si="22"/>
        <v>2</v>
      </c>
      <c r="BL32" s="16">
        <f t="shared" ca="1" si="23"/>
        <v>0</v>
      </c>
      <c r="BM32" s="16" t="str">
        <f t="shared" ca="1" si="24"/>
        <v>2G</v>
      </c>
      <c r="BN32" s="16" t="str">
        <f t="shared" ca="1" si="25"/>
        <v>2G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2</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0</v>
      </c>
      <c r="CB32" s="16">
        <f t="shared" ca="1" si="33"/>
        <v>0</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0</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0</v>
      </c>
      <c r="CP32" s="16">
        <f t="shared" ca="1" si="41"/>
        <v>0</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0</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45"/>
        <v>2</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46"/>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47"/>
        <v>3</v>
      </c>
      <c r="DK32" s="16">
        <f t="shared" ca="1" si="48"/>
        <v>8</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2</v>
      </c>
      <c r="AO33" s="47">
        <f t="shared" ca="1" si="99"/>
        <v>0</v>
      </c>
      <c r="AP33" s="47">
        <f t="shared" ca="1" si="99"/>
        <v>0</v>
      </c>
      <c r="AQ33" s="47">
        <f t="shared" ca="1" si="99"/>
        <v>2</v>
      </c>
      <c r="AR33" s="47">
        <f t="shared" ca="1" si="99"/>
        <v>0</v>
      </c>
      <c r="AS33" s="47">
        <f t="shared" ca="1" si="99"/>
        <v>3</v>
      </c>
      <c r="AT33" s="48">
        <f t="shared" ca="1" si="99"/>
        <v>-3</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2</v>
      </c>
      <c r="BG33" s="16">
        <f t="shared" ca="1" si="18"/>
        <v>0</v>
      </c>
      <c r="BH33" s="16">
        <f t="shared" ca="1" si="19"/>
        <v>1</v>
      </c>
      <c r="BI33" s="16">
        <f t="shared" ca="1" si="20"/>
        <v>1</v>
      </c>
      <c r="BJ33" s="16">
        <f t="shared" ca="1" si="21"/>
        <v>3</v>
      </c>
      <c r="BK33" s="16">
        <f t="shared" ca="1" si="22"/>
        <v>5</v>
      </c>
      <c r="BL33" s="16">
        <f t="shared" ca="1" si="23"/>
        <v>-2</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8</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4</v>
      </c>
      <c r="BF34" s="16">
        <f t="shared" ca="1" si="17"/>
        <v>2</v>
      </c>
      <c r="BG34" s="16">
        <f t="shared" ca="1" si="18"/>
        <v>1</v>
      </c>
      <c r="BH34" s="16">
        <f t="shared" ca="1" si="19"/>
        <v>1</v>
      </c>
      <c r="BI34" s="16">
        <f t="shared" ca="1" si="20"/>
        <v>0</v>
      </c>
      <c r="BJ34" s="16">
        <f t="shared" ca="1" si="21"/>
        <v>4</v>
      </c>
      <c r="BK34" s="16">
        <f t="shared" ca="1" si="22"/>
        <v>0</v>
      </c>
      <c r="BL34" s="16">
        <f t="shared" ca="1" si="23"/>
        <v>4</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8</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2</v>
      </c>
      <c r="BF35" s="16">
        <f t="shared" ca="1" si="17"/>
        <v>2</v>
      </c>
      <c r="BG35" s="16">
        <f t="shared" ca="1" si="18"/>
        <v>0</v>
      </c>
      <c r="BH35" s="16">
        <f t="shared" ca="1" si="19"/>
        <v>2</v>
      </c>
      <c r="BI35" s="16">
        <f t="shared" ca="1" si="20"/>
        <v>0</v>
      </c>
      <c r="BJ35" s="16">
        <f t="shared" ca="1" si="21"/>
        <v>2</v>
      </c>
      <c r="BK35" s="16">
        <f t="shared" ca="1" si="22"/>
        <v>2</v>
      </c>
      <c r="BL35" s="16">
        <f t="shared" ca="1" si="23"/>
        <v>0</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8"/>
        <v>0</v>
      </c>
      <c r="BV35" s="16">
        <f t="shared" ca="1" si="29"/>
        <v>1</v>
      </c>
      <c r="BW35" s="16">
        <f t="shared" ca="1" si="30"/>
        <v>0</v>
      </c>
      <c r="BX35" s="16">
        <f t="shared" ca="1" si="31"/>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32"/>
        <v>2</v>
      </c>
      <c r="CB35" s="16">
        <f t="shared" ca="1" si="33"/>
        <v>2</v>
      </c>
      <c r="CC35" s="16">
        <f t="shared" ca="1" si="34"/>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35"/>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6"/>
        <v>0</v>
      </c>
      <c r="CJ35" s="16">
        <f t="shared" ca="1" si="37"/>
        <v>1</v>
      </c>
      <c r="CK35" s="16">
        <f t="shared" ca="1" si="38"/>
        <v>0</v>
      </c>
      <c r="CL35" s="16">
        <f t="shared" ca="1" si="39"/>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40"/>
        <v>2</v>
      </c>
      <c r="CP35" s="16">
        <f t="shared" ca="1" si="41"/>
        <v>2</v>
      </c>
      <c r="CQ35" s="16">
        <f t="shared" ca="1" si="42"/>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43"/>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44"/>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45"/>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8</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P.3 (2)</v>
      </c>
      <c r="G36" s="16"/>
      <c r="H36" s="16" t="str">
        <f t="shared" ref="H36:H41" ca="1" si="103">IF(D36="Pendiente","-",INDEX($BZ$6:$BZ$53,MATCH($AA36,$BD$6:$BD$53,0)))</f>
        <v>-</v>
      </c>
      <c r="I36" s="16" t="str">
        <f t="shared" ref="I36:I41" ca="1" si="104">IF(D36="Pendiente","-",INDEX($BZ$6:$BZ$53,MATCH($AF36,$BD$6:$BD$53,0)))</f>
        <v>P.3 (2)</v>
      </c>
      <c r="J36" s="16"/>
      <c r="K36" s="16" t="str">
        <f t="shared" ref="K36:K41" ca="1" si="105">IF(D36="Pendiente","-",INDEX($CE$6:$CE$53,MATCH($AA36,$BD$6:$BD$53,0)))</f>
        <v>-</v>
      </c>
      <c r="L36" s="16" t="str">
        <f t="shared" ref="L36:L41" ca="1" si="106">IF(D36="Pendiente","-",INDEX($CE$6:$CE$53,MATCH($AF36,$BD$6:$BD$53,0)))</f>
        <v>P.3 (2)</v>
      </c>
      <c r="M36" s="16"/>
      <c r="N36" s="16" t="str">
        <f t="shared" ref="N36:N41" ca="1" si="107">IF(D36="Pendiente","-",INDEX($CH$6:$CH$53,MATCH($AA36,$BD$6:$BD$53,0)))</f>
        <v>-</v>
      </c>
      <c r="O36" s="16" t="str">
        <f t="shared" ref="O36:O41" ca="1" si="108">IF(D36="Pendiente","-",INDEX($CH$6:$CH$53,MATCH($AF36,$BD$6:$BD$53,0)))</f>
        <v>P.3 (2)</v>
      </c>
      <c r="P36" s="16"/>
      <c r="Q36" s="16" t="str">
        <f t="shared" ref="Q36:Q41" ca="1" si="109">IF(D36="Pendiente","-",INDEX($CN$6:$CN$53,MATCH($AA36,$BD$6:$BD$53,0)))</f>
        <v>-</v>
      </c>
      <c r="R36" s="16" t="str">
        <f t="shared" ref="R36:R41" ca="1" si="110">IF(D36="Pendiente","-",INDEX($CN$6:$CN$53,MATCH($AF36,$BD$6:$BD$53,0)))</f>
        <v>P.3 (2)</v>
      </c>
      <c r="S36" s="16"/>
      <c r="T36" s="16" t="str">
        <f t="shared" ref="T36:T41" ca="1" si="111">IF(D36="Pendiente","-",INDEX($CS$6:$CS$53,MATCH($AA36,$BD$6:$BD$53,0)))</f>
        <v>-</v>
      </c>
      <c r="U36" s="16" t="str">
        <f t="shared" ref="U36:U41" ca="1" si="112">IF(D36="Pendiente","-",INDEX($CS$6:$CS$53,MATCH($AF36,$BD$6:$BD$53,0)))</f>
        <v>P.3 (2)</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2</v>
      </c>
      <c r="BG36" s="16">
        <f t="shared" ca="1" si="18"/>
        <v>0</v>
      </c>
      <c r="BH36" s="16">
        <f t="shared" ca="1" si="19"/>
        <v>1</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8</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Local</v>
      </c>
      <c r="E37" s="16" t="str">
        <f t="shared" ca="1" si="101"/>
        <v>-</v>
      </c>
      <c r="F37" s="16" t="str">
        <f t="shared" ca="1" si="102"/>
        <v>P.3 (2)</v>
      </c>
      <c r="G37" s="16"/>
      <c r="H37" s="16" t="str">
        <f t="shared" ca="1" si="103"/>
        <v>-</v>
      </c>
      <c r="I37" s="16" t="str">
        <f t="shared" ca="1" si="104"/>
        <v>P.3 (2)</v>
      </c>
      <c r="J37" s="16"/>
      <c r="K37" s="16" t="str">
        <f t="shared" ca="1" si="105"/>
        <v>-</v>
      </c>
      <c r="L37" s="16" t="str">
        <f t="shared" ca="1" si="106"/>
        <v>P.3 (2)</v>
      </c>
      <c r="M37" s="16"/>
      <c r="N37" s="16" t="str">
        <f t="shared" ca="1" si="107"/>
        <v>-</v>
      </c>
      <c r="O37" s="16" t="str">
        <f t="shared" ca="1" si="108"/>
        <v>P.3 (2)</v>
      </c>
      <c r="P37" s="16"/>
      <c r="Q37" s="16" t="str">
        <f t="shared" ca="1" si="109"/>
        <v>-</v>
      </c>
      <c r="R37" s="16" t="str">
        <f t="shared" ca="1" si="110"/>
        <v>P.3 (2)</v>
      </c>
      <c r="S37" s="16"/>
      <c r="T37" s="16" t="str">
        <f t="shared" ca="1" si="111"/>
        <v>-</v>
      </c>
      <c r="U37" s="16" t="str">
        <f t="shared" ca="1" si="112"/>
        <v>P.3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2</v>
      </c>
      <c r="BG37" s="16">
        <f t="shared" ca="1" si="18"/>
        <v>0</v>
      </c>
      <c r="BH37" s="16">
        <f t="shared" ca="1" si="19"/>
        <v>2</v>
      </c>
      <c r="BI37" s="16">
        <f t="shared" ca="1" si="20"/>
        <v>0</v>
      </c>
      <c r="BJ37" s="16">
        <f t="shared" ca="1" si="21"/>
        <v>3</v>
      </c>
      <c r="BK37" s="16">
        <f t="shared" ca="1" si="22"/>
        <v>3</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8"/>
        <v>0</v>
      </c>
      <c r="BV37" s="16">
        <f t="shared" ca="1" si="29"/>
        <v>1</v>
      </c>
      <c r="BW37" s="16">
        <f t="shared" ca="1" si="30"/>
        <v>0</v>
      </c>
      <c r="BX37" s="16">
        <f t="shared" ca="1" si="31"/>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32"/>
        <v>2</v>
      </c>
      <c r="CB37" s="16">
        <f t="shared" ca="1" si="33"/>
        <v>2</v>
      </c>
      <c r="CC37" s="16">
        <f t="shared" ca="1" si="34"/>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35"/>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6"/>
        <v>0</v>
      </c>
      <c r="CJ37" s="16">
        <f t="shared" ca="1" si="37"/>
        <v>1</v>
      </c>
      <c r="CK37" s="16">
        <f t="shared" ca="1" si="38"/>
        <v>0</v>
      </c>
      <c r="CL37" s="16">
        <f t="shared" ca="1" si="39"/>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40"/>
        <v>2</v>
      </c>
      <c r="CP37" s="16">
        <f t="shared" ca="1" si="41"/>
        <v>2</v>
      </c>
      <c r="CQ37" s="16">
        <f t="shared" ca="1" si="42"/>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43"/>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44"/>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45"/>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8</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2</v>
      </c>
      <c r="AO38" s="36">
        <f t="shared" ca="1" si="115"/>
        <v>2</v>
      </c>
      <c r="AP38" s="36">
        <f t="shared" ca="1" si="115"/>
        <v>0</v>
      </c>
      <c r="AQ38" s="36">
        <f t="shared" ca="1" si="115"/>
        <v>0</v>
      </c>
      <c r="AR38" s="36">
        <f t="shared" ca="1" si="115"/>
        <v>9</v>
      </c>
      <c r="AS38" s="36">
        <f t="shared" ca="1" si="115"/>
        <v>2</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6</v>
      </c>
      <c r="BF38" s="16">
        <f t="shared" ca="1" si="17"/>
        <v>2</v>
      </c>
      <c r="BG38" s="16">
        <f t="shared" ca="1" si="18"/>
        <v>2</v>
      </c>
      <c r="BH38" s="16">
        <f t="shared" ca="1" si="19"/>
        <v>0</v>
      </c>
      <c r="BI38" s="16">
        <f t="shared" ca="1" si="20"/>
        <v>0</v>
      </c>
      <c r="BJ38" s="16">
        <f t="shared" ca="1" si="21"/>
        <v>6</v>
      </c>
      <c r="BK38" s="16">
        <f t="shared" ca="1" si="22"/>
        <v>1</v>
      </c>
      <c r="BL38" s="16">
        <f t="shared" ca="1" si="23"/>
        <v>5</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6</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5</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8</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P.3 (2)</v>
      </c>
      <c r="F39" s="16" t="str">
        <f t="shared" ca="1" si="102"/>
        <v>P.3 (2)</v>
      </c>
      <c r="G39" s="16"/>
      <c r="H39" s="16" t="str">
        <f t="shared" ca="1" si="103"/>
        <v>P.3 (2)</v>
      </c>
      <c r="I39" s="16" t="str">
        <f t="shared" ca="1" si="104"/>
        <v>P.3 (2)</v>
      </c>
      <c r="J39" s="16"/>
      <c r="K39" s="16" t="str">
        <f t="shared" ca="1" si="105"/>
        <v>P.3 (2)</v>
      </c>
      <c r="L39" s="16" t="str">
        <f t="shared" ca="1" si="106"/>
        <v>P.3 (2)</v>
      </c>
      <c r="M39" s="16"/>
      <c r="N39" s="16" t="str">
        <f t="shared" ca="1" si="107"/>
        <v>P.3 (2)</v>
      </c>
      <c r="O39" s="16" t="str">
        <f t="shared" ca="1" si="108"/>
        <v>P.3 (2)</v>
      </c>
      <c r="P39" s="16"/>
      <c r="Q39" s="16" t="str">
        <f t="shared" ca="1" si="109"/>
        <v>P.3 (2)</v>
      </c>
      <c r="R39" s="16" t="str">
        <f t="shared" ca="1" si="110"/>
        <v>P.3 (2)</v>
      </c>
      <c r="S39" s="16"/>
      <c r="T39" s="16" t="str">
        <f t="shared" ca="1" si="111"/>
        <v>P.3 (2)</v>
      </c>
      <c r="U39" s="16" t="str">
        <f t="shared" ca="1" si="112"/>
        <v>P.3 (2)</v>
      </c>
      <c r="V39" s="17"/>
      <c r="W39" s="620"/>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2</v>
      </c>
      <c r="AO39" s="39">
        <f t="shared" ca="1" si="115"/>
        <v>1</v>
      </c>
      <c r="AP39" s="39">
        <f t="shared" ca="1" si="115"/>
        <v>0</v>
      </c>
      <c r="AQ39" s="39">
        <f t="shared" ca="1" si="115"/>
        <v>1</v>
      </c>
      <c r="AR39" s="39">
        <f t="shared" ca="1" si="115"/>
        <v>2</v>
      </c>
      <c r="AS39" s="39">
        <f t="shared" ca="1" si="115"/>
        <v>2</v>
      </c>
      <c r="AT39" s="43">
        <f t="shared" ca="1" si="115"/>
        <v>0</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2</v>
      </c>
      <c r="BG39" s="16">
        <f t="shared" ca="1" si="18"/>
        <v>0</v>
      </c>
      <c r="BH39" s="16">
        <f t="shared" ca="1" si="19"/>
        <v>0</v>
      </c>
      <c r="BI39" s="16">
        <f t="shared" ca="1" si="20"/>
        <v>2</v>
      </c>
      <c r="BJ39" s="16">
        <f t="shared" ca="1" si="21"/>
        <v>3</v>
      </c>
      <c r="BK39" s="16">
        <f t="shared" ca="1" si="22"/>
        <v>6</v>
      </c>
      <c r="BL39" s="16">
        <f t="shared" ca="1" si="23"/>
        <v>-3</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-3</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8</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1</v>
      </c>
      <c r="AN40" s="39">
        <f t="shared" ca="1" si="115"/>
        <v>2</v>
      </c>
      <c r="AO40" s="39">
        <f t="shared" ca="1" si="115"/>
        <v>0</v>
      </c>
      <c r="AP40" s="39">
        <f t="shared" ca="1" si="115"/>
        <v>1</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2</v>
      </c>
      <c r="BG40" s="16">
        <f t="shared" ca="1" si="18"/>
        <v>0</v>
      </c>
      <c r="BH40" s="16">
        <f t="shared" ca="1" si="19"/>
        <v>0</v>
      </c>
      <c r="BI40" s="16">
        <f t="shared" ca="1" si="20"/>
        <v>2</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-6</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8</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2</v>
      </c>
      <c r="AO41" s="47">
        <f t="shared" ca="1" si="115"/>
        <v>0</v>
      </c>
      <c r="AP41" s="47">
        <f t="shared" ca="1" si="115"/>
        <v>1</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2</v>
      </c>
      <c r="BG41" s="16">
        <f t="shared" ca="1" si="18"/>
        <v>2</v>
      </c>
      <c r="BH41" s="16">
        <f t="shared" ca="1" si="19"/>
        <v>0</v>
      </c>
      <c r="BI41" s="16">
        <f t="shared" ca="1" si="20"/>
        <v>0</v>
      </c>
      <c r="BJ41" s="16">
        <f t="shared" ca="1" si="21"/>
        <v>7</v>
      </c>
      <c r="BK41" s="16">
        <f t="shared" ca="1" si="22"/>
        <v>3</v>
      </c>
      <c r="BL41" s="16">
        <f t="shared" ca="1" si="23"/>
        <v>4</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4</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8</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6</v>
      </c>
      <c r="BF42" s="16">
        <f t="shared" ca="1" si="17"/>
        <v>2</v>
      </c>
      <c r="BG42" s="16">
        <f t="shared" ca="1" si="18"/>
        <v>2</v>
      </c>
      <c r="BH42" s="16">
        <f t="shared" ca="1" si="19"/>
        <v>0</v>
      </c>
      <c r="BI42" s="16">
        <f t="shared" ca="1" si="20"/>
        <v>0</v>
      </c>
      <c r="BJ42" s="16">
        <f t="shared" ca="1" si="21"/>
        <v>5</v>
      </c>
      <c r="BK42" s="16">
        <f t="shared" ca="1" si="22"/>
        <v>0</v>
      </c>
      <c r="BL42" s="16">
        <f t="shared" ca="1" si="23"/>
        <v>5</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6</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1</v>
      </c>
      <c r="BG43" s="16">
        <f t="shared" ca="1" si="18"/>
        <v>0</v>
      </c>
      <c r="BH43" s="16">
        <f t="shared" ca="1" si="19"/>
        <v>0</v>
      </c>
      <c r="BI43" s="16">
        <f t="shared" ca="1" si="20"/>
        <v>1</v>
      </c>
      <c r="BJ43" s="16">
        <f t="shared" ca="1" si="21"/>
        <v>0</v>
      </c>
      <c r="BK43" s="16">
        <f t="shared" ca="1" si="22"/>
        <v>3</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0</v>
      </c>
      <c r="BW43" s="16">
        <f t="shared" ca="1" si="30"/>
        <v>0</v>
      </c>
      <c r="BX43" s="16">
        <f t="shared" ca="1" si="31"/>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0</v>
      </c>
      <c r="CB43" s="16">
        <f t="shared" ca="1" si="33"/>
        <v>0</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0</v>
      </c>
      <c r="CK43" s="16">
        <f t="shared" ca="1" si="38"/>
        <v>0</v>
      </c>
      <c r="CL43" s="16">
        <f t="shared" ca="1" si="39"/>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0</v>
      </c>
      <c r="CP43" s="16">
        <f t="shared" ca="1" si="41"/>
        <v>0</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6</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2</v>
      </c>
      <c r="BG44" s="16">
        <f t="shared" ca="1" si="18"/>
        <v>1</v>
      </c>
      <c r="BH44" s="16">
        <f t="shared" ca="1" si="19"/>
        <v>0</v>
      </c>
      <c r="BI44" s="16">
        <f t="shared" ca="1" si="20"/>
        <v>1</v>
      </c>
      <c r="BJ44" s="16">
        <f t="shared" ca="1" si="21"/>
        <v>3</v>
      </c>
      <c r="BK44" s="16">
        <f t="shared" ca="1" si="22"/>
        <v>3</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6</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1</v>
      </c>
      <c r="BG45" s="16">
        <f t="shared" ca="1" si="18"/>
        <v>0</v>
      </c>
      <c r="BH45" s="16">
        <f t="shared" ca="1" si="19"/>
        <v>0</v>
      </c>
      <c r="BI45" s="16">
        <f t="shared" ca="1" si="20"/>
        <v>1</v>
      </c>
      <c r="BJ45" s="16">
        <f t="shared" ca="1" si="21"/>
        <v>1</v>
      </c>
      <c r="BK45" s="16">
        <f t="shared" ca="1" si="22"/>
        <v>3</v>
      </c>
      <c r="BL45" s="16">
        <f t="shared" ca="1" si="23"/>
        <v>-2</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0</v>
      </c>
      <c r="BW45" s="16">
        <f t="shared" ca="1" si="30"/>
        <v>0</v>
      </c>
      <c r="BX45" s="16">
        <f t="shared" ca="1" si="31"/>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0</v>
      </c>
      <c r="CK45" s="16">
        <f t="shared" ca="1" si="38"/>
        <v>0</v>
      </c>
      <c r="CL45" s="16">
        <f t="shared" ca="1" si="39"/>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6</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4</v>
      </c>
      <c r="AN46" s="36">
        <f t="shared" ca="1" si="131"/>
        <v>2</v>
      </c>
      <c r="AO46" s="36">
        <f t="shared" ca="1" si="131"/>
        <v>1</v>
      </c>
      <c r="AP46" s="36">
        <f t="shared" ca="1" si="131"/>
        <v>1</v>
      </c>
      <c r="AQ46" s="36">
        <f t="shared" ca="1" si="131"/>
        <v>0</v>
      </c>
      <c r="AR46" s="36">
        <f t="shared" ca="1" si="131"/>
        <v>7</v>
      </c>
      <c r="AS46" s="36">
        <f t="shared" ca="1" si="131"/>
        <v>3</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1</v>
      </c>
      <c r="BF46" s="16">
        <f t="shared" ca="1" si="17"/>
        <v>1</v>
      </c>
      <c r="BG46" s="16">
        <f t="shared" ca="1" si="18"/>
        <v>0</v>
      </c>
      <c r="BH46" s="16">
        <f t="shared" ca="1" si="19"/>
        <v>1</v>
      </c>
      <c r="BI46" s="16">
        <f t="shared" ca="1" si="20"/>
        <v>0</v>
      </c>
      <c r="BJ46" s="16">
        <f t="shared" ca="1" si="21"/>
        <v>1</v>
      </c>
      <c r="BK46" s="16">
        <f t="shared" ca="1" si="22"/>
        <v>1</v>
      </c>
      <c r="BL46" s="16">
        <f t="shared" ca="1" si="23"/>
        <v>0</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8"/>
        <v>0</v>
      </c>
      <c r="BV46" s="16">
        <f t="shared" ca="1" si="29"/>
        <v>1</v>
      </c>
      <c r="BW46" s="16">
        <f t="shared" ca="1" si="30"/>
        <v>0</v>
      </c>
      <c r="BX46" s="16">
        <f t="shared" ca="1" si="31"/>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32"/>
        <v>1</v>
      </c>
      <c r="CB46" s="16">
        <f t="shared" ca="1" si="33"/>
        <v>1</v>
      </c>
      <c r="CC46" s="16">
        <f t="shared" ca="1" si="34"/>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35"/>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6"/>
        <v>0</v>
      </c>
      <c r="CJ46" s="16">
        <f t="shared" ca="1" si="37"/>
        <v>1</v>
      </c>
      <c r="CK46" s="16">
        <f t="shared" ca="1" si="38"/>
        <v>0</v>
      </c>
      <c r="CL46" s="16">
        <f t="shared" ca="1" si="39"/>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40"/>
        <v>1</v>
      </c>
      <c r="CP46" s="16">
        <f t="shared" ca="1" si="41"/>
        <v>1</v>
      </c>
      <c r="CQ46" s="16">
        <f t="shared" ca="1" si="42"/>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43"/>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44"/>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45"/>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46"/>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47"/>
        <v>1</v>
      </c>
      <c r="DK46" s="16">
        <f t="shared" ca="1" si="48"/>
        <v>4</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20"/>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2</v>
      </c>
      <c r="AO47" s="39">
        <f t="shared" ca="1" si="131"/>
        <v>1</v>
      </c>
      <c r="AP47" s="39">
        <f t="shared" ca="1" si="131"/>
        <v>1</v>
      </c>
      <c r="AQ47" s="39">
        <f t="shared" ca="1" si="131"/>
        <v>0</v>
      </c>
      <c r="AR47" s="39">
        <f t="shared" ca="1" si="131"/>
        <v>6</v>
      </c>
      <c r="AS47" s="39">
        <f t="shared" ca="1" si="131"/>
        <v>2</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45"/>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4</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2</v>
      </c>
      <c r="AO48" s="39">
        <f t="shared" ca="1" si="131"/>
        <v>1</v>
      </c>
      <c r="AP48" s="39">
        <f t="shared" ca="1" si="131"/>
        <v>0</v>
      </c>
      <c r="AQ48" s="39">
        <f t="shared" ca="1" si="131"/>
        <v>1</v>
      </c>
      <c r="AR48" s="39">
        <f t="shared" ca="1" si="131"/>
        <v>6</v>
      </c>
      <c r="AS48" s="39">
        <f t="shared" ca="1" si="131"/>
        <v>6</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1</v>
      </c>
      <c r="BG48" s="16">
        <f t="shared" ca="1" si="18"/>
        <v>0</v>
      </c>
      <c r="BH48" s="16">
        <f t="shared" ca="1" si="19"/>
        <v>0</v>
      </c>
      <c r="BI48" s="16">
        <f t="shared" ca="1" si="20"/>
        <v>1</v>
      </c>
      <c r="BJ48" s="16">
        <f t="shared" ca="1" si="21"/>
        <v>1</v>
      </c>
      <c r="BK48" s="16">
        <f t="shared" ca="1" si="22"/>
        <v>3</v>
      </c>
      <c r="BL48" s="16">
        <f t="shared" ca="1" si="23"/>
        <v>-2</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2</v>
      </c>
      <c r="DK48" s="16">
        <f t="shared" ca="1" si="48"/>
        <v>4</v>
      </c>
      <c r="DL48" s="16">
        <f t="shared" ca="1" si="49"/>
        <v>1</v>
      </c>
      <c r="DM48" s="16" t="str">
        <f t="shared" ca="1" si="50"/>
        <v>2.1</v>
      </c>
      <c r="DN48" s="16">
        <f t="array" aca="1" ref="DN48" ca="1">OFFSET(Horarios!$P$3,DJ48-1,0,DL48,1)</f>
        <v>2</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2</v>
      </c>
      <c r="AO49" s="47">
        <f t="shared" ca="1" si="131"/>
        <v>0</v>
      </c>
      <c r="AP49" s="47">
        <f t="shared" ca="1" si="131"/>
        <v>0</v>
      </c>
      <c r="AQ49" s="47">
        <f t="shared" ca="1" si="131"/>
        <v>2</v>
      </c>
      <c r="AR49" s="47">
        <f t="shared" ca="1" si="131"/>
        <v>1</v>
      </c>
      <c r="AS49" s="47">
        <f t="shared" ca="1" si="131"/>
        <v>9</v>
      </c>
      <c r="AT49" s="48">
        <f t="shared" ca="1" si="131"/>
        <v>-8</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3</v>
      </c>
      <c r="BF49" s="16">
        <f t="shared" ca="1" si="17"/>
        <v>1</v>
      </c>
      <c r="BG49" s="16">
        <f t="shared" ca="1" si="18"/>
        <v>1</v>
      </c>
      <c r="BH49" s="16">
        <f t="shared" ca="1" si="19"/>
        <v>0</v>
      </c>
      <c r="BI49" s="16">
        <f t="shared" ca="1" si="20"/>
        <v>0</v>
      </c>
      <c r="BJ49" s="16">
        <f t="shared" ca="1" si="21"/>
        <v>3</v>
      </c>
      <c r="BK49" s="16">
        <f t="shared" ca="1" si="22"/>
        <v>1</v>
      </c>
      <c r="BL49" s="16">
        <f t="shared" ca="1" si="23"/>
        <v>2</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4</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3</v>
      </c>
      <c r="BF50" s="16">
        <f t="shared" ca="1" si="17"/>
        <v>1</v>
      </c>
      <c r="BG50" s="16">
        <f t="shared" ca="1" si="18"/>
        <v>1</v>
      </c>
      <c r="BH50" s="16">
        <f t="shared" ca="1" si="19"/>
        <v>0</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4</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1</v>
      </c>
      <c r="BG51" s="16">
        <f t="shared" ca="1" si="18"/>
        <v>0</v>
      </c>
      <c r="BH51" s="16">
        <f t="shared" ca="1" si="19"/>
        <v>0</v>
      </c>
      <c r="BI51" s="16">
        <f t="shared" ca="1" si="20"/>
        <v>1</v>
      </c>
      <c r="BJ51" s="16">
        <f t="shared" ca="1" si="21"/>
        <v>2</v>
      </c>
      <c r="BK51" s="16">
        <f t="shared" ca="1" si="22"/>
        <v>4</v>
      </c>
      <c r="BL51" s="16">
        <f t="shared" ca="1" si="23"/>
        <v>-2</v>
      </c>
      <c r="BM51" s="16" t="str">
        <f t="shared" ca="1" si="24"/>
        <v>4L</v>
      </c>
      <c r="BN51" s="16" t="str">
        <f t="shared" ca="1" si="25"/>
        <v>4L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8"/>
        <v>0</v>
      </c>
      <c r="BV51" s="16">
        <f t="shared" ca="1" si="29"/>
        <v>0</v>
      </c>
      <c r="BW51" s="16">
        <f t="shared" ca="1" si="30"/>
        <v>0</v>
      </c>
      <c r="BX51" s="16">
        <f t="shared" ca="1" si="31"/>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32"/>
        <v>0</v>
      </c>
      <c r="CB51" s="16">
        <f t="shared" ca="1" si="33"/>
        <v>0</v>
      </c>
      <c r="CC51" s="16">
        <f t="shared" ca="1" si="34"/>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35"/>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6"/>
        <v>0</v>
      </c>
      <c r="CJ51" s="16">
        <f t="shared" ca="1" si="37"/>
        <v>0</v>
      </c>
      <c r="CK51" s="16">
        <f t="shared" ca="1" si="38"/>
        <v>0</v>
      </c>
      <c r="CL51" s="16">
        <f t="shared" ca="1" si="39"/>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40"/>
        <v>0</v>
      </c>
      <c r="CP51" s="16">
        <f t="shared" ca="1" si="41"/>
        <v>0</v>
      </c>
      <c r="CQ51" s="16">
        <f t="shared" ca="1" si="42"/>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43"/>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44"/>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46"/>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47"/>
        <v>2</v>
      </c>
      <c r="DK51" s="16">
        <f t="shared" ca="1" si="48"/>
        <v>4</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P.2 (2)</v>
      </c>
      <c r="F52" s="16" t="str">
        <f t="shared" ref="F52:F57" ca="1" si="134">IF(D52="Pendiente","-",INDEX($BT$6:$BT$53,MATCH($AF52,$BD$6:$BD$53,0)))</f>
        <v>-</v>
      </c>
      <c r="G52" s="16"/>
      <c r="H52" s="16" t="str">
        <f t="shared" ref="H52:H57" ca="1" si="135">IF(D52="Pendiente","-",INDEX($BZ$6:$BZ$53,MATCH($AA52,$BD$6:$BD$53,0)))</f>
        <v>P.2 (2)</v>
      </c>
      <c r="I52" s="16" t="str">
        <f t="shared" ref="I52:I57" ca="1" si="136">IF(D52="Pendiente","-",INDEX($BZ$6:$BZ$53,MATCH($AF52,$BD$6:$BD$53,0)))</f>
        <v>-</v>
      </c>
      <c r="J52" s="16"/>
      <c r="K52" s="16" t="str">
        <f t="shared" ref="K52:K57" ca="1" si="137">IF(D52="Pendiente","-",INDEX($CE$6:$CE$53,MATCH($AA52,$BD$6:$BD$53,0)))</f>
        <v>P.2 (2)</v>
      </c>
      <c r="L52" s="16" t="str">
        <f t="shared" ref="L52:L57" ca="1" si="138">IF(D52="Pendiente","-",INDEX($CE$6:$CE$53,MATCH($AF52,$BD$6:$BD$53,0)))</f>
        <v>-</v>
      </c>
      <c r="M52" s="16"/>
      <c r="N52" s="16" t="str">
        <f t="shared" ref="N52:N57" ca="1" si="139">IF(D52="Pendiente","-",INDEX($CH$6:$CH$53,MATCH($AA52,$BD$6:$BD$53,0)))</f>
        <v>P.2 (2)</v>
      </c>
      <c r="O52" s="16" t="str">
        <f t="shared" ref="O52:O57" ca="1" si="140">IF(D52="Pendiente","-",INDEX($CH$6:$CH$53,MATCH($AF52,$BD$6:$BD$53,0)))</f>
        <v>-</v>
      </c>
      <c r="P52" s="16"/>
      <c r="Q52" s="16" t="str">
        <f t="shared" ref="Q52:Q57" ca="1" si="141">IF(D52="Pendiente","-",INDEX($CN$6:$CN$53,MATCH($AA52,$BD$6:$BD$53,0)))</f>
        <v>P.2 (2)</v>
      </c>
      <c r="R52" s="16" t="str">
        <f t="shared" ref="R52:R57" ca="1" si="142">IF(D52="Pendiente","-",INDEX($CN$6:$CN$53,MATCH($AF52,$BD$6:$BD$53,0)))</f>
        <v>-</v>
      </c>
      <c r="S52" s="16"/>
      <c r="T52" s="16" t="str">
        <f t="shared" ref="T52:T57" ca="1" si="143">IF(D52="Pendiente","-",INDEX($CS$6:$CS$53,MATCH($AA52,$BD$6:$BD$53,0)))</f>
        <v>P.2 (2)</v>
      </c>
      <c r="U52" s="16" t="str">
        <f t="shared" ref="U52:U57" ca="1" si="144">IF(D52="Pendiente","-",INDEX($CS$6:$CS$53,MATCH($AF52,$BD$6:$BD$53,0)))</f>
        <v>-</v>
      </c>
      <c r="V52" s="17"/>
      <c r="W52" s="632"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1</v>
      </c>
      <c r="BG52" s="16">
        <f t="shared" ca="1" si="18"/>
        <v>1</v>
      </c>
      <c r="BH52" s="16">
        <f t="shared" ca="1" si="19"/>
        <v>0</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4</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Empate</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1</v>
      </c>
      <c r="BG53" s="16">
        <f t="shared" ca="1" si="18"/>
        <v>0</v>
      </c>
      <c r="BH53" s="16">
        <f t="shared" ca="1" si="19"/>
        <v>0</v>
      </c>
      <c r="BI53" s="16">
        <f t="shared" ca="1" si="20"/>
        <v>1</v>
      </c>
      <c r="BJ53" s="16">
        <f t="shared" ca="1" si="21"/>
        <v>0</v>
      </c>
      <c r="BK53" s="16">
        <f t="shared" ca="1" si="22"/>
        <v>1</v>
      </c>
      <c r="BL53" s="16">
        <f t="shared" ca="1" si="23"/>
        <v>-1</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8"/>
        <v>0</v>
      </c>
      <c r="BV53" s="16">
        <f t="shared" ca="1" si="29"/>
        <v>0</v>
      </c>
      <c r="BW53" s="16">
        <f t="shared" ca="1" si="30"/>
        <v>0</v>
      </c>
      <c r="BX53" s="16">
        <f t="shared" ca="1" si="31"/>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32"/>
        <v>0</v>
      </c>
      <c r="CB53" s="16">
        <f t="shared" ca="1" si="33"/>
        <v>0</v>
      </c>
      <c r="CC53" s="16">
        <f t="shared" ca="1" si="34"/>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35"/>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6"/>
        <v>0</v>
      </c>
      <c r="CJ53" s="16">
        <f t="shared" ca="1" si="37"/>
        <v>0</v>
      </c>
      <c r="CK53" s="16">
        <f t="shared" ca="1" si="38"/>
        <v>0</v>
      </c>
      <c r="CL53" s="16">
        <f t="shared" ca="1" si="39"/>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40"/>
        <v>0</v>
      </c>
      <c r="CP53" s="16">
        <f t="shared" ca="1" si="41"/>
        <v>0</v>
      </c>
      <c r="CQ53" s="16">
        <f t="shared" ca="1" si="42"/>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43"/>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44"/>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4</v>
      </c>
      <c r="DL53" s="16">
        <f t="shared" ca="1" si="49"/>
        <v>1</v>
      </c>
      <c r="DM53" s="16" t="str">
        <f t="shared" ca="1" si="50"/>
        <v>4.1</v>
      </c>
      <c r="DN53" s="16">
        <f t="array" aca="1" ref="DN53" ca="1">OFFSET(Horarios!$P$3,DJ53-1,0,DL53,1)</f>
        <v>4</v>
      </c>
      <c r="DO53" s="16"/>
      <c r="DP53" s="16" t="s">
        <v>123</v>
      </c>
      <c r="DQ53" s="16" t="str">
        <f t="shared" ca="1" si="51"/>
        <v>Croacia</v>
      </c>
    </row>
    <row r="54" spans="1:121" ht="16" customHeight="1" x14ac:dyDescent="0.2">
      <c r="A54" s="16" t="str">
        <f ca="1">+Equipos!B27</f>
        <v>Egipto</v>
      </c>
      <c r="B54" s="16"/>
      <c r="C54" s="16"/>
      <c r="D54" s="16" t="str">
        <f t="shared" si="132"/>
        <v>Empate</v>
      </c>
      <c r="E54" s="16" t="str">
        <f t="shared" ca="1" si="133"/>
        <v>P.2 (2)</v>
      </c>
      <c r="F54" s="16" t="str">
        <f t="shared" ca="1" si="134"/>
        <v>P.2 (2)</v>
      </c>
      <c r="G54" s="16"/>
      <c r="H54" s="16" t="str">
        <f t="shared" ca="1" si="135"/>
        <v>P.2 (2)</v>
      </c>
      <c r="I54" s="16" t="str">
        <f t="shared" ca="1" si="136"/>
        <v>P.2 (2)</v>
      </c>
      <c r="J54" s="16"/>
      <c r="K54" s="16" t="str">
        <f t="shared" ca="1" si="137"/>
        <v>P.2 (2)</v>
      </c>
      <c r="L54" s="16" t="str">
        <f t="shared" ca="1" si="138"/>
        <v>P.2 (2)</v>
      </c>
      <c r="M54" s="16"/>
      <c r="N54" s="16" t="str">
        <f t="shared" ca="1" si="139"/>
        <v>P.2 (2)</v>
      </c>
      <c r="O54" s="16" t="str">
        <f t="shared" ca="1" si="140"/>
        <v>P.2 (2)</v>
      </c>
      <c r="P54" s="16"/>
      <c r="Q54" s="16" t="str">
        <f t="shared" ca="1" si="141"/>
        <v>P.2 (2)</v>
      </c>
      <c r="R54" s="16" t="str">
        <f t="shared" ca="1" si="142"/>
        <v>P.2 (2)</v>
      </c>
      <c r="S54" s="16"/>
      <c r="T54" s="16" t="str">
        <f t="shared" ca="1" si="143"/>
        <v>P.2 (2)</v>
      </c>
      <c r="U54" s="16" t="str">
        <f t="shared" ca="1" si="144"/>
        <v>P.2 (2)</v>
      </c>
      <c r="V54" s="17"/>
      <c r="W54" s="620"/>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Egipto</v>
      </c>
      <c r="AM54" s="35">
        <f t="shared" ref="AM54:AT57" ca="1" si="147">INDEX($BE$6:$BN$53,MATCH($AL54,$BD$6:$BD$53,0),MATCH(AM$5,$BE$5:$BN$5,0))</f>
        <v>4</v>
      </c>
      <c r="AN54" s="36">
        <f t="shared" ca="1" si="147"/>
        <v>2</v>
      </c>
      <c r="AO54" s="36">
        <f t="shared" ca="1" si="147"/>
        <v>1</v>
      </c>
      <c r="AP54" s="36">
        <f t="shared" ca="1" si="147"/>
        <v>1</v>
      </c>
      <c r="AQ54" s="36">
        <f t="shared" ca="1" si="147"/>
        <v>0</v>
      </c>
      <c r="AR54" s="36">
        <f t="shared" ca="1" si="147"/>
        <v>4</v>
      </c>
      <c r="AS54" s="36">
        <f t="shared" ca="1" si="147"/>
        <v>2</v>
      </c>
      <c r="AT54" s="41">
        <f t="shared" ca="1" si="147"/>
        <v>2</v>
      </c>
      <c r="AU54" s="323">
        <f ca="1">INDEX($DL$6:$DL$53,MATCH(AI54,$DP$6:$DP$53,0))</f>
        <v>1</v>
      </c>
      <c r="AV54" s="182" t="str">
        <f ca="1">INDEX($BD$6:$BD$53,MATCH(AI54,$BM$6:$BM$53,0))</f>
        <v>Egipto</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0"/>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Irán</v>
      </c>
      <c r="AM55" s="38">
        <f t="shared" ca="1" si="147"/>
        <v>2</v>
      </c>
      <c r="AN55" s="39">
        <f t="shared" ca="1" si="147"/>
        <v>2</v>
      </c>
      <c r="AO55" s="39">
        <f t="shared" ca="1" si="147"/>
        <v>0</v>
      </c>
      <c r="AP55" s="39">
        <f t="shared" ca="1" si="147"/>
        <v>2</v>
      </c>
      <c r="AQ55" s="39">
        <f t="shared" ca="1" si="147"/>
        <v>0</v>
      </c>
      <c r="AR55" s="39">
        <f t="shared" ca="1" si="147"/>
        <v>2</v>
      </c>
      <c r="AS55" s="39">
        <f t="shared" ca="1" si="147"/>
        <v>2</v>
      </c>
      <c r="AT55" s="43">
        <f t="shared" ca="1" si="147"/>
        <v>0</v>
      </c>
      <c r="AU55" s="323">
        <f ca="1">INDEX($DL$6:$DL$53,MATCH(AI55,$DP$6:$DP$53,0))</f>
        <v>1</v>
      </c>
      <c r="AV55" s="182" t="str">
        <f ca="1">INDEX($BD$6:$BD$53,MATCH(AI55,$BM$6:$BM$53,0))</f>
        <v>Irán</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2</v>
      </c>
      <c r="AN56" s="39">
        <f t="shared" ca="1" si="147"/>
        <v>2</v>
      </c>
      <c r="AO56" s="39">
        <f t="shared" ca="1" si="147"/>
        <v>0</v>
      </c>
      <c r="AP56" s="39">
        <f t="shared" ca="1" si="147"/>
        <v>2</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2</v>
      </c>
      <c r="AO57" s="47">
        <f t="shared" ca="1" si="147"/>
        <v>0</v>
      </c>
      <c r="AP57" s="47">
        <f t="shared" ca="1" si="147"/>
        <v>1</v>
      </c>
      <c r="AQ57" s="47">
        <f t="shared" ca="1" si="147"/>
        <v>1</v>
      </c>
      <c r="AR57" s="47">
        <f t="shared" ca="1" si="147"/>
        <v>3</v>
      </c>
      <c r="AS57" s="47">
        <f t="shared" ca="1" si="147"/>
        <v>5</v>
      </c>
      <c r="AT57" s="48">
        <f t="shared" ca="1" si="147"/>
        <v>-2</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7</v>
      </c>
      <c r="BN58" s="16">
        <f t="shared" ref="BN58:BN69" ca="1" si="153">CF58</f>
        <v>7</v>
      </c>
      <c r="BO58" s="16" t="str">
        <f t="shared" ref="BO58:BO69" si="154">"4"&amp;BC58</f>
        <v>4A</v>
      </c>
      <c r="BP58" s="16"/>
      <c r="BQ58" s="16"/>
      <c r="BR58" s="16">
        <f t="shared" ref="BR58:BR69" ca="1" si="155">+BE58</f>
        <v>1</v>
      </c>
      <c r="BS58" s="16">
        <f t="shared" ref="BS58:BS69" ca="1" si="156">COUNTIFS(BR$58:BR$69,"&gt;"&amp;BR58)+1</f>
        <v>6</v>
      </c>
      <c r="BT58" s="16" t="str">
        <f t="shared" ref="BT58:BT69" ca="1" si="157">IF(COUNTIF(BS$58:BS$69,BS58)=1,"-","Pos. "&amp;BS58&amp;" ("&amp;COUNTIF(BS$58:BS$69,BS58)&amp;")")</f>
        <v>Pos. 6 (4)</v>
      </c>
      <c r="BU58" s="16">
        <f t="shared" ref="BU58:BU69" ca="1" si="158">IF(BT58="-","-",BL58)</f>
        <v>-1</v>
      </c>
      <c r="BV58" s="16">
        <f t="shared" ref="BV58:BV69" ca="1" si="159">BS58+COUNTIFS(BT$58:BT$69,BT58,BU$58:BU$69,"&gt;"&amp;BU58)</f>
        <v>7</v>
      </c>
      <c r="BW58" s="16" t="str">
        <f t="shared" ref="BW58:BW69" ca="1" si="160">IF(COUNTIF(BV$58:BV$69,BV58)=1,"-","Pos. "&amp;BV58&amp;" ("&amp;COUNTIF(BV$58:BV$69,BV58)&amp;")")</f>
        <v>Pos. 7 (2)</v>
      </c>
      <c r="BX58" s="16">
        <f t="shared" ref="BX58:BX69" ca="1" si="161">IF(BW58="-","-",BJ58)</f>
        <v>2</v>
      </c>
      <c r="BY58" s="16">
        <f t="shared" ref="BY58:BY69" ca="1" si="162">BV58+COUNTIFS(BW$58:BW$69,BW58,BX$58:BX$69,"&gt;"&amp;BX58)</f>
        <v>7</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7</v>
      </c>
      <c r="CC58" s="16"/>
      <c r="CD58" s="16">
        <f t="shared" ref="CD58:CD69" ca="1" si="166">IF(OR(INDEX($AW$102:$AW$113,MATCH($BD58,$AV$102:$AV$113,0))="",BZ58="-"),CB58,INDEX($AW$102:$AW$113,MATCH($BD58,$AV$102:$AV$113,0))+CB58/1000)</f>
        <v>7</v>
      </c>
      <c r="CE58" s="16" t="str">
        <f t="shared" ref="CE58:CE69" ca="1" si="167">IF(BZ58="-","-",COUNTIF(CD$58:CD$69,"&lt;"&amp;CD58))</f>
        <v>-</v>
      </c>
      <c r="CF58" s="16">
        <f t="shared" ref="CF58:CF69" ca="1" si="168">BY58+COUNTIFS(BZ$58:BZ$69,BZ58,CE$58:CE$69,"&lt;"&amp;CE58)</f>
        <v>7</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Suecia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1</v>
      </c>
      <c r="BF59" s="16">
        <f t="shared" ca="1" si="150"/>
        <v>2</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-3</v>
      </c>
      <c r="BM59" s="16">
        <f t="shared" ca="1" si="152"/>
        <v>9</v>
      </c>
      <c r="BN59" s="16">
        <f t="shared" ca="1" si="153"/>
        <v>9</v>
      </c>
      <c r="BO59" s="16" t="str">
        <f t="shared" si="154"/>
        <v>4B</v>
      </c>
      <c r="BP59" s="16"/>
      <c r="BQ59" s="16"/>
      <c r="BR59" s="16">
        <f t="shared" ca="1" si="155"/>
        <v>1</v>
      </c>
      <c r="BS59" s="16">
        <f t="shared" ca="1" si="156"/>
        <v>6</v>
      </c>
      <c r="BT59" s="16" t="str">
        <f t="shared" ca="1" si="157"/>
        <v>Pos. 6 (4)</v>
      </c>
      <c r="BU59" s="16">
        <f t="shared" ca="1" si="158"/>
        <v>-3</v>
      </c>
      <c r="BV59" s="16">
        <f t="shared" ca="1" si="159"/>
        <v>9</v>
      </c>
      <c r="BW59" s="16" t="str">
        <f t="shared" ca="1" si="160"/>
        <v>-</v>
      </c>
      <c r="BX59" s="16" t="str">
        <f t="shared" ca="1" si="161"/>
        <v>-</v>
      </c>
      <c r="BY59" s="16">
        <f t="shared" ca="1" si="162"/>
        <v>9</v>
      </c>
      <c r="BZ59" s="16" t="str">
        <f t="shared" ca="1" si="163"/>
        <v>-</v>
      </c>
      <c r="CA59" s="16" t="str">
        <f t="shared" ca="1" si="164"/>
        <v>-</v>
      </c>
      <c r="CB59" s="16">
        <f t="shared" ca="1" si="165"/>
        <v>9</v>
      </c>
      <c r="CC59" s="16"/>
      <c r="CD59" s="16">
        <f t="shared" ca="1" si="166"/>
        <v>9</v>
      </c>
      <c r="CE59" s="16" t="str">
        <f t="shared" ca="1" si="167"/>
        <v>-</v>
      </c>
      <c r="CF59" s="16">
        <f t="shared" ca="1" si="168"/>
        <v>9</v>
      </c>
      <c r="DJ59" s="16">
        <f t="shared" ca="1" si="169"/>
        <v>2</v>
      </c>
      <c r="DK59" s="16"/>
      <c r="DL59" s="16">
        <f t="shared" ca="1" si="170"/>
        <v>1</v>
      </c>
      <c r="DM59" s="16" t="str">
        <f t="shared" ca="1" si="171"/>
        <v>2.1</v>
      </c>
      <c r="DN59" s="16">
        <f t="array" aca="1" ref="DN59" ca="1">OFFSET(Horarios!$P$3,DJ59-1,0,DL59,1)</f>
        <v>2</v>
      </c>
      <c r="DO59" s="16"/>
      <c r="DP59" s="16">
        <v>2</v>
      </c>
      <c r="DQ59" s="16" t="str">
        <f t="shared" ca="1" si="172"/>
        <v>Escocia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P.2 (2)</v>
      </c>
      <c r="G60" s="16"/>
      <c r="H60" s="16" t="str">
        <f t="shared" ref="H60:H65" ca="1" si="182">IF(D60="Pendiente","-",INDEX($BZ$6:$BZ$53,MATCH($AA60,$BD$6:$BD$53,0)))</f>
        <v>-</v>
      </c>
      <c r="I60" s="16" t="str">
        <f t="shared" ref="I60:I65" ca="1" si="183">IF(D60="Pendiente","-",INDEX($BZ$6:$BZ$53,MATCH($AF60,$BD$6:$BD$53,0)))</f>
        <v>P.2 (2)</v>
      </c>
      <c r="J60" s="16"/>
      <c r="K60" s="16" t="str">
        <f t="shared" ref="K60:K65" ca="1" si="184">IF(D60="Pendiente","-",INDEX($CE$6:$CE$53,MATCH($AA60,$BD$6:$BD$53,0)))</f>
        <v>-</v>
      </c>
      <c r="L60" s="16" t="str">
        <f t="shared" ref="L60:L65" ca="1" si="185">IF(D60="Pendiente","-",INDEX($CE$6:$CE$53,MATCH($AF60,$BD$6:$BD$53,0)))</f>
        <v>P.2 (2)</v>
      </c>
      <c r="M60" s="16"/>
      <c r="N60" s="16" t="str">
        <f t="shared" ref="N60:N65" ca="1" si="186">IF(D60="Pendiente","-",INDEX($CH$6:$CH$53,MATCH($AA60,$BD$6:$BD$53,0)))</f>
        <v>-</v>
      </c>
      <c r="O60" s="16" t="str">
        <f t="shared" ref="O60:O65" ca="1" si="187">IF(D60="Pendiente","-",INDEX($CH$6:$CH$53,MATCH($AF60,$BD$6:$BD$53,0)))</f>
        <v>P.2 (2)</v>
      </c>
      <c r="P60" s="16"/>
      <c r="Q60" s="16" t="str">
        <f t="shared" ref="Q60:Q65" ca="1" si="188">IF(D60="Pendiente","-",INDEX($CN$6:$CN$53,MATCH($AA60,$BD$6:$BD$53,0)))</f>
        <v>-</v>
      </c>
      <c r="R60" s="16" t="str">
        <f t="shared" ref="R60:R65" ca="1" si="189">IF(D60="Pendiente","-",INDEX($CN$6:$CN$53,MATCH($AF60,$BD$6:$BD$53,0)))</f>
        <v>P.2 (2)</v>
      </c>
      <c r="S60" s="16"/>
      <c r="T60" s="16" t="str">
        <f t="shared" ref="T60:T65" ca="1" si="190">IF(D60="Pendiente","-",INDEX($CS$6:$CS$53,MATCH($AA60,$BD$6:$BD$53,0)))</f>
        <v>-</v>
      </c>
      <c r="U60" s="16" t="str">
        <f t="shared" ref="U60:U65" ca="1" si="191">IF(D60="Pendiente","-",INDEX($CS$6:$CS$53,MATCH($AF60,$BD$6:$BD$53,0)))</f>
        <v>P.2 (2)</v>
      </c>
      <c r="V60" s="17"/>
      <c r="W60" s="635"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2</v>
      </c>
      <c r="BG60" s="16">
        <f t="shared" ca="1" si="174"/>
        <v>1</v>
      </c>
      <c r="BH60" s="16">
        <f t="shared" ca="1" si="175"/>
        <v>0</v>
      </c>
      <c r="BI60" s="16">
        <f t="shared" ca="1" si="176"/>
        <v>1</v>
      </c>
      <c r="BJ60" s="16">
        <f t="shared" ca="1" si="177"/>
        <v>1</v>
      </c>
      <c r="BK60" s="16">
        <f t="shared" ca="1" si="178"/>
        <v>1</v>
      </c>
      <c r="BL60" s="16">
        <f t="shared" ca="1" si="151"/>
        <v>0</v>
      </c>
      <c r="BM60" s="16">
        <f t="shared" ca="1" si="152"/>
        <v>2</v>
      </c>
      <c r="BN60" s="16">
        <f t="shared" ca="1" si="153"/>
        <v>2</v>
      </c>
      <c r="BO60" s="16" t="str">
        <f t="shared" si="154"/>
        <v>4C</v>
      </c>
      <c r="BP60" s="16"/>
      <c r="BQ60" s="16"/>
      <c r="BR60" s="16">
        <f t="shared" ca="1" si="155"/>
        <v>3</v>
      </c>
      <c r="BS60" s="16">
        <f t="shared" ca="1" si="156"/>
        <v>1</v>
      </c>
      <c r="BT60" s="16" t="str">
        <f t="shared" ca="1" si="157"/>
        <v>Pos. 1 (3)</v>
      </c>
      <c r="BU60" s="16">
        <f t="shared" ca="1" si="158"/>
        <v>0</v>
      </c>
      <c r="BV60" s="16">
        <f t="shared" ca="1" si="159"/>
        <v>1</v>
      </c>
      <c r="BW60" s="16" t="str">
        <f t="shared" ca="1" si="160"/>
        <v>Pos. 1 (2)</v>
      </c>
      <c r="BX60" s="16">
        <f t="shared" ca="1" si="161"/>
        <v>1</v>
      </c>
      <c r="BY60" s="16">
        <f t="shared" ca="1" si="162"/>
        <v>2</v>
      </c>
      <c r="BZ60" s="16" t="str">
        <f t="shared" ca="1" si="163"/>
        <v>-</v>
      </c>
      <c r="CA60" s="16" t="str">
        <f t="shared" ca="1" si="164"/>
        <v>-</v>
      </c>
      <c r="CB60" s="16">
        <f t="shared" ca="1" si="165"/>
        <v>2</v>
      </c>
      <c r="CC60" s="16"/>
      <c r="CD60" s="16">
        <f t="shared" ca="1" si="166"/>
        <v>2</v>
      </c>
      <c r="CE60" s="16" t="str">
        <f t="shared" ca="1" si="167"/>
        <v>-</v>
      </c>
      <c r="CF60" s="16">
        <f t="shared" ca="1" si="168"/>
        <v>2</v>
      </c>
      <c r="DJ60" s="16">
        <f t="shared" ca="1" si="169"/>
        <v>3</v>
      </c>
      <c r="DK60" s="16"/>
      <c r="DL60" s="16">
        <f t="shared" ca="1" si="170"/>
        <v>1</v>
      </c>
      <c r="DM60" s="16" t="str">
        <f t="shared" ca="1" si="171"/>
        <v>3.1</v>
      </c>
      <c r="DN60" s="16">
        <f t="array" aca="1" ref="DN60" ca="1">OFFSET(Horarios!$P$3,DJ60-1,0,DL60,1)</f>
        <v>3</v>
      </c>
      <c r="DO60" s="16"/>
      <c r="DP60" s="16">
        <v>3</v>
      </c>
      <c r="DQ60" s="16" t="str">
        <f t="shared" ca="1" si="172"/>
        <v>Paraguay</v>
      </c>
    </row>
    <row r="61" spans="1:121" ht="16" customHeight="1" x14ac:dyDescent="0.2">
      <c r="A61" s="16" t="str">
        <f ca="1">+Equipos!B30</f>
        <v>España</v>
      </c>
      <c r="B61" s="16"/>
      <c r="C61" s="16"/>
      <c r="D61" s="16" t="str">
        <f t="shared" si="179"/>
        <v>Empate</v>
      </c>
      <c r="E61" s="16" t="str">
        <f t="shared" ca="1" si="180"/>
        <v>-</v>
      </c>
      <c r="F61" s="16" t="str">
        <f t="shared" ca="1" si="181"/>
        <v>P.2 (2)</v>
      </c>
      <c r="G61" s="16"/>
      <c r="H61" s="16" t="str">
        <f t="shared" ca="1" si="182"/>
        <v>-</v>
      </c>
      <c r="I61" s="16" t="str">
        <f t="shared" ca="1" si="183"/>
        <v>P.2 (2)</v>
      </c>
      <c r="J61" s="16"/>
      <c r="K61" s="16" t="str">
        <f t="shared" ca="1" si="184"/>
        <v>-</v>
      </c>
      <c r="L61" s="16" t="str">
        <f t="shared" ca="1" si="185"/>
        <v>P.2 (2)</v>
      </c>
      <c r="M61" s="16"/>
      <c r="N61" s="16" t="str">
        <f t="shared" ca="1" si="186"/>
        <v>-</v>
      </c>
      <c r="O61" s="16" t="str">
        <f t="shared" ca="1" si="187"/>
        <v>P.2 (2)</v>
      </c>
      <c r="P61" s="16"/>
      <c r="Q61" s="16" t="str">
        <f t="shared" ca="1" si="188"/>
        <v>-</v>
      </c>
      <c r="R61" s="16" t="str">
        <f t="shared" ca="1" si="189"/>
        <v>P.2 (2)</v>
      </c>
      <c r="S61" s="16"/>
      <c r="T61" s="16" t="str">
        <f t="shared" ca="1" si="190"/>
        <v>-</v>
      </c>
      <c r="U61" s="16" t="str">
        <f t="shared" ca="1" si="191"/>
        <v>P.2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2</v>
      </c>
      <c r="BG61" s="16">
        <f t="shared" ca="1" si="174"/>
        <v>1</v>
      </c>
      <c r="BH61" s="16">
        <f t="shared" ca="1" si="175"/>
        <v>0</v>
      </c>
      <c r="BI61" s="16">
        <f t="shared" ca="1" si="176"/>
        <v>1</v>
      </c>
      <c r="BJ61" s="16">
        <f t="shared" ca="1" si="177"/>
        <v>2</v>
      </c>
      <c r="BK61" s="16">
        <f t="shared" ca="1" si="178"/>
        <v>4</v>
      </c>
      <c r="BL61" s="16">
        <f t="shared" ca="1" si="151"/>
        <v>-2</v>
      </c>
      <c r="BM61" s="16">
        <f t="shared" ca="1" si="152"/>
        <v>3</v>
      </c>
      <c r="BN61" s="16">
        <f t="shared" ca="1" si="153"/>
        <v>3</v>
      </c>
      <c r="BO61" s="16" t="str">
        <f t="shared" si="154"/>
        <v>4D</v>
      </c>
      <c r="BP61" s="16"/>
      <c r="BQ61" s="16"/>
      <c r="BR61" s="16">
        <f t="shared" ca="1" si="155"/>
        <v>3</v>
      </c>
      <c r="BS61" s="16">
        <f t="shared" ca="1" si="156"/>
        <v>1</v>
      </c>
      <c r="BT61" s="16" t="str">
        <f t="shared" ca="1" si="157"/>
        <v>Pos. 1 (3)</v>
      </c>
      <c r="BU61" s="16">
        <f t="shared" ca="1" si="158"/>
        <v>-2</v>
      </c>
      <c r="BV61" s="16">
        <f t="shared" ca="1" si="159"/>
        <v>3</v>
      </c>
      <c r="BW61" s="16" t="str">
        <f t="shared" ca="1" si="160"/>
        <v>-</v>
      </c>
      <c r="BX61" s="16" t="str">
        <f t="shared" ca="1" si="161"/>
        <v>-</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Cabo Verde</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0"/>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4</v>
      </c>
      <c r="AN62" s="36">
        <f t="shared" ca="1" si="195"/>
        <v>2</v>
      </c>
      <c r="AO62" s="36">
        <f t="shared" ca="1" si="195"/>
        <v>1</v>
      </c>
      <c r="AP62" s="36">
        <f t="shared" ca="1" si="195"/>
        <v>1</v>
      </c>
      <c r="AQ62" s="36">
        <f t="shared" ca="1" si="195"/>
        <v>0</v>
      </c>
      <c r="AR62" s="36">
        <f t="shared" ca="1" si="195"/>
        <v>4</v>
      </c>
      <c r="AS62" s="36">
        <f t="shared" ca="1" si="195"/>
        <v>0</v>
      </c>
      <c r="AT62" s="41">
        <f t="shared" ca="1" si="195"/>
        <v>4</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1</v>
      </c>
      <c r="BF62" s="16">
        <f t="shared" ca="1" si="150"/>
        <v>2</v>
      </c>
      <c r="BG62" s="16">
        <f t="shared" ca="1" si="174"/>
        <v>0</v>
      </c>
      <c r="BH62" s="16">
        <f t="shared" ca="1" si="175"/>
        <v>1</v>
      </c>
      <c r="BI62" s="16">
        <f t="shared" ca="1" si="176"/>
        <v>1</v>
      </c>
      <c r="BJ62" s="16">
        <f t="shared" ca="1" si="177"/>
        <v>0</v>
      </c>
      <c r="BK62" s="16">
        <f t="shared" ca="1" si="178"/>
        <v>1</v>
      </c>
      <c r="BL62" s="16">
        <f t="shared" ca="1" si="151"/>
        <v>-1</v>
      </c>
      <c r="BM62" s="16">
        <f t="shared" ca="1" si="152"/>
        <v>8</v>
      </c>
      <c r="BN62" s="16">
        <f t="shared" ca="1" si="153"/>
        <v>8</v>
      </c>
      <c r="BO62" s="16" t="str">
        <f t="shared" si="154"/>
        <v>4E</v>
      </c>
      <c r="BP62" s="16"/>
      <c r="BQ62" s="16"/>
      <c r="BR62" s="16">
        <f t="shared" ca="1" si="155"/>
        <v>1</v>
      </c>
      <c r="BS62" s="16">
        <f t="shared" ca="1" si="156"/>
        <v>6</v>
      </c>
      <c r="BT62" s="16" t="str">
        <f t="shared" ca="1" si="157"/>
        <v>Pos. 6 (4)</v>
      </c>
      <c r="BU62" s="16">
        <f t="shared" ca="1" si="158"/>
        <v>-1</v>
      </c>
      <c r="BV62" s="16">
        <f t="shared" ca="1" si="159"/>
        <v>7</v>
      </c>
      <c r="BW62" s="16" t="str">
        <f t="shared" ca="1" si="160"/>
        <v>Pos. 7 (2)</v>
      </c>
      <c r="BX62" s="16">
        <f t="shared" ca="1" si="161"/>
        <v>0</v>
      </c>
      <c r="BY62" s="16">
        <f t="shared" ca="1" si="162"/>
        <v>8</v>
      </c>
      <c r="BZ62" s="16" t="str">
        <f t="shared" ca="1" si="163"/>
        <v>-</v>
      </c>
      <c r="CA62" s="16" t="str">
        <f t="shared" ca="1" si="164"/>
        <v>-</v>
      </c>
      <c r="CB62" s="16">
        <f t="shared" ca="1" si="165"/>
        <v>8</v>
      </c>
      <c r="CC62" s="16"/>
      <c r="CD62" s="16">
        <f t="shared" ca="1" si="166"/>
        <v>8</v>
      </c>
      <c r="CE62" s="16" t="str">
        <f t="shared" ca="1" si="167"/>
        <v>-</v>
      </c>
      <c r="CF62" s="16">
        <f t="shared" ca="1" si="168"/>
        <v>8</v>
      </c>
      <c r="DJ62" s="16">
        <f t="shared" ca="1" si="169"/>
        <v>5</v>
      </c>
      <c r="DK62" s="16"/>
      <c r="DL62" s="16">
        <f t="shared" ca="1" si="170"/>
        <v>1</v>
      </c>
      <c r="DM62" s="16" t="str">
        <f t="shared" ca="1" si="171"/>
        <v>5.1</v>
      </c>
      <c r="DN62" s="16">
        <f t="array" aca="1" ref="DN62" ca="1">OFFSET(Horarios!$P$3,DJ62-1,0,DL62,1)</f>
        <v>5</v>
      </c>
      <c r="DO62" s="16"/>
      <c r="DP62" s="16">
        <v>5</v>
      </c>
      <c r="DQ62" s="16" t="str">
        <f t="shared" ca="1" si="172"/>
        <v>Bélgica</v>
      </c>
    </row>
    <row r="63" spans="1:121" ht="16" customHeight="1" x14ac:dyDescent="0.2">
      <c r="A63" s="16" t="str">
        <f ca="1">+Equipos!B32</f>
        <v>Arabia Saudita</v>
      </c>
      <c r="B63" s="16"/>
      <c r="C63" s="16"/>
      <c r="D63" s="16" t="str">
        <f t="shared" si="179"/>
        <v>Empate</v>
      </c>
      <c r="E63" s="16" t="str">
        <f t="shared" ca="1" si="180"/>
        <v>P.2 (2)</v>
      </c>
      <c r="F63" s="16" t="str">
        <f t="shared" ca="1" si="181"/>
        <v>P.2 (2)</v>
      </c>
      <c r="G63" s="16"/>
      <c r="H63" s="16" t="str">
        <f t="shared" ca="1" si="182"/>
        <v>P.2 (2)</v>
      </c>
      <c r="I63" s="16" t="str">
        <f t="shared" ca="1" si="183"/>
        <v>P.2 (2)</v>
      </c>
      <c r="J63" s="16"/>
      <c r="K63" s="16" t="str">
        <f t="shared" ca="1" si="184"/>
        <v>P.2 (2)</v>
      </c>
      <c r="L63" s="16" t="str">
        <f t="shared" ca="1" si="185"/>
        <v>P.2 (2)</v>
      </c>
      <c r="M63" s="16"/>
      <c r="N63" s="16" t="str">
        <f t="shared" ca="1" si="186"/>
        <v>P.2 (2)</v>
      </c>
      <c r="O63" s="16" t="str">
        <f t="shared" ca="1" si="187"/>
        <v>P.2 (2)</v>
      </c>
      <c r="P63" s="16"/>
      <c r="Q63" s="16" t="str">
        <f t="shared" ca="1" si="188"/>
        <v>P.2 (2)</v>
      </c>
      <c r="R63" s="16" t="str">
        <f t="shared" ca="1" si="189"/>
        <v>P.2 (2)</v>
      </c>
      <c r="S63" s="16"/>
      <c r="T63" s="16" t="str">
        <f t="shared" ca="1" si="190"/>
        <v>P.2 (2)</v>
      </c>
      <c r="U63" s="16" t="str">
        <f t="shared" ca="1" si="191"/>
        <v>P.2 (2)</v>
      </c>
      <c r="V63" s="17"/>
      <c r="W63" s="620"/>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2</v>
      </c>
      <c r="AN63" s="39">
        <f t="shared" ca="1" si="195"/>
        <v>2</v>
      </c>
      <c r="AO63" s="39">
        <f t="shared" ca="1" si="195"/>
        <v>0</v>
      </c>
      <c r="AP63" s="39">
        <f t="shared" ca="1" si="195"/>
        <v>2</v>
      </c>
      <c r="AQ63" s="39">
        <f t="shared" ca="1" si="195"/>
        <v>0</v>
      </c>
      <c r="AR63" s="39">
        <f t="shared" ca="1" si="195"/>
        <v>3</v>
      </c>
      <c r="AS63" s="39">
        <f t="shared" ca="1" si="195"/>
        <v>3</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2</v>
      </c>
      <c r="BG63" s="16">
        <f t="shared" ca="1" si="174"/>
        <v>1</v>
      </c>
      <c r="BH63" s="16">
        <f t="shared" ca="1" si="175"/>
        <v>0</v>
      </c>
      <c r="BI63" s="16">
        <f t="shared" ca="1" si="176"/>
        <v>1</v>
      </c>
      <c r="BJ63" s="16">
        <f t="shared" ca="1" si="177"/>
        <v>6</v>
      </c>
      <c r="BK63" s="16">
        <f t="shared" ca="1" si="178"/>
        <v>6</v>
      </c>
      <c r="BL63" s="16">
        <f t="shared" ca="1" si="151"/>
        <v>0</v>
      </c>
      <c r="BM63" s="16">
        <f t="shared" ca="1" si="152"/>
        <v>1</v>
      </c>
      <c r="BN63" s="16">
        <f t="shared" ca="1" si="153"/>
        <v>1</v>
      </c>
      <c r="BO63" s="16" t="str">
        <f t="shared" si="154"/>
        <v>4F</v>
      </c>
      <c r="BP63" s="16"/>
      <c r="BQ63" s="16"/>
      <c r="BR63" s="16">
        <f t="shared" ca="1" si="155"/>
        <v>3</v>
      </c>
      <c r="BS63" s="16">
        <f t="shared" ca="1" si="156"/>
        <v>1</v>
      </c>
      <c r="BT63" s="16" t="str">
        <f t="shared" ca="1" si="157"/>
        <v>Pos. 1 (3)</v>
      </c>
      <c r="BU63" s="16">
        <f t="shared" ca="1" si="158"/>
        <v>0</v>
      </c>
      <c r="BV63" s="16">
        <f t="shared" ca="1" si="159"/>
        <v>1</v>
      </c>
      <c r="BW63" s="16" t="str">
        <f t="shared" ca="1" si="160"/>
        <v>Pos. 1 (2)</v>
      </c>
      <c r="BX63" s="16">
        <f t="shared" ca="1" si="161"/>
        <v>6</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RD Congo</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Cabo Verde</v>
      </c>
      <c r="AM64" s="38">
        <f t="shared" ca="1" si="195"/>
        <v>2</v>
      </c>
      <c r="AN64" s="39">
        <f t="shared" ca="1" si="195"/>
        <v>2</v>
      </c>
      <c r="AO64" s="39">
        <f t="shared" ca="1" si="195"/>
        <v>0</v>
      </c>
      <c r="AP64" s="39">
        <f t="shared" ca="1" si="195"/>
        <v>2</v>
      </c>
      <c r="AQ64" s="39">
        <f t="shared" ca="1" si="195"/>
        <v>0</v>
      </c>
      <c r="AR64" s="39">
        <f t="shared" ca="1" si="195"/>
        <v>2</v>
      </c>
      <c r="AS64" s="39">
        <f t="shared" ca="1" si="195"/>
        <v>2</v>
      </c>
      <c r="AT64" s="43">
        <f t="shared" ca="1" si="195"/>
        <v>0</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Bélgica</v>
      </c>
      <c r="BE64" s="16">
        <f t="shared" ca="1" si="193"/>
        <v>2</v>
      </c>
      <c r="BF64" s="16">
        <f t="shared" ca="1" si="150"/>
        <v>2</v>
      </c>
      <c r="BG64" s="16">
        <f t="shared" ca="1" si="174"/>
        <v>0</v>
      </c>
      <c r="BH64" s="16">
        <f t="shared" ca="1" si="175"/>
        <v>2</v>
      </c>
      <c r="BI64" s="16">
        <f t="shared" ca="1" si="176"/>
        <v>0</v>
      </c>
      <c r="BJ64" s="16">
        <f t="shared" ca="1" si="177"/>
        <v>1</v>
      </c>
      <c r="BK64" s="16">
        <f t="shared" ca="1" si="178"/>
        <v>1</v>
      </c>
      <c r="BL64" s="16">
        <f t="shared" ca="1" si="151"/>
        <v>0</v>
      </c>
      <c r="BM64" s="16">
        <f t="shared" ca="1" si="152"/>
        <v>5</v>
      </c>
      <c r="BN64" s="16">
        <f t="shared" ca="1" si="153"/>
        <v>5</v>
      </c>
      <c r="BO64" s="16" t="str">
        <f t="shared" si="154"/>
        <v>4G</v>
      </c>
      <c r="BP64" s="16"/>
      <c r="BQ64" s="16"/>
      <c r="BR64" s="16">
        <f t="shared" ca="1" si="155"/>
        <v>2</v>
      </c>
      <c r="BS64" s="16">
        <f t="shared" ca="1" si="156"/>
        <v>4</v>
      </c>
      <c r="BT64" s="16" t="str">
        <f t="shared" ca="1" si="157"/>
        <v>Pos. 4 (2)</v>
      </c>
      <c r="BU64" s="16">
        <f t="shared" ca="1" si="158"/>
        <v>0</v>
      </c>
      <c r="BV64" s="16">
        <f t="shared" ca="1" si="159"/>
        <v>4</v>
      </c>
      <c r="BW64" s="16" t="str">
        <f t="shared" ca="1" si="160"/>
        <v>Pos. 4 (2)</v>
      </c>
      <c r="BX64" s="16">
        <f t="shared" ca="1" si="161"/>
        <v>1</v>
      </c>
      <c r="BY64" s="16">
        <f t="shared" ca="1" si="162"/>
        <v>5</v>
      </c>
      <c r="BZ64" s="16" t="str">
        <f t="shared" ca="1" si="163"/>
        <v>-</v>
      </c>
      <c r="CA64" s="16" t="str">
        <f t="shared" ca="1" si="164"/>
        <v>-</v>
      </c>
      <c r="CB64" s="16">
        <f t="shared" ca="1" si="165"/>
        <v>5</v>
      </c>
      <c r="CC64" s="16"/>
      <c r="CD64" s="16">
        <f t="shared" ca="1" si="166"/>
        <v>5</v>
      </c>
      <c r="CE64" s="16" t="str">
        <f t="shared" ca="1" si="167"/>
        <v>-</v>
      </c>
      <c r="CF64" s="16">
        <f t="shared" ca="1" si="168"/>
        <v>5</v>
      </c>
      <c r="DJ64" s="16">
        <f t="shared" ca="1" si="169"/>
        <v>7</v>
      </c>
      <c r="DK64" s="16"/>
      <c r="DL64" s="16">
        <f t="shared" ca="1" si="170"/>
        <v>1</v>
      </c>
      <c r="DM64" s="16" t="str">
        <f t="shared" ca="1" si="171"/>
        <v>7.1</v>
      </c>
      <c r="DN64" s="16">
        <f t="array" aca="1" ref="DN64" ca="1">OFFSET(Horarios!$P$3,DJ64-1,0,DL64,1)</f>
        <v>7</v>
      </c>
      <c r="DO64" s="16"/>
      <c r="DP64" s="16">
        <v>7</v>
      </c>
      <c r="DQ64" s="16" t="str">
        <f t="shared" ca="1" si="172"/>
        <v>República Checa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Arabia Saudita</v>
      </c>
      <c r="AM65" s="46">
        <f t="shared" ca="1" si="195"/>
        <v>1</v>
      </c>
      <c r="AN65" s="47">
        <f t="shared" ca="1" si="195"/>
        <v>2</v>
      </c>
      <c r="AO65" s="47">
        <f t="shared" ca="1" si="195"/>
        <v>0</v>
      </c>
      <c r="AP65" s="47">
        <f t="shared" ca="1" si="195"/>
        <v>1</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2</v>
      </c>
      <c r="BF65" s="16">
        <f t="shared" ca="1" si="150"/>
        <v>2</v>
      </c>
      <c r="BG65" s="16">
        <f t="shared" ca="1" si="174"/>
        <v>0</v>
      </c>
      <c r="BH65" s="16">
        <f t="shared" ca="1" si="175"/>
        <v>2</v>
      </c>
      <c r="BI65" s="16">
        <f t="shared" ca="1" si="176"/>
        <v>0</v>
      </c>
      <c r="BJ65" s="16">
        <f t="shared" ca="1" si="177"/>
        <v>2</v>
      </c>
      <c r="BK65" s="16">
        <f t="shared" ca="1" si="178"/>
        <v>2</v>
      </c>
      <c r="BL65" s="16">
        <f t="shared" ca="1" si="151"/>
        <v>0</v>
      </c>
      <c r="BM65" s="16">
        <f t="shared" ca="1" si="152"/>
        <v>4</v>
      </c>
      <c r="BN65" s="16">
        <f t="shared" ca="1" si="153"/>
        <v>4</v>
      </c>
      <c r="BO65" s="16" t="str">
        <f t="shared" si="154"/>
        <v>4H</v>
      </c>
      <c r="BP65" s="16"/>
      <c r="BQ65" s="16"/>
      <c r="BR65" s="16">
        <f t="shared" ca="1" si="155"/>
        <v>2</v>
      </c>
      <c r="BS65" s="16">
        <f t="shared" ca="1" si="156"/>
        <v>4</v>
      </c>
      <c r="BT65" s="16" t="str">
        <f t="shared" ca="1" si="157"/>
        <v>Pos. 4 (2)</v>
      </c>
      <c r="BU65" s="16">
        <f t="shared" ca="1" si="158"/>
        <v>0</v>
      </c>
      <c r="BV65" s="16">
        <f t="shared" ca="1" si="159"/>
        <v>4</v>
      </c>
      <c r="BW65" s="16" t="str">
        <f t="shared" ca="1" si="160"/>
        <v>Pos. 4 (2)</v>
      </c>
      <c r="BX65" s="16">
        <f t="shared" ca="1" si="161"/>
        <v>2</v>
      </c>
      <c r="BY65" s="16">
        <f t="shared" ca="1" si="162"/>
        <v>4</v>
      </c>
      <c r="BZ65" s="16" t="str">
        <f t="shared" ca="1" si="163"/>
        <v>-</v>
      </c>
      <c r="CA65" s="16" t="str">
        <f t="shared" ca="1" si="164"/>
        <v>-</v>
      </c>
      <c r="CB65" s="16">
        <f t="shared" ca="1" si="165"/>
        <v>4</v>
      </c>
      <c r="CC65" s="16"/>
      <c r="CD65" s="16">
        <f t="shared" ca="1" si="166"/>
        <v>4</v>
      </c>
      <c r="CE65" s="16" t="str">
        <f t="shared" ca="1" si="167"/>
        <v>-</v>
      </c>
      <c r="CF65" s="16">
        <f t="shared" ca="1" si="168"/>
        <v>4</v>
      </c>
      <c r="DJ65" s="16">
        <f t="shared" ca="1" si="169"/>
        <v>8</v>
      </c>
      <c r="DK65" s="16"/>
      <c r="DL65" s="16">
        <f t="shared" ca="1" si="170"/>
        <v>1</v>
      </c>
      <c r="DM65" s="16" t="str">
        <f t="shared" ca="1" si="171"/>
        <v>8.1</v>
      </c>
      <c r="DN65" s="16">
        <f t="array" aca="1" ref="DN65" ca="1">OFFSET(Horarios!$P$3,DJ65-1,0,DL65,1)</f>
        <v>8</v>
      </c>
      <c r="DO65" s="16"/>
      <c r="DP65" s="16">
        <v>8</v>
      </c>
      <c r="DQ65" s="16" t="str">
        <f t="shared" ca="1" si="172"/>
        <v>Ecuador</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2</v>
      </c>
      <c r="BG66" s="16">
        <f t="shared" ca="1" si="174"/>
        <v>0</v>
      </c>
      <c r="BH66" s="16">
        <f t="shared" ca="1" si="175"/>
        <v>0</v>
      </c>
      <c r="BI66" s="16">
        <f t="shared" ca="1" si="176"/>
        <v>2</v>
      </c>
      <c r="BJ66" s="16">
        <f t="shared" ca="1" si="177"/>
        <v>3</v>
      </c>
      <c r="BK66" s="16">
        <f t="shared" ca="1" si="178"/>
        <v>6</v>
      </c>
      <c r="BL66" s="16">
        <f t="shared" ca="1" si="151"/>
        <v>-3</v>
      </c>
      <c r="BM66" s="16">
        <f t="shared" ca="1" si="152"/>
        <v>12</v>
      </c>
      <c r="BN66" s="16">
        <f t="shared" ca="1" si="153"/>
        <v>12</v>
      </c>
      <c r="BO66" s="16" t="str">
        <f t="shared" si="154"/>
        <v>4I</v>
      </c>
      <c r="BP66" s="16"/>
      <c r="BQ66" s="16"/>
      <c r="BR66" s="16">
        <f t="shared" ca="1" si="155"/>
        <v>0</v>
      </c>
      <c r="BS66" s="16">
        <f t="shared" ca="1" si="156"/>
        <v>10</v>
      </c>
      <c r="BT66" s="16" t="str">
        <f t="shared" ca="1" si="157"/>
        <v>Pos. 10 (3)</v>
      </c>
      <c r="BU66" s="16">
        <f t="shared" ca="1" si="158"/>
        <v>-3</v>
      </c>
      <c r="BV66" s="16">
        <f t="shared" ca="1" si="159"/>
        <v>12</v>
      </c>
      <c r="BW66" s="16" t="str">
        <f t="shared" ca="1" si="160"/>
        <v>-</v>
      </c>
      <c r="BX66" s="16" t="str">
        <f t="shared" ca="1" si="161"/>
        <v>-</v>
      </c>
      <c r="BY66" s="16">
        <f t="shared" ca="1" si="162"/>
        <v>12</v>
      </c>
      <c r="BZ66" s="16" t="str">
        <f t="shared" ca="1" si="163"/>
        <v>-</v>
      </c>
      <c r="CA66" s="16" t="str">
        <f t="shared" ca="1" si="164"/>
        <v>-</v>
      </c>
      <c r="CB66" s="16">
        <f t="shared" ca="1" si="165"/>
        <v>12</v>
      </c>
      <c r="CC66" s="16"/>
      <c r="CD66" s="16">
        <f t="shared" ca="1" si="166"/>
        <v>12</v>
      </c>
      <c r="CE66" s="16" t="str">
        <f t="shared" ca="1" si="167"/>
        <v>-</v>
      </c>
      <c r="CF66" s="16">
        <f t="shared" ca="1" si="168"/>
        <v>12</v>
      </c>
      <c r="DJ66" s="16">
        <f t="shared" ca="1" si="169"/>
        <v>9</v>
      </c>
      <c r="DK66" s="16"/>
      <c r="DL66" s="16">
        <f t="shared" ca="1" si="170"/>
        <v>1</v>
      </c>
      <c r="DM66" s="16" t="str">
        <f t="shared" ca="1" si="171"/>
        <v>9.1</v>
      </c>
      <c r="DN66" s="16">
        <f t="array" aca="1" ref="DN66" ca="1">OFFSET(Horarios!$P$3,DJ66-1,0,DL66,1)</f>
        <v>9</v>
      </c>
      <c r="DO66" s="16"/>
      <c r="DP66" s="16">
        <v>9</v>
      </c>
      <c r="DQ66" s="16" t="str">
        <f t="shared" ca="1" si="172"/>
        <v>Bosnia y Herzegovina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0</v>
      </c>
      <c r="BF67" s="16">
        <f t="shared" ca="1" si="150"/>
        <v>1</v>
      </c>
      <c r="BG67" s="16">
        <f t="shared" ca="1" si="174"/>
        <v>0</v>
      </c>
      <c r="BH67" s="16">
        <f t="shared" ca="1" si="175"/>
        <v>0</v>
      </c>
      <c r="BI67" s="16">
        <f t="shared" ca="1" si="176"/>
        <v>1</v>
      </c>
      <c r="BJ67" s="16">
        <f t="shared" ca="1" si="177"/>
        <v>1</v>
      </c>
      <c r="BK67" s="16">
        <f t="shared" ca="1" si="178"/>
        <v>3</v>
      </c>
      <c r="BL67" s="16">
        <f t="shared" ca="1" si="151"/>
        <v>-2</v>
      </c>
      <c r="BM67" s="16">
        <f t="shared" ca="1" si="152"/>
        <v>11</v>
      </c>
      <c r="BN67" s="16">
        <f t="shared" ca="1" si="153"/>
        <v>11</v>
      </c>
      <c r="BO67" s="16" t="str">
        <f t="shared" si="154"/>
        <v>4J</v>
      </c>
      <c r="BP67" s="16"/>
      <c r="BQ67" s="16"/>
      <c r="BR67" s="16">
        <f t="shared" ca="1" si="155"/>
        <v>0</v>
      </c>
      <c r="BS67" s="16">
        <f t="shared" ca="1" si="156"/>
        <v>10</v>
      </c>
      <c r="BT67" s="16" t="str">
        <f t="shared" ca="1" si="157"/>
        <v>Pos. 10 (3)</v>
      </c>
      <c r="BU67" s="16">
        <f t="shared" ca="1" si="158"/>
        <v>-2</v>
      </c>
      <c r="BV67" s="16">
        <f t="shared" ca="1" si="159"/>
        <v>11</v>
      </c>
      <c r="BW67" s="16" t="str">
        <f t="shared" ca="1" si="160"/>
        <v>-</v>
      </c>
      <c r="BX67" s="16" t="str">
        <f t="shared" ca="1" si="161"/>
        <v>-</v>
      </c>
      <c r="BY67" s="16">
        <f t="shared" ca="1" si="162"/>
        <v>11</v>
      </c>
      <c r="BZ67" s="16" t="str">
        <f t="shared" ca="1" si="163"/>
        <v>-</v>
      </c>
      <c r="CA67" s="16" t="str">
        <f t="shared" ca="1" si="164"/>
        <v>-</v>
      </c>
      <c r="CB67" s="16">
        <f t="shared" ca="1" si="165"/>
        <v>11</v>
      </c>
      <c r="CC67" s="16"/>
      <c r="CD67" s="16">
        <f t="shared" ca="1" si="166"/>
        <v>11</v>
      </c>
      <c r="CE67" s="16" t="str">
        <f t="shared" ca="1" si="167"/>
        <v>-</v>
      </c>
      <c r="CF67" s="16">
        <f t="shared" ca="1" si="168"/>
        <v>11</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Panamá</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1</v>
      </c>
      <c r="BG68" s="16">
        <f t="shared" ca="1" si="174"/>
        <v>0</v>
      </c>
      <c r="BH68" s="16">
        <f t="shared" ca="1" si="175"/>
        <v>1</v>
      </c>
      <c r="BI68" s="16">
        <f t="shared" ca="1" si="176"/>
        <v>0</v>
      </c>
      <c r="BJ68" s="16">
        <f t="shared" ca="1" si="177"/>
        <v>1</v>
      </c>
      <c r="BK68" s="16">
        <f t="shared" ca="1" si="178"/>
        <v>1</v>
      </c>
      <c r="BL68" s="16">
        <f t="shared" ca="1" si="151"/>
        <v>0</v>
      </c>
      <c r="BM68" s="16">
        <f t="shared" ca="1" si="152"/>
        <v>6</v>
      </c>
      <c r="BN68" s="16">
        <f t="shared" ca="1" si="153"/>
        <v>6</v>
      </c>
      <c r="BO68" s="16" t="str">
        <f t="shared" si="154"/>
        <v>4K</v>
      </c>
      <c r="BP68" s="16"/>
      <c r="BQ68" s="16"/>
      <c r="BR68" s="16">
        <f t="shared" ca="1" si="155"/>
        <v>1</v>
      </c>
      <c r="BS68" s="16">
        <f t="shared" ca="1" si="156"/>
        <v>6</v>
      </c>
      <c r="BT68" s="16" t="str">
        <f t="shared" ca="1" si="157"/>
        <v>Pos. 6 (4)</v>
      </c>
      <c r="BU68" s="16">
        <f t="shared" ca="1" si="158"/>
        <v>0</v>
      </c>
      <c r="BV68" s="16">
        <f t="shared" ca="1" si="159"/>
        <v>6</v>
      </c>
      <c r="BW68" s="16" t="str">
        <f t="shared" ca="1" si="160"/>
        <v>-</v>
      </c>
      <c r="BX68" s="16" t="str">
        <f t="shared" ca="1" si="161"/>
        <v>-</v>
      </c>
      <c r="BY68" s="16">
        <f t="shared" ca="1" si="162"/>
        <v>6</v>
      </c>
      <c r="BZ68" s="16" t="str">
        <f t="shared" ca="1" si="163"/>
        <v>-</v>
      </c>
      <c r="CA68" s="16" t="str">
        <f t="shared" ca="1" si="164"/>
        <v>-</v>
      </c>
      <c r="CB68" s="16">
        <f t="shared" ca="1" si="165"/>
        <v>6</v>
      </c>
      <c r="CC68" s="16"/>
      <c r="CD68" s="16">
        <f t="shared" ca="1" si="166"/>
        <v>6</v>
      </c>
      <c r="CE68" s="16" t="str">
        <f t="shared" ca="1" si="167"/>
        <v>-</v>
      </c>
      <c r="CF68" s="16">
        <f t="shared" ca="1" si="168"/>
        <v>6</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Jordania</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0</v>
      </c>
      <c r="BF69" s="16">
        <f t="shared" ca="1" si="150"/>
        <v>1</v>
      </c>
      <c r="BG69" s="16">
        <f t="shared" ca="1" si="174"/>
        <v>0</v>
      </c>
      <c r="BH69" s="16">
        <f t="shared" ca="1" si="175"/>
        <v>0</v>
      </c>
      <c r="BI69" s="16">
        <f t="shared" ca="1" si="176"/>
        <v>1</v>
      </c>
      <c r="BJ69" s="16">
        <f t="shared" ca="1" si="177"/>
        <v>0</v>
      </c>
      <c r="BK69" s="16">
        <f t="shared" ca="1" si="178"/>
        <v>1</v>
      </c>
      <c r="BL69" s="16">
        <f t="shared" ca="1" si="151"/>
        <v>-1</v>
      </c>
      <c r="BM69" s="16">
        <f t="shared" ca="1" si="152"/>
        <v>10</v>
      </c>
      <c r="BN69" s="16">
        <f t="shared" ca="1" si="153"/>
        <v>10</v>
      </c>
      <c r="BO69" s="16" t="str">
        <f t="shared" si="154"/>
        <v>4L</v>
      </c>
      <c r="BP69" s="16"/>
      <c r="BQ69" s="16"/>
      <c r="BR69" s="16">
        <f t="shared" ca="1" si="155"/>
        <v>0</v>
      </c>
      <c r="BS69" s="16">
        <f t="shared" ca="1" si="156"/>
        <v>10</v>
      </c>
      <c r="BT69" s="16" t="str">
        <f t="shared" ca="1" si="157"/>
        <v>Pos. 10 (3)</v>
      </c>
      <c r="BU69" s="16">
        <f t="shared" ca="1" si="158"/>
        <v>-1</v>
      </c>
      <c r="BV69" s="16">
        <f t="shared" ca="1" si="159"/>
        <v>10</v>
      </c>
      <c r="BW69" s="16" t="str">
        <f t="shared" ca="1" si="160"/>
        <v>-</v>
      </c>
      <c r="BX69" s="16" t="str">
        <f t="shared" ca="1" si="161"/>
        <v>-</v>
      </c>
      <c r="BY69" s="16">
        <f t="shared" ca="1" si="162"/>
        <v>10</v>
      </c>
      <c r="BZ69" s="16" t="str">
        <f t="shared" ca="1" si="163"/>
        <v>-</v>
      </c>
      <c r="CA69" s="16" t="str">
        <f t="shared" ca="1" si="164"/>
        <v>-</v>
      </c>
      <c r="CB69" s="16">
        <f t="shared" ca="1" si="165"/>
        <v>10</v>
      </c>
      <c r="CC69" s="16"/>
      <c r="CD69" s="16">
        <f t="shared" ca="1" si="166"/>
        <v>10</v>
      </c>
      <c r="CE69" s="16" t="str">
        <f t="shared" ca="1" si="167"/>
        <v>-</v>
      </c>
      <c r="CF69" s="16">
        <f t="shared" ca="1" si="168"/>
        <v>10</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Senegal</v>
      </c>
    </row>
    <row r="70" spans="1:121" ht="16" customHeight="1" x14ac:dyDescent="0.2">
      <c r="A70" s="16" t="str">
        <f ca="1">+Equipos!B35</f>
        <v>Senegal</v>
      </c>
      <c r="B70" s="16"/>
      <c r="C70" s="16"/>
      <c r="D70" s="16" t="str">
        <f t="shared" si="196"/>
        <v>Local</v>
      </c>
      <c r="E70" s="16" t="str">
        <f t="shared" ca="1" si="197"/>
        <v>P.1 (2)</v>
      </c>
      <c r="F70" s="16" t="str">
        <f t="shared" ca="1" si="198"/>
        <v>P.3 (2)</v>
      </c>
      <c r="G70" s="16"/>
      <c r="H70" s="16" t="str">
        <f t="shared" ca="1" si="199"/>
        <v>P.1 (2)</v>
      </c>
      <c r="I70" s="16" t="str">
        <f t="shared" ca="1" si="200"/>
        <v>P.3 (2)</v>
      </c>
      <c r="J70" s="16"/>
      <c r="K70" s="16" t="str">
        <f t="shared" ca="1" si="201"/>
        <v>P.1 (2)</v>
      </c>
      <c r="L70" s="16" t="str">
        <f t="shared" ca="1" si="202"/>
        <v>P.3 (2)</v>
      </c>
      <c r="M70" s="16"/>
      <c r="N70" s="16" t="str">
        <f t="shared" ca="1" si="203"/>
        <v>P.1 (2)</v>
      </c>
      <c r="O70" s="16" t="str">
        <f t="shared" ca="1" si="204"/>
        <v>P.3 (2)</v>
      </c>
      <c r="P70" s="16"/>
      <c r="Q70" s="16" t="str">
        <f t="shared" ca="1" si="205"/>
        <v>P.1 (2)</v>
      </c>
      <c r="R70" s="16" t="str">
        <f t="shared" ca="1" si="206"/>
        <v>P.3 (2)</v>
      </c>
      <c r="S70" s="16"/>
      <c r="T70" s="16" t="str">
        <f t="shared" ca="1" si="207"/>
        <v>P.1 (2)</v>
      </c>
      <c r="U70" s="16" t="str">
        <f t="shared" ca="1" si="208"/>
        <v>P.3 (2)</v>
      </c>
      <c r="V70" s="17"/>
      <c r="W70" s="62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6</v>
      </c>
      <c r="AN70" s="36">
        <f t="shared" ca="1" si="211"/>
        <v>2</v>
      </c>
      <c r="AO70" s="36">
        <f t="shared" ca="1" si="211"/>
        <v>2</v>
      </c>
      <c r="AP70" s="36">
        <f t="shared" ca="1" si="211"/>
        <v>0</v>
      </c>
      <c r="AQ70" s="36">
        <f t="shared" ca="1" si="211"/>
        <v>0</v>
      </c>
      <c r="AR70" s="36">
        <f t="shared" ca="1" si="211"/>
        <v>6</v>
      </c>
      <c r="AS70" s="36">
        <f t="shared" ca="1" si="211"/>
        <v>1</v>
      </c>
      <c r="AT70" s="41">
        <f t="shared" ca="1" si="211"/>
        <v>5</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P.1 (2)</v>
      </c>
      <c r="F71" s="16" t="str">
        <f t="shared" ca="1" si="198"/>
        <v>P.3 (2)</v>
      </c>
      <c r="G71" s="16"/>
      <c r="H71" s="16" t="str">
        <f t="shared" ca="1" si="199"/>
        <v>P.1 (2)</v>
      </c>
      <c r="I71" s="16" t="str">
        <f t="shared" ca="1" si="200"/>
        <v>P.3 (2)</v>
      </c>
      <c r="J71" s="16"/>
      <c r="K71" s="16" t="str">
        <f t="shared" ca="1" si="201"/>
        <v>P.1 (2)</v>
      </c>
      <c r="L71" s="16" t="str">
        <f t="shared" ca="1" si="202"/>
        <v>P.3 (2)</v>
      </c>
      <c r="M71" s="16"/>
      <c r="N71" s="16" t="str">
        <f t="shared" ca="1" si="203"/>
        <v>P.1 (2)</v>
      </c>
      <c r="O71" s="16" t="str">
        <f t="shared" ca="1" si="204"/>
        <v>P.3 (2)</v>
      </c>
      <c r="P71" s="16"/>
      <c r="Q71" s="16" t="str">
        <f t="shared" ca="1" si="205"/>
        <v>P.1 (2)</v>
      </c>
      <c r="R71" s="16" t="str">
        <f t="shared" ca="1" si="206"/>
        <v>P.3 (2)</v>
      </c>
      <c r="S71" s="16"/>
      <c r="T71" s="16" t="str">
        <f t="shared" ca="1" si="207"/>
        <v>P.1 (2)</v>
      </c>
      <c r="U71" s="16" t="str">
        <f t="shared" ca="1" si="208"/>
        <v>P.3 (2)</v>
      </c>
      <c r="V71" s="17"/>
      <c r="W71" s="620"/>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2</v>
      </c>
      <c r="AO71" s="39">
        <f t="shared" ca="1" si="211"/>
        <v>2</v>
      </c>
      <c r="AP71" s="39">
        <f t="shared" ca="1" si="211"/>
        <v>0</v>
      </c>
      <c r="AQ71" s="39">
        <f t="shared" ca="1" si="211"/>
        <v>0</v>
      </c>
      <c r="AR71" s="39">
        <f t="shared" ca="1" si="211"/>
        <v>7</v>
      </c>
      <c r="AS71" s="39">
        <f t="shared" ca="1" si="211"/>
        <v>3</v>
      </c>
      <c r="AT71" s="43">
        <f t="shared" ca="1" si="211"/>
        <v>4</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2</v>
      </c>
      <c r="AO72" s="39">
        <f t="shared" ca="1" si="211"/>
        <v>0</v>
      </c>
      <c r="AP72" s="39">
        <f t="shared" ca="1" si="211"/>
        <v>0</v>
      </c>
      <c r="AQ72" s="39">
        <f t="shared" ca="1" si="211"/>
        <v>2</v>
      </c>
      <c r="AR72" s="39">
        <f t="shared" ca="1" si="211"/>
        <v>3</v>
      </c>
      <c r="AS72" s="39">
        <f t="shared" ca="1" si="211"/>
        <v>6</v>
      </c>
      <c r="AT72" s="43">
        <f t="shared" ca="1" si="211"/>
        <v>-3</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2</v>
      </c>
      <c r="AO73" s="47">
        <f t="shared" ca="1" si="211"/>
        <v>0</v>
      </c>
      <c r="AP73" s="47">
        <f t="shared" ca="1" si="211"/>
        <v>0</v>
      </c>
      <c r="AQ73" s="47">
        <f t="shared" ca="1" si="211"/>
        <v>2</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P.3 (2)</v>
      </c>
      <c r="G76" s="16"/>
      <c r="H76" s="16" t="str">
        <f t="shared" ref="H76:H81" ca="1" si="215">IF(D76="Pendiente","-",INDEX($BZ$6:$BZ$53,MATCH($AA76,$BD$6:$BD$53,0)))</f>
        <v>-</v>
      </c>
      <c r="I76" s="16" t="str">
        <f t="shared" ref="I76:I81" ca="1" si="216">IF(D76="Pendiente","-",INDEX($BZ$6:$BZ$53,MATCH($AF76,$BD$6:$BD$53,0)))</f>
        <v>P.3 (2)</v>
      </c>
      <c r="J76" s="16"/>
      <c r="K76" s="16" t="str">
        <f t="shared" ref="K76:K81" ca="1" si="217">IF(D76="Pendiente","-",INDEX($CE$6:$CE$53,MATCH($AA76,$BD$6:$BD$53,0)))</f>
        <v>-</v>
      </c>
      <c r="L76" s="16" t="str">
        <f t="shared" ref="L76:L81" ca="1" si="218">IF(D76="Pendiente","-",INDEX($CE$6:$CE$53,MATCH($AF76,$BD$6:$BD$53,0)))</f>
        <v>P.3 (2)</v>
      </c>
      <c r="M76" s="16"/>
      <c r="N76" s="16" t="str">
        <f t="shared" ref="N76:N81" ca="1" si="219">IF(D76="Pendiente","-",INDEX($CH$6:$CH$53,MATCH($AA76,$BD$6:$BD$53,0)))</f>
        <v>-</v>
      </c>
      <c r="O76" s="16" t="str">
        <f t="shared" ref="O76:O81" ca="1" si="220">IF(D76="Pendiente","-",INDEX($CH$6:$CH$53,MATCH($AF76,$BD$6:$BD$53,0)))</f>
        <v>P.3 (2)</v>
      </c>
      <c r="P76" s="16"/>
      <c r="Q76" s="16" t="str">
        <f t="shared" ref="Q76:Q81" ca="1" si="221">IF(D76="Pendiente","-",INDEX($CN$6:$CN$53,MATCH($AA76,$BD$6:$BD$53,0)))</f>
        <v>-</v>
      </c>
      <c r="R76" s="16" t="str">
        <f t="shared" ref="R76:R81" ca="1" si="222">IF(D76="Pendiente","-",INDEX($CN$6:$CN$53,MATCH($AF76,$BD$6:$BD$53,0)))</f>
        <v>P.3 (2)</v>
      </c>
      <c r="S76" s="16"/>
      <c r="T76" s="16" t="str">
        <f t="shared" ref="T76:T81" ca="1" si="223">IF(D76="Pendiente","-",INDEX($CS$6:$CS$53,MATCH($AA76,$BD$6:$BD$53,0)))</f>
        <v>-</v>
      </c>
      <c r="U76" s="16" t="str">
        <f t="shared" ref="U76:U81" ca="1" si="224">IF(D76="Pendiente","-",INDEX($CS$6:$CS$53,MATCH($AF76,$BD$6:$BD$53,0)))</f>
        <v>P.3 (2)</v>
      </c>
      <c r="V76" s="17"/>
      <c r="W76" s="61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P.3 (2)</v>
      </c>
      <c r="G77" s="16"/>
      <c r="H77" s="16" t="str">
        <f t="shared" ca="1" si="215"/>
        <v>-</v>
      </c>
      <c r="I77" s="16" t="str">
        <f t="shared" ca="1" si="216"/>
        <v>P.3 (2)</v>
      </c>
      <c r="J77" s="16"/>
      <c r="K77" s="16" t="str">
        <f t="shared" ca="1" si="217"/>
        <v>-</v>
      </c>
      <c r="L77" s="16" t="str">
        <f t="shared" ca="1" si="218"/>
        <v>P.3 (2)</v>
      </c>
      <c r="M77" s="16"/>
      <c r="N77" s="16" t="str">
        <f t="shared" ca="1" si="219"/>
        <v>-</v>
      </c>
      <c r="O77" s="16" t="str">
        <f t="shared" ca="1" si="220"/>
        <v>P.3 (2)</v>
      </c>
      <c r="P77" s="16"/>
      <c r="Q77" s="16" t="str">
        <f t="shared" ca="1" si="221"/>
        <v>-</v>
      </c>
      <c r="R77" s="16" t="str">
        <f t="shared" ca="1" si="222"/>
        <v>P.3 (2)</v>
      </c>
      <c r="S77" s="16"/>
      <c r="T77" s="16" t="str">
        <f t="shared" ca="1" si="223"/>
        <v>-</v>
      </c>
      <c r="U77" s="16" t="str">
        <f t="shared" ca="1" si="224"/>
        <v>P.3 (2)</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6</v>
      </c>
      <c r="AN78" s="36">
        <f t="shared" ca="1" si="227"/>
        <v>2</v>
      </c>
      <c r="AO78" s="36">
        <f t="shared" ca="1" si="227"/>
        <v>2</v>
      </c>
      <c r="AP78" s="36">
        <f t="shared" ca="1" si="227"/>
        <v>0</v>
      </c>
      <c r="AQ78" s="36">
        <f t="shared" ca="1" si="227"/>
        <v>0</v>
      </c>
      <c r="AR78" s="36">
        <f t="shared" ca="1" si="227"/>
        <v>5</v>
      </c>
      <c r="AS78" s="36">
        <f t="shared" ca="1" si="227"/>
        <v>0</v>
      </c>
      <c r="AT78" s="41">
        <f t="shared" ca="1" si="227"/>
        <v>5</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0"/>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2</v>
      </c>
      <c r="AO79" s="39">
        <f t="shared" ca="1" si="227"/>
        <v>1</v>
      </c>
      <c r="AP79" s="39">
        <f t="shared" ca="1" si="227"/>
        <v>0</v>
      </c>
      <c r="AQ79" s="39">
        <f t="shared" ca="1" si="227"/>
        <v>1</v>
      </c>
      <c r="AR79" s="39">
        <f t="shared" ca="1" si="227"/>
        <v>3</v>
      </c>
      <c r="AS79" s="39">
        <f t="shared" ca="1" si="227"/>
        <v>3</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Jordania</v>
      </c>
      <c r="AM80" s="38">
        <f t="shared" ca="1" si="227"/>
        <v>0</v>
      </c>
      <c r="AN80" s="39">
        <f t="shared" ca="1" si="227"/>
        <v>1</v>
      </c>
      <c r="AO80" s="39">
        <f t="shared" ca="1" si="227"/>
        <v>0</v>
      </c>
      <c r="AP80" s="39">
        <f t="shared" ca="1" si="227"/>
        <v>0</v>
      </c>
      <c r="AQ80" s="39">
        <f t="shared" ca="1" si="227"/>
        <v>1</v>
      </c>
      <c r="AR80" s="39">
        <f t="shared" ca="1" si="227"/>
        <v>1</v>
      </c>
      <c r="AS80" s="39">
        <f t="shared" ca="1" si="227"/>
        <v>3</v>
      </c>
      <c r="AT80" s="43">
        <f t="shared" ca="1" si="227"/>
        <v>-2</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1</v>
      </c>
      <c r="AO81" s="47">
        <f t="shared" ca="1" si="227"/>
        <v>0</v>
      </c>
      <c r="AP81" s="47">
        <f t="shared" ca="1" si="227"/>
        <v>0</v>
      </c>
      <c r="AQ81" s="47">
        <f t="shared" ca="1" si="227"/>
        <v>1</v>
      </c>
      <c r="AR81" s="47">
        <f t="shared" ca="1" si="227"/>
        <v>0</v>
      </c>
      <c r="AS81" s="47">
        <f t="shared" ca="1" si="227"/>
        <v>3</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P.2 (2)</v>
      </c>
      <c r="F84" s="16" t="str">
        <f t="shared" ref="F84:F89" ca="1" si="230">IF(D84="Pendiente","-",INDEX($BT$6:$BT$53,MATCH($AF84,$BD$6:$BD$53,0)))</f>
        <v>P.2 (2)</v>
      </c>
      <c r="G84" s="16"/>
      <c r="H84" s="16" t="str">
        <f t="shared" ref="H84:H89" ca="1" si="231">IF(D84="Pendiente","-",INDEX($BZ$6:$BZ$53,MATCH($AA84,$BD$6:$BD$53,0)))</f>
        <v>P.2 (2)</v>
      </c>
      <c r="I84" s="16" t="str">
        <f t="shared" ref="I84:I89" ca="1" si="232">IF(D84="Pendiente","-",INDEX($BZ$6:$BZ$53,MATCH($AF84,$BD$6:$BD$53,0)))</f>
        <v>P.2 (2)</v>
      </c>
      <c r="J84" s="16"/>
      <c r="K84" s="16" t="str">
        <f t="shared" ref="K84:K89" ca="1" si="233">IF(D84="Pendiente","-",INDEX($CE$6:$CE$53,MATCH($AA84,$BD$6:$BD$53,0)))</f>
        <v>P.2 (2)</v>
      </c>
      <c r="L84" s="16" t="str">
        <f t="shared" ref="L84:L89" ca="1" si="234">IF(D84="Pendiente","-",INDEX($CE$6:$CE$53,MATCH($AF84,$BD$6:$BD$53,0)))</f>
        <v>P.2 (2)</v>
      </c>
      <c r="M84" s="16"/>
      <c r="N84" s="16" t="str">
        <f t="shared" ref="N84:N89" ca="1" si="235">IF(D84="Pendiente","-",INDEX($CH$6:$CH$53,MATCH($AA84,$BD$6:$BD$53,0)))</f>
        <v>P.2 (2)</v>
      </c>
      <c r="O84" s="16" t="str">
        <f t="shared" ref="O84:O89" ca="1" si="236">IF(D84="Pendiente","-",INDEX($CH$6:$CH$53,MATCH($AF84,$BD$6:$BD$53,0)))</f>
        <v>P.2 (2)</v>
      </c>
      <c r="P84" s="16"/>
      <c r="Q84" s="16" t="str">
        <f t="shared" ref="Q84:Q89" ca="1" si="237">IF(D84="Pendiente","-",INDEX($CN$6:$CN$53,MATCH($AA84,$BD$6:$BD$53,0)))</f>
        <v>P.2 (2)</v>
      </c>
      <c r="R84" s="16" t="str">
        <f t="shared" ref="R84:R89" ca="1" si="238">IF(D84="Pendiente","-",INDEX($CN$6:$CN$53,MATCH($AF84,$BD$6:$BD$53,0)))</f>
        <v>P.2 (2)</v>
      </c>
      <c r="S84" s="16"/>
      <c r="T84" s="16" t="str">
        <f t="shared" ref="T84:T89" ca="1" si="239">IF(D84="Pendiente","-",INDEX($CS$6:$CS$53,MATCH($AA84,$BD$6:$BD$53,0)))</f>
        <v>P.2 (2)</v>
      </c>
      <c r="U84" s="16" t="str">
        <f t="shared" ref="U84:U89" ca="1" si="240">IF(D84="Pendiente","-",INDEX($CS$6:$CS$53,MATCH($AF84,$BD$6:$BD$53,0)))</f>
        <v>P.2 (2)</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3</v>
      </c>
      <c r="AN86" s="36">
        <f t="shared" ca="1" si="243"/>
        <v>1</v>
      </c>
      <c r="AO86" s="36">
        <f t="shared" ca="1" si="243"/>
        <v>1</v>
      </c>
      <c r="AP86" s="36">
        <f t="shared" ca="1" si="243"/>
        <v>0</v>
      </c>
      <c r="AQ86" s="36">
        <f t="shared" ca="1" si="243"/>
        <v>0</v>
      </c>
      <c r="AR86" s="36">
        <f t="shared" ca="1" si="243"/>
        <v>3</v>
      </c>
      <c r="AS86" s="36">
        <f t="shared" ca="1" si="243"/>
        <v>1</v>
      </c>
      <c r="AT86" s="41">
        <f t="shared" ca="1" si="243"/>
        <v>2</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Portugal</v>
      </c>
      <c r="AM87" s="38">
        <f t="shared" ca="1" si="243"/>
        <v>1</v>
      </c>
      <c r="AN87" s="39">
        <f t="shared" ca="1" si="243"/>
        <v>1</v>
      </c>
      <c r="AO87" s="39">
        <f t="shared" ca="1" si="243"/>
        <v>0</v>
      </c>
      <c r="AP87" s="39">
        <f t="shared" ca="1" si="243"/>
        <v>1</v>
      </c>
      <c r="AQ87" s="39">
        <f t="shared" ca="1" si="243"/>
        <v>0</v>
      </c>
      <c r="AR87" s="39">
        <f t="shared" ca="1" si="243"/>
        <v>1</v>
      </c>
      <c r="AS87" s="39">
        <f t="shared" ca="1" si="243"/>
        <v>1</v>
      </c>
      <c r="AT87" s="43">
        <f t="shared" ca="1" si="243"/>
        <v>0</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1</v>
      </c>
      <c r="AO88" s="39">
        <f t="shared" ca="1" si="243"/>
        <v>0</v>
      </c>
      <c r="AP88" s="39">
        <f t="shared" ca="1" si="243"/>
        <v>1</v>
      </c>
      <c r="AQ88" s="39">
        <f t="shared" ca="1" si="243"/>
        <v>0</v>
      </c>
      <c r="AR88" s="39">
        <f t="shared" ca="1" si="243"/>
        <v>1</v>
      </c>
      <c r="AS88" s="39">
        <f t="shared" ca="1" si="243"/>
        <v>1</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1</v>
      </c>
      <c r="AO89" s="47">
        <f t="shared" ca="1" si="243"/>
        <v>0</v>
      </c>
      <c r="AP89" s="47">
        <f t="shared" ca="1" si="243"/>
        <v>0</v>
      </c>
      <c r="AQ89" s="47">
        <f t="shared" ca="1" si="243"/>
        <v>1</v>
      </c>
      <c r="AR89" s="47">
        <f t="shared" ca="1" si="243"/>
        <v>1</v>
      </c>
      <c r="AS89" s="47">
        <f t="shared" ca="1" si="243"/>
        <v>3</v>
      </c>
      <c r="AT89" s="48">
        <f t="shared" ca="1" si="243"/>
        <v>-2</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P.3 (2)</v>
      </c>
      <c r="G92" s="16"/>
      <c r="H92" s="16" t="str">
        <f t="shared" ref="H92:H97" ca="1" si="247">IF(D92="Pendiente","-",INDEX($BZ$6:$BZ$53,MATCH($AA92,$BD$6:$BD$53,0)))</f>
        <v>P.1 (2)</v>
      </c>
      <c r="I92" s="16" t="str">
        <f t="shared" ref="I92:I97" ca="1" si="248">IF(D92="Pendiente","-",INDEX($BZ$6:$BZ$53,MATCH($AF92,$BD$6:$BD$53,0)))</f>
        <v>P.3 (2)</v>
      </c>
      <c r="J92" s="16"/>
      <c r="K92" s="16" t="str">
        <f t="shared" ref="K92:K97" ca="1" si="249">IF(D92="Pendiente","-",INDEX($CE$6:$CE$53,MATCH($AA92,$BD$6:$BD$53,0)))</f>
        <v>P.1 (2)</v>
      </c>
      <c r="L92" s="16" t="str">
        <f t="shared" ref="L92:L97" ca="1" si="250">IF(D92="Pendiente","-",INDEX($CE$6:$CE$53,MATCH($AF92,$BD$6:$BD$53,0)))</f>
        <v>P.3 (2)</v>
      </c>
      <c r="M92" s="16"/>
      <c r="N92" s="16" t="str">
        <f t="shared" ref="N92:N97" ca="1" si="251">IF(D92="Pendiente","-",INDEX($CH$6:$CH$53,MATCH($AA92,$BD$6:$BD$53,0)))</f>
        <v>P.1 (2)</v>
      </c>
      <c r="O92" s="16" t="str">
        <f t="shared" ref="O92:O97" ca="1" si="252">IF(D92="Pendiente","-",INDEX($CH$6:$CH$53,MATCH($AF92,$BD$6:$BD$53,0)))</f>
        <v>P.3 (2)</v>
      </c>
      <c r="P92" s="16"/>
      <c r="Q92" s="16" t="str">
        <f t="shared" ref="Q92:Q97" ca="1" si="253">IF(D92="Pendiente","-",INDEX($CN$6:$CN$53,MATCH($AA92,$BD$6:$BD$53,0)))</f>
        <v>P.1 (2)</v>
      </c>
      <c r="R92" s="16" t="str">
        <f t="shared" ref="R92:R97" ca="1" si="254">IF(D92="Pendiente","-",INDEX($CN$6:$CN$53,MATCH($AF92,$BD$6:$BD$53,0)))</f>
        <v>P.3 (2)</v>
      </c>
      <c r="S92" s="16"/>
      <c r="T92" s="16" t="str">
        <f t="shared" ref="T92:T97" ca="1" si="255">IF(D92="Pendiente","-",INDEX($CS$6:$CS$53,MATCH($AA92,$BD$6:$BD$53,0)))</f>
        <v>P.1 (2)</v>
      </c>
      <c r="U92" s="16" t="str">
        <f t="shared" ref="U92:U97" ca="1" si="256">IF(D92="Pendiente","-",INDEX($CS$6:$CS$53,MATCH($AF92,$BD$6:$BD$53,0)))</f>
        <v>P.3 (2)</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P.3 (2)</v>
      </c>
      <c r="G93" s="16"/>
      <c r="H93" s="16" t="str">
        <f t="shared" ca="1" si="247"/>
        <v>P.1 (2)</v>
      </c>
      <c r="I93" s="16" t="str">
        <f t="shared" ca="1" si="248"/>
        <v>P.3 (2)</v>
      </c>
      <c r="J93" s="16"/>
      <c r="K93" s="16" t="str">
        <f t="shared" ca="1" si="249"/>
        <v>P.1 (2)</v>
      </c>
      <c r="L93" s="16" t="str">
        <f t="shared" ca="1" si="250"/>
        <v>P.3 (2)</v>
      </c>
      <c r="M93" s="16"/>
      <c r="N93" s="16" t="str">
        <f t="shared" ca="1" si="251"/>
        <v>P.1 (2)</v>
      </c>
      <c r="O93" s="16" t="str">
        <f t="shared" ca="1" si="252"/>
        <v>P.3 (2)</v>
      </c>
      <c r="P93" s="16"/>
      <c r="Q93" s="16" t="str">
        <f t="shared" ca="1" si="253"/>
        <v>P.1 (2)</v>
      </c>
      <c r="R93" s="16" t="str">
        <f t="shared" ca="1" si="254"/>
        <v>P.3 (2)</v>
      </c>
      <c r="S93" s="16"/>
      <c r="T93" s="16" t="str">
        <f t="shared" ca="1" si="255"/>
        <v>P.1 (2)</v>
      </c>
      <c r="U93" s="16" t="str">
        <f t="shared" ca="1" si="256"/>
        <v>P.3 (2)</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3</v>
      </c>
      <c r="AN94" s="36">
        <f t="shared" ca="1" si="259"/>
        <v>1</v>
      </c>
      <c r="AO94" s="36">
        <f t="shared" ca="1" si="259"/>
        <v>1</v>
      </c>
      <c r="AP94" s="36">
        <f t="shared" ca="1" si="259"/>
        <v>0</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Ghana</v>
      </c>
      <c r="AM95" s="38">
        <f t="shared" ca="1" si="259"/>
        <v>3</v>
      </c>
      <c r="AN95" s="39">
        <f t="shared" ca="1" si="259"/>
        <v>1</v>
      </c>
      <c r="AO95" s="39">
        <f t="shared" ca="1" si="259"/>
        <v>1</v>
      </c>
      <c r="AP95" s="39">
        <f t="shared" ca="1" si="259"/>
        <v>0</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Panamá</v>
      </c>
      <c r="AM96" s="38">
        <f t="shared" ca="1" si="259"/>
        <v>0</v>
      </c>
      <c r="AN96" s="39">
        <f t="shared" ca="1" si="259"/>
        <v>1</v>
      </c>
      <c r="AO96" s="39">
        <f t="shared" ca="1" si="259"/>
        <v>0</v>
      </c>
      <c r="AP96" s="39">
        <f t="shared" ca="1" si="259"/>
        <v>0</v>
      </c>
      <c r="AQ96" s="39">
        <f t="shared" ca="1" si="259"/>
        <v>1</v>
      </c>
      <c r="AR96" s="39">
        <f t="shared" ca="1" si="259"/>
        <v>0</v>
      </c>
      <c r="AS96" s="39">
        <f t="shared" ca="1" si="259"/>
        <v>1</v>
      </c>
      <c r="AT96" s="43">
        <f t="shared" ca="1" si="259"/>
        <v>-1</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Croacia</v>
      </c>
      <c r="AM97" s="46">
        <f t="shared" ca="1" si="259"/>
        <v>0</v>
      </c>
      <c r="AN97" s="47">
        <f t="shared" ca="1" si="259"/>
        <v>1</v>
      </c>
      <c r="AO97" s="47">
        <f t="shared" ca="1" si="259"/>
        <v>0</v>
      </c>
      <c r="AP97" s="47">
        <f t="shared" ca="1" si="259"/>
        <v>0</v>
      </c>
      <c r="AQ97" s="47">
        <f t="shared" ca="1" si="259"/>
        <v>1</v>
      </c>
      <c r="AR97" s="47">
        <f t="shared" ca="1" si="259"/>
        <v>2</v>
      </c>
      <c r="AS97" s="47">
        <f t="shared" ca="1" si="259"/>
        <v>4</v>
      </c>
      <c r="AT97" s="48">
        <f t="shared" ca="1" si="259"/>
        <v>-2</v>
      </c>
      <c r="AU97" s="323">
        <f ca="1">INDEX($DL$6:$DL$53,MATCH(AI97,$DP$6:$DP$53,0))</f>
        <v>1</v>
      </c>
      <c r="AV97" s="182" t="str">
        <f ca="1">INDEX($BD$6:$BD$53,MATCH(AI97,$BM$6:$BM$53,0))</f>
        <v>Croacia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8</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ACDEFGHK</v>
      </c>
      <c r="BA101" s="176"/>
    </row>
    <row r="102" spans="1:62" ht="16" customHeight="1" x14ac:dyDescent="0.2">
      <c r="A102" s="16" t="s">
        <v>88</v>
      </c>
      <c r="B102" s="16" t="s">
        <v>141</v>
      </c>
      <c r="C102" s="16"/>
      <c r="D102" s="16" t="str">
        <f t="shared" si="260"/>
        <v>W76</v>
      </c>
      <c r="E102" s="16" t="s">
        <v>103</v>
      </c>
      <c r="F102" s="16" t="s">
        <v>142</v>
      </c>
      <c r="G102" s="16" t="s">
        <v>76</v>
      </c>
      <c r="H102" s="16">
        <f t="shared" ca="1" si="261"/>
        <v>8</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Suecia</v>
      </c>
      <c r="AM102" s="575">
        <f t="shared" ref="AM102:AT113" ca="1" si="269">+IF($H$113&gt;=48,INDEX($BE$58:$BN$69,MATCH($AL102,$BD$58:$BD$69,0),MATCH(AM$5,$BE$57:$BN$57,0)),$BB58)</f>
        <v>3</v>
      </c>
      <c r="AN102" s="82">
        <f t="shared" ca="1" si="269"/>
        <v>2</v>
      </c>
      <c r="AO102" s="82">
        <f t="shared" ca="1" si="269"/>
        <v>1</v>
      </c>
      <c r="AP102" s="82">
        <f t="shared" ca="1" si="269"/>
        <v>0</v>
      </c>
      <c r="AQ102" s="83">
        <f t="shared" ca="1" si="269"/>
        <v>1</v>
      </c>
      <c r="AR102" s="83">
        <f t="shared" ca="1" si="269"/>
        <v>6</v>
      </c>
      <c r="AS102" s="83">
        <f t="shared" ca="1" si="269"/>
        <v>6</v>
      </c>
      <c r="AT102" s="84">
        <f t="shared" ca="1" si="269"/>
        <v>0</v>
      </c>
      <c r="AU102" s="323" t="str">
        <f t="shared" ref="AU102:AU113" ca="1" si="270">IF($H$113=144,INDEX($DL$58:$DL$69,MATCH(AI102,$DP$58:$DP$69,0)),"")</f>
        <v/>
      </c>
      <c r="AV102" s="182" t="str">
        <f t="shared" ref="AV102:AV113" ca="1" si="271">INDEX($BD$58:$BD$69,MATCH(AI102,$BM$58:$BM$69,0))</f>
        <v>Suecia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8</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Escocia</v>
      </c>
      <c r="AM103" s="576">
        <f t="shared" ca="1" si="269"/>
        <v>3</v>
      </c>
      <c r="AN103" s="86">
        <f t="shared" ca="1" si="269"/>
        <v>2</v>
      </c>
      <c r="AO103" s="86">
        <f t="shared" ca="1" si="269"/>
        <v>1</v>
      </c>
      <c r="AP103" s="86">
        <f t="shared" ca="1" si="269"/>
        <v>0</v>
      </c>
      <c r="AQ103" s="86">
        <f t="shared" ca="1" si="269"/>
        <v>1</v>
      </c>
      <c r="AR103" s="86">
        <f t="shared" ca="1" si="269"/>
        <v>1</v>
      </c>
      <c r="AS103" s="86">
        <f t="shared" ca="1" si="269"/>
        <v>1</v>
      </c>
      <c r="AT103" s="87">
        <f t="shared" ca="1" si="269"/>
        <v>0</v>
      </c>
      <c r="AU103" s="323" t="str">
        <f t="shared" ca="1" si="270"/>
        <v/>
      </c>
      <c r="AV103" s="182" t="str">
        <f t="shared" ca="1" si="271"/>
        <v>Escocia</v>
      </c>
      <c r="AW103" s="215"/>
      <c r="AX103" s="170"/>
      <c r="AY103" s="270"/>
      <c r="AZ103" s="273" t="str">
        <f t="shared" ref="AZ103:AZ110" ca="1" si="272">+IF(OR($H$113&gt;=48,$AJ$99=144),BF117&amp;" - "&amp;BG117,"")</f>
        <v>1A - 3H</v>
      </c>
      <c r="BA103" s="176"/>
      <c r="BF103" t="str">
        <f t="shared" ref="BF103:BF110" ca="1" si="273">IFERROR(INDEX($BC$6:$BC$53,MATCH(AL102,$BD$6:$BD$53,0)),"")</f>
        <v>F</v>
      </c>
      <c r="BG103">
        <f t="shared" ref="BG103:BG110" ca="1" si="274">COUNTIF($BF$103:$BF$110,"&lt;="&amp;BF103)</f>
        <v>5</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8</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Paraguay</v>
      </c>
      <c r="AM104" s="576">
        <f t="shared" ca="1" si="269"/>
        <v>3</v>
      </c>
      <c r="AN104" s="86">
        <f t="shared" ca="1" si="269"/>
        <v>2</v>
      </c>
      <c r="AO104" s="86">
        <f t="shared" ca="1" si="269"/>
        <v>1</v>
      </c>
      <c r="AP104" s="86">
        <f t="shared" ca="1" si="269"/>
        <v>0</v>
      </c>
      <c r="AQ104" s="86">
        <f t="shared" ca="1" si="269"/>
        <v>1</v>
      </c>
      <c r="AR104" s="86">
        <f t="shared" ca="1" si="269"/>
        <v>2</v>
      </c>
      <c r="AS104" s="86">
        <f t="shared" ca="1" si="269"/>
        <v>4</v>
      </c>
      <c r="AT104" s="87">
        <f t="shared" ca="1" si="269"/>
        <v>-2</v>
      </c>
      <c r="AU104" s="323" t="str">
        <f t="shared" ca="1" si="270"/>
        <v/>
      </c>
      <c r="AV104" s="182" t="str">
        <f t="shared" ca="1" si="271"/>
        <v>Paraguay</v>
      </c>
      <c r="AW104" s="215"/>
      <c r="AX104" s="170"/>
      <c r="AY104" s="270"/>
      <c r="AZ104" s="273" t="str">
        <f t="shared" ca="1" si="272"/>
        <v>1B - 3G</v>
      </c>
      <c r="BA104" s="176"/>
      <c r="BF104" t="str">
        <f t="shared" ca="1" si="273"/>
        <v>C</v>
      </c>
      <c r="BG104">
        <f t="shared" ca="1" si="274"/>
        <v>2</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8</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Cabo Verde</v>
      </c>
      <c r="AM105" s="576">
        <f t="shared" ca="1" si="269"/>
        <v>2</v>
      </c>
      <c r="AN105" s="86">
        <f t="shared" ca="1" si="269"/>
        <v>2</v>
      </c>
      <c r="AO105" s="86">
        <f t="shared" ca="1" si="269"/>
        <v>0</v>
      </c>
      <c r="AP105" s="86">
        <f t="shared" ca="1" si="269"/>
        <v>2</v>
      </c>
      <c r="AQ105" s="86">
        <f t="shared" ca="1" si="269"/>
        <v>0</v>
      </c>
      <c r="AR105" s="86">
        <f t="shared" ca="1" si="269"/>
        <v>2</v>
      </c>
      <c r="AS105" s="86">
        <f t="shared" ca="1" si="269"/>
        <v>2</v>
      </c>
      <c r="AT105" s="87">
        <f t="shared" ca="1" si="269"/>
        <v>0</v>
      </c>
      <c r="AU105" s="323" t="str">
        <f t="shared" ca="1" si="270"/>
        <v/>
      </c>
      <c r="AV105" s="182" t="str">
        <f t="shared" ca="1" si="271"/>
        <v>Cabo Verde</v>
      </c>
      <c r="AW105" s="215"/>
      <c r="AX105" s="170"/>
      <c r="AY105" s="270"/>
      <c r="AZ105" s="273" t="str">
        <f t="shared" ca="1" si="272"/>
        <v>1D - 3E</v>
      </c>
      <c r="BA105" s="176"/>
      <c r="BF105" t="str">
        <f t="shared" ca="1" si="273"/>
        <v>D</v>
      </c>
      <c r="BG105">
        <f t="shared" ca="1" si="274"/>
        <v>3</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8</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Bélgica</v>
      </c>
      <c r="AM106" s="576">
        <f t="shared" ca="1" si="269"/>
        <v>2</v>
      </c>
      <c r="AN106" s="86">
        <f t="shared" ca="1" si="269"/>
        <v>2</v>
      </c>
      <c r="AO106" s="86">
        <f t="shared" ca="1" si="269"/>
        <v>0</v>
      </c>
      <c r="AP106" s="86">
        <f t="shared" ca="1" si="269"/>
        <v>2</v>
      </c>
      <c r="AQ106" s="86">
        <f t="shared" ca="1" si="269"/>
        <v>0</v>
      </c>
      <c r="AR106" s="86">
        <f t="shared" ca="1" si="269"/>
        <v>1</v>
      </c>
      <c r="AS106" s="86">
        <f t="shared" ca="1" si="269"/>
        <v>1</v>
      </c>
      <c r="AT106" s="87">
        <f t="shared" ca="1" si="269"/>
        <v>0</v>
      </c>
      <c r="AU106" s="323" t="str">
        <f t="shared" ca="1" si="270"/>
        <v/>
      </c>
      <c r="AV106" s="182" t="str">
        <f t="shared" ca="1" si="271"/>
        <v>Bélgica</v>
      </c>
      <c r="AW106" s="215"/>
      <c r="AX106" s="170"/>
      <c r="AY106" s="270"/>
      <c r="AZ106" s="273" t="str">
        <f t="shared" ca="1" si="272"/>
        <v>1E - 3C</v>
      </c>
      <c r="BA106" s="176"/>
      <c r="BF106" t="str">
        <f t="shared" ca="1" si="273"/>
        <v>H</v>
      </c>
      <c r="BG106">
        <f t="shared" ca="1" si="274"/>
        <v>7</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8</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RD Congo</v>
      </c>
      <c r="AM107" s="576">
        <f t="shared" ca="1" si="269"/>
        <v>1</v>
      </c>
      <c r="AN107" s="86">
        <f t="shared" ca="1" si="269"/>
        <v>1</v>
      </c>
      <c r="AO107" s="86">
        <f t="shared" ca="1" si="269"/>
        <v>0</v>
      </c>
      <c r="AP107" s="86">
        <f t="shared" ca="1" si="269"/>
        <v>1</v>
      </c>
      <c r="AQ107" s="86">
        <f t="shared" ca="1" si="269"/>
        <v>0</v>
      </c>
      <c r="AR107" s="86">
        <f t="shared" ca="1" si="269"/>
        <v>1</v>
      </c>
      <c r="AS107" s="86">
        <f t="shared" ca="1" si="269"/>
        <v>1</v>
      </c>
      <c r="AT107" s="87">
        <f t="shared" ca="1" si="269"/>
        <v>0</v>
      </c>
      <c r="AU107" s="323" t="str">
        <f t="shared" ca="1" si="270"/>
        <v/>
      </c>
      <c r="AV107" s="182" t="str">
        <f t="shared" ca="1" si="271"/>
        <v>RD Congo</v>
      </c>
      <c r="AW107" s="215"/>
      <c r="AX107" s="170"/>
      <c r="AY107" s="270"/>
      <c r="AZ107" s="273" t="str">
        <f t="shared" ca="1" si="272"/>
        <v>1G - 3A</v>
      </c>
      <c r="BA107" s="176"/>
      <c r="BF107" t="str">
        <f t="shared" ca="1" si="273"/>
        <v>G</v>
      </c>
      <c r="BG107">
        <f t="shared" ca="1" si="274"/>
        <v>6</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8</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República Checa</v>
      </c>
      <c r="AM108" s="576">
        <f t="shared" ca="1" si="269"/>
        <v>1</v>
      </c>
      <c r="AN108" s="86">
        <f t="shared" ca="1" si="269"/>
        <v>2</v>
      </c>
      <c r="AO108" s="86">
        <f t="shared" ca="1" si="269"/>
        <v>0</v>
      </c>
      <c r="AP108" s="86">
        <f t="shared" ca="1" si="269"/>
        <v>1</v>
      </c>
      <c r="AQ108" s="86">
        <f t="shared" ca="1" si="269"/>
        <v>1</v>
      </c>
      <c r="AR108" s="86">
        <f t="shared" ca="1" si="269"/>
        <v>2</v>
      </c>
      <c r="AS108" s="86">
        <f t="shared" ca="1" si="269"/>
        <v>3</v>
      </c>
      <c r="AT108" s="87">
        <f t="shared" ca="1" si="269"/>
        <v>-1</v>
      </c>
      <c r="AU108" s="323" t="str">
        <f t="shared" ca="1" si="270"/>
        <v/>
      </c>
      <c r="AV108" s="182" t="str">
        <f t="shared" ca="1" si="271"/>
        <v>República Checa</v>
      </c>
      <c r="AW108" s="215"/>
      <c r="AX108" s="170"/>
      <c r="AY108" s="270"/>
      <c r="AZ108" s="273" t="str">
        <f t="shared" ca="1" si="272"/>
        <v>1I - 3F</v>
      </c>
      <c r="BA108" s="176"/>
      <c r="BF108" t="str">
        <f t="shared" ca="1" si="273"/>
        <v>K</v>
      </c>
      <c r="BG108">
        <f t="shared" ca="1" si="274"/>
        <v>8</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8</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Ecuador</v>
      </c>
      <c r="AM109" s="576">
        <f t="shared" ca="1" si="269"/>
        <v>1</v>
      </c>
      <c r="AN109" s="86">
        <f t="shared" ca="1" si="269"/>
        <v>2</v>
      </c>
      <c r="AO109" s="86">
        <f t="shared" ca="1" si="269"/>
        <v>0</v>
      </c>
      <c r="AP109" s="86">
        <f t="shared" ca="1" si="269"/>
        <v>1</v>
      </c>
      <c r="AQ109" s="86">
        <f t="shared" ca="1" si="269"/>
        <v>1</v>
      </c>
      <c r="AR109" s="86">
        <f t="shared" ca="1" si="269"/>
        <v>0</v>
      </c>
      <c r="AS109" s="86">
        <f t="shared" ca="1" si="269"/>
        <v>1</v>
      </c>
      <c r="AT109" s="87">
        <f t="shared" ca="1" si="269"/>
        <v>-1</v>
      </c>
      <c r="AU109" s="323" t="str">
        <f t="shared" ca="1" si="270"/>
        <v/>
      </c>
      <c r="AV109" s="182" t="str">
        <f t="shared" ca="1" si="271"/>
        <v>Ecuador</v>
      </c>
      <c r="AW109" s="215"/>
      <c r="AX109" s="170"/>
      <c r="AY109" s="270"/>
      <c r="AZ109" s="273" t="str">
        <f t="shared" ca="1" si="272"/>
        <v>1K - 3D</v>
      </c>
      <c r="BA109" s="176"/>
      <c r="BF109" t="str">
        <f t="shared" ca="1" si="273"/>
        <v>A</v>
      </c>
      <c r="BG109">
        <f t="shared" ca="1" si="274"/>
        <v>1</v>
      </c>
      <c r="BI109">
        <v>7</v>
      </c>
      <c r="BJ109" t="str">
        <f t="shared" ca="1" si="275"/>
        <v>H</v>
      </c>
    </row>
    <row r="110" spans="1:62" ht="16" customHeight="1" x14ac:dyDescent="0.2">
      <c r="A110" s="16" t="s">
        <v>97</v>
      </c>
      <c r="B110" s="16" t="s">
        <v>159</v>
      </c>
      <c r="C110" s="16"/>
      <c r="D110" s="16" t="str">
        <f t="shared" si="260"/>
        <v>W81</v>
      </c>
      <c r="E110" s="16" t="s">
        <v>121</v>
      </c>
      <c r="F110" s="16" t="s">
        <v>142</v>
      </c>
      <c r="G110" s="16" t="s">
        <v>128</v>
      </c>
      <c r="H110" s="16">
        <f t="shared" ca="1" si="261"/>
        <v>6</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Bosnia y Herzegovina</v>
      </c>
      <c r="AM110" s="576">
        <f t="shared" ca="1" si="269"/>
        <v>1</v>
      </c>
      <c r="AN110" s="86">
        <f t="shared" ca="1" si="269"/>
        <v>2</v>
      </c>
      <c r="AO110" s="86">
        <f t="shared" ca="1" si="269"/>
        <v>0</v>
      </c>
      <c r="AP110" s="86">
        <f t="shared" ca="1" si="269"/>
        <v>1</v>
      </c>
      <c r="AQ110" s="86">
        <f t="shared" ca="1" si="269"/>
        <v>1</v>
      </c>
      <c r="AR110" s="86">
        <f t="shared" ca="1" si="269"/>
        <v>2</v>
      </c>
      <c r="AS110" s="86">
        <f t="shared" ca="1" si="269"/>
        <v>5</v>
      </c>
      <c r="AT110" s="87">
        <f t="shared" ca="1" si="269"/>
        <v>-3</v>
      </c>
      <c r="AU110" s="323" t="str">
        <f t="shared" ca="1" si="270"/>
        <v/>
      </c>
      <c r="AV110" s="182" t="str">
        <f t="shared" ca="1" si="271"/>
        <v>Bosnia y Herzegovina</v>
      </c>
      <c r="AW110" s="215"/>
      <c r="AX110" s="170"/>
      <c r="AY110" s="270"/>
      <c r="AZ110" s="273" t="str">
        <f t="shared" ca="1" si="272"/>
        <v>1L - 3K</v>
      </c>
      <c r="BA110" s="176"/>
      <c r="BF110" t="str">
        <f t="shared" ca="1" si="273"/>
        <v>E</v>
      </c>
      <c r="BG110">
        <f t="shared" ca="1" si="274"/>
        <v>4</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4</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Panamá</v>
      </c>
      <c r="AM111" s="576">
        <f t="shared" ca="1" si="269"/>
        <v>0</v>
      </c>
      <c r="AN111" s="86">
        <f t="shared" ca="1" si="269"/>
        <v>1</v>
      </c>
      <c r="AO111" s="86">
        <f t="shared" ca="1" si="269"/>
        <v>0</v>
      </c>
      <c r="AP111" s="86">
        <f t="shared" ca="1" si="269"/>
        <v>0</v>
      </c>
      <c r="AQ111" s="86">
        <f t="shared" ca="1" si="269"/>
        <v>1</v>
      </c>
      <c r="AR111" s="86">
        <f t="shared" ca="1" si="269"/>
        <v>0</v>
      </c>
      <c r="AS111" s="86">
        <f t="shared" ca="1" si="269"/>
        <v>1</v>
      </c>
      <c r="AT111" s="87">
        <f t="shared" ca="1" si="269"/>
        <v>-1</v>
      </c>
      <c r="AU111" s="323" t="str">
        <f t="shared" ca="1" si="270"/>
        <v/>
      </c>
      <c r="AV111" s="182" t="str">
        <f t="shared" ca="1" si="271"/>
        <v>Panamá</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4</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Jordania</v>
      </c>
      <c r="AM112" s="576">
        <f t="shared" ca="1" si="269"/>
        <v>0</v>
      </c>
      <c r="AN112" s="86">
        <f t="shared" ca="1" si="269"/>
        <v>1</v>
      </c>
      <c r="AO112" s="86">
        <f t="shared" ca="1" si="269"/>
        <v>0</v>
      </c>
      <c r="AP112" s="86">
        <f t="shared" ca="1" si="269"/>
        <v>0</v>
      </c>
      <c r="AQ112" s="86">
        <f t="shared" ca="1" si="269"/>
        <v>1</v>
      </c>
      <c r="AR112" s="86">
        <f t="shared" ca="1" si="269"/>
        <v>1</v>
      </c>
      <c r="AS112" s="86">
        <f t="shared" ca="1" si="269"/>
        <v>3</v>
      </c>
      <c r="AT112" s="87">
        <f t="shared" ca="1" si="269"/>
        <v>-2</v>
      </c>
      <c r="AU112" s="323" t="str">
        <f t="shared" ca="1" si="270"/>
        <v/>
      </c>
      <c r="AV112" s="182" t="str">
        <f t="shared" ca="1" si="271"/>
        <v>Jordania</v>
      </c>
      <c r="AW112" s="215"/>
      <c r="AX112" s="170"/>
      <c r="AY112" s="269"/>
      <c r="AZ112" s="269"/>
      <c r="BA112" s="176"/>
      <c r="BI112" t="str">
        <f ca="1">IFERROR(CONCATENATE(BJ103,BJ104,BJ105,BJ106,BJ107,BJ108,BJ109,BJ110),"¿A/B/C/D/E/F/G/H/I/J/K/L?")</f>
        <v>ACDEFGHK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86</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Senegal</v>
      </c>
      <c r="AM113" s="577">
        <f t="shared" ca="1" si="269"/>
        <v>0</v>
      </c>
      <c r="AN113" s="47">
        <f t="shared" ca="1" si="269"/>
        <v>2</v>
      </c>
      <c r="AO113" s="47">
        <f t="shared" ca="1" si="269"/>
        <v>0</v>
      </c>
      <c r="AP113" s="47">
        <f t="shared" ca="1" si="269"/>
        <v>0</v>
      </c>
      <c r="AQ113" s="47">
        <f t="shared" ca="1" si="269"/>
        <v>2</v>
      </c>
      <c r="AR113" s="47">
        <f t="shared" ca="1" si="269"/>
        <v>3</v>
      </c>
      <c r="AS113" s="47">
        <f t="shared" ca="1" si="269"/>
        <v>6</v>
      </c>
      <c r="AT113" s="48">
        <f t="shared" ca="1" si="269"/>
        <v>-3</v>
      </c>
      <c r="AU113" s="323" t="str">
        <f t="shared" ca="1" si="270"/>
        <v/>
      </c>
      <c r="AV113" s="182" t="str">
        <f t="shared" ca="1" si="271"/>
        <v>Senegal</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3E</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3D</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x14ac:dyDescent="0.3">
      <c r="A2" s="284"/>
      <c r="B2" s="285"/>
      <c r="C2" s="285"/>
      <c r="D2" s="360"/>
      <c r="E2" s="625"/>
      <c r="F2" s="625"/>
      <c r="G2" s="625"/>
      <c r="H2" s="625"/>
      <c r="I2" s="625"/>
      <c r="J2" s="625"/>
      <c r="K2" s="625"/>
      <c r="L2" s="625"/>
      <c r="M2" s="625"/>
      <c r="N2" s="625"/>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5"/>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5"/>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5"/>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5"/>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5"/>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5"/>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5"/>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5"/>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5"/>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5"/>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5"/>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5"/>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5"/>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5"/>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5"/>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5"/>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5"/>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5"/>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5"/>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5"/>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5"/>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5"/>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5"/>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5"/>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5"/>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5"/>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5"/>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5"/>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5"/>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5"/>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5"/>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5"/>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5"/>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5"/>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5"/>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5"/>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5"/>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5"/>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5"/>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5"/>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5"/>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5"/>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5"/>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5"/>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5"/>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5"/>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5"/>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5"/>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5"/>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5"/>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5"/>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5"/>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5"/>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5"/>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5"/>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5"/>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5"/>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5"/>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5"/>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5"/>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5"/>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5"/>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5"/>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5"/>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5"/>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5"/>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5"/>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5"/>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5"/>
      <c r="E165" s="656"/>
      <c r="F165" s="656"/>
      <c r="G165" s="656"/>
      <c r="H165" s="656"/>
      <c r="I165" s="345"/>
      <c r="J165" s="361"/>
      <c r="K165" s="361"/>
      <c r="L165" s="361"/>
      <c r="M165" s="377"/>
      <c r="N165" s="368"/>
    </row>
    <row r="166" spans="1:14" ht="15" customHeight="1" x14ac:dyDescent="0.2">
      <c r="A166" s="625"/>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5"/>
      <c r="E166" s="656"/>
      <c r="F166" s="656"/>
      <c r="G166" s="656"/>
      <c r="H166" s="656"/>
      <c r="I166" s="345"/>
      <c r="J166" s="361"/>
      <c r="K166" s="361"/>
      <c r="L166" s="361"/>
      <c r="M166" s="377"/>
      <c r="N166" s="368"/>
    </row>
    <row r="167" spans="1:14" ht="15" customHeight="1" x14ac:dyDescent="0.2">
      <c r="A167" s="625"/>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5"/>
      <c r="E167" s="656"/>
      <c r="F167" s="656"/>
      <c r="G167" s="656"/>
      <c r="H167" s="656"/>
      <c r="I167" s="345"/>
      <c r="J167" s="361"/>
      <c r="K167" s="361"/>
      <c r="L167" s="361"/>
      <c r="M167" s="377"/>
      <c r="N167" s="368"/>
    </row>
    <row r="168" spans="1:14" ht="15" customHeight="1" x14ac:dyDescent="0.2">
      <c r="A168" s="625"/>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5"/>
      <c r="E168" s="361"/>
      <c r="F168" s="361"/>
      <c r="G168" s="361"/>
      <c r="H168" s="361"/>
      <c r="I168" s="345"/>
      <c r="J168" s="361"/>
      <c r="K168" s="361"/>
      <c r="L168" s="361"/>
      <c r="M168" s="377"/>
      <c r="N168" s="368"/>
    </row>
    <row r="169" spans="1:14" ht="15" customHeight="1" x14ac:dyDescent="0.2">
      <c r="A169" s="625"/>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5"/>
      <c r="E169" s="361"/>
      <c r="F169" s="361"/>
      <c r="G169" s="361"/>
      <c r="H169" s="361"/>
      <c r="I169" s="345"/>
      <c r="J169" s="361"/>
      <c r="K169" s="361"/>
      <c r="L169" s="361"/>
      <c r="M169" s="377"/>
      <c r="N169" s="368"/>
    </row>
    <row r="170" spans="1:14" ht="15" customHeight="1" x14ac:dyDescent="0.2">
      <c r="A170" s="625"/>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5"/>
      <c r="E170" s="361"/>
      <c r="F170" s="361"/>
      <c r="G170" s="361"/>
      <c r="H170" s="361"/>
      <c r="I170" s="345"/>
      <c r="J170" s="361"/>
      <c r="K170" s="361"/>
      <c r="L170" s="361"/>
      <c r="M170" s="377"/>
      <c r="N170" s="368"/>
    </row>
    <row r="171" spans="1:14" ht="15" customHeight="1" x14ac:dyDescent="0.2">
      <c r="A171" s="625"/>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5"/>
      <c r="E171" s="361"/>
      <c r="F171" s="361"/>
      <c r="G171" s="361"/>
      <c r="H171" s="361"/>
      <c r="I171" s="345"/>
      <c r="J171" s="361"/>
      <c r="K171" s="361"/>
      <c r="L171" s="361"/>
      <c r="M171" s="377"/>
      <c r="N171" s="368"/>
    </row>
    <row r="172" spans="1:14" ht="15" customHeight="1" x14ac:dyDescent="0.2">
      <c r="A172" s="625"/>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5"/>
      <c r="E172" s="361"/>
      <c r="F172" s="361"/>
      <c r="G172" s="361"/>
      <c r="H172" s="361"/>
      <c r="I172" s="345"/>
      <c r="J172" s="361"/>
      <c r="K172" s="361"/>
      <c r="L172" s="361"/>
      <c r="M172" s="377"/>
      <c r="N172" s="368"/>
    </row>
    <row r="173" spans="1:14" ht="15" customHeight="1" x14ac:dyDescent="0.2">
      <c r="A173" s="625"/>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5"/>
      <c r="E173" s="361"/>
      <c r="F173" s="361"/>
      <c r="G173" s="361"/>
      <c r="H173" s="361"/>
      <c r="I173" s="345"/>
      <c r="J173" s="361"/>
      <c r="K173" s="361"/>
      <c r="L173" s="361"/>
      <c r="M173" s="377"/>
      <c r="N173" s="368"/>
    </row>
    <row r="174" spans="1:14" ht="15" customHeight="1" x14ac:dyDescent="0.2">
      <c r="A174" s="625"/>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5"/>
      <c r="E174" s="361"/>
      <c r="F174" s="361"/>
      <c r="G174" s="361"/>
      <c r="H174" s="361"/>
      <c r="I174" s="345"/>
      <c r="J174" s="361"/>
      <c r="K174" s="361"/>
      <c r="L174" s="361"/>
      <c r="M174" s="377"/>
      <c r="N174" s="368"/>
    </row>
    <row r="175" spans="1:14" ht="15" customHeight="1" x14ac:dyDescent="0.2">
      <c r="A175" s="625"/>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5"/>
      <c r="E175" s="361"/>
      <c r="F175" s="361"/>
      <c r="G175" s="361"/>
      <c r="H175" s="361"/>
      <c r="I175" s="345"/>
      <c r="J175" s="361"/>
      <c r="K175" s="361"/>
      <c r="L175" s="361"/>
      <c r="M175" s="377"/>
      <c r="N175" s="368"/>
    </row>
    <row r="176" spans="1:14" ht="15" customHeight="1" x14ac:dyDescent="0.2">
      <c r="A176" s="625"/>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5"/>
      <c r="E176" s="361"/>
      <c r="F176" s="361"/>
      <c r="G176" s="361"/>
      <c r="H176" s="361"/>
      <c r="I176" s="345"/>
      <c r="J176" s="361"/>
      <c r="K176" s="361"/>
      <c r="L176" s="361"/>
      <c r="M176" s="377"/>
      <c r="N176" s="368"/>
    </row>
    <row r="177" spans="1:14" ht="15" customHeight="1" x14ac:dyDescent="0.2">
      <c r="A177" s="625"/>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5"/>
      <c r="E177" s="361"/>
      <c r="F177" s="361"/>
      <c r="G177" s="361"/>
      <c r="H177" s="361"/>
      <c r="I177" s="345"/>
      <c r="J177" s="361"/>
      <c r="K177" s="361"/>
      <c r="L177" s="361"/>
      <c r="M177" s="377"/>
      <c r="N177" s="368"/>
    </row>
    <row r="178" spans="1:14" ht="15" customHeight="1" x14ac:dyDescent="0.2">
      <c r="A178" s="625"/>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5"/>
      <c r="E178" s="361"/>
      <c r="F178" s="361"/>
      <c r="G178" s="361"/>
      <c r="H178" s="361"/>
      <c r="I178" s="345"/>
      <c r="J178" s="361"/>
      <c r="K178" s="361"/>
      <c r="L178" s="361"/>
      <c r="M178" s="377"/>
      <c r="N178" s="368"/>
    </row>
    <row r="179" spans="1:14" ht="15" customHeight="1" x14ac:dyDescent="0.2">
      <c r="A179" s="625"/>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5"/>
      <c r="E179" s="361"/>
      <c r="F179" s="361"/>
      <c r="G179" s="361"/>
      <c r="H179" s="361"/>
      <c r="I179" s="345"/>
      <c r="J179" s="361"/>
      <c r="K179" s="361"/>
      <c r="L179" s="361"/>
      <c r="M179" s="377"/>
      <c r="N179" s="368"/>
    </row>
    <row r="180" spans="1:14" ht="15" customHeight="1" x14ac:dyDescent="0.2">
      <c r="A180" s="223"/>
      <c r="B180" s="223"/>
      <c r="C180" s="343"/>
      <c r="D180" s="625"/>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5"/>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5"/>
      <c r="E182" s="361"/>
      <c r="F182" s="361"/>
      <c r="G182" s="361"/>
      <c r="H182" s="361"/>
      <c r="I182" s="345"/>
      <c r="J182" s="361"/>
      <c r="K182" s="361"/>
      <c r="L182" s="361"/>
      <c r="M182" s="377"/>
      <c r="N182" s="368"/>
    </row>
    <row r="183" spans="1:14" ht="15" customHeight="1" x14ac:dyDescent="0.2">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x14ac:dyDescent="0.2">
      <c r="A184" s="625"/>
      <c r="B184" s="352" t="str">
        <f t="shared" si="2"/>
        <v>Octavofinalista</v>
      </c>
      <c r="C184" s="342" t="str">
        <f>WORLDCUP!AA122</f>
        <v>W76</v>
      </c>
      <c r="D184" s="625"/>
      <c r="E184" s="361"/>
      <c r="F184" s="361"/>
      <c r="G184" s="361"/>
      <c r="H184" s="361"/>
      <c r="I184" s="345"/>
      <c r="J184" s="361"/>
      <c r="K184" s="361"/>
      <c r="L184" s="361"/>
      <c r="M184" s="377"/>
      <c r="N184" s="368"/>
    </row>
    <row r="185" spans="1:14" ht="15" customHeight="1" x14ac:dyDescent="0.2">
      <c r="A185" s="625"/>
      <c r="B185" s="352" t="str">
        <f t="shared" si="2"/>
        <v>Octavofinalista</v>
      </c>
      <c r="C185" s="342" t="str">
        <f>WORLDCUP!AA123</f>
        <v>W79</v>
      </c>
      <c r="D185" s="625"/>
      <c r="E185" s="361"/>
      <c r="F185" s="361"/>
      <c r="G185" s="361"/>
      <c r="H185" s="361"/>
      <c r="I185" s="345"/>
      <c r="J185" s="361"/>
      <c r="K185" s="361"/>
      <c r="L185" s="361"/>
      <c r="M185" s="377"/>
      <c r="N185" s="368"/>
    </row>
    <row r="186" spans="1:14" ht="15" customHeight="1" x14ac:dyDescent="0.2">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x14ac:dyDescent="0.2">
      <c r="A187" s="625"/>
      <c r="B187" s="352" t="str">
        <f t="shared" si="2"/>
        <v>Octavofinalista</v>
      </c>
      <c r="C187" s="342" t="str">
        <f>WORLDCUP!AA125</f>
        <v>W81</v>
      </c>
      <c r="D187" s="625"/>
      <c r="E187" s="361"/>
      <c r="F187" s="361"/>
      <c r="G187" s="361"/>
      <c r="H187" s="361"/>
      <c r="I187" s="345"/>
      <c r="J187" s="361"/>
      <c r="K187" s="361"/>
      <c r="L187" s="361"/>
      <c r="M187" s="377"/>
      <c r="N187" s="368"/>
    </row>
    <row r="188" spans="1:14" ht="15" customHeight="1" x14ac:dyDescent="0.2">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x14ac:dyDescent="0.2">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x14ac:dyDescent="0.2">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x14ac:dyDescent="0.2">
      <c r="A191" s="625"/>
      <c r="B191" s="352" t="str">
        <f t="shared" si="2"/>
        <v>Octavofinalista</v>
      </c>
      <c r="C191" s="342" t="str">
        <f>WORLDCUP!AF121</f>
        <v>W77</v>
      </c>
      <c r="D191" s="625"/>
      <c r="E191" s="361"/>
      <c r="F191" s="361"/>
      <c r="G191" s="361"/>
      <c r="H191" s="361"/>
      <c r="I191" s="345"/>
      <c r="J191" s="361"/>
      <c r="K191" s="361"/>
      <c r="L191" s="361"/>
      <c r="M191" s="377"/>
      <c r="N191" s="368"/>
    </row>
    <row r="192" spans="1:14" ht="15" customHeight="1" x14ac:dyDescent="0.2">
      <c r="A192" s="625"/>
      <c r="B192" s="352" t="str">
        <f t="shared" si="2"/>
        <v>Octavofinalista</v>
      </c>
      <c r="C192" s="342" t="str">
        <f>WORLDCUP!AF122</f>
        <v>W78</v>
      </c>
      <c r="D192" s="625"/>
      <c r="E192" s="361"/>
      <c r="F192" s="361"/>
      <c r="G192" s="361"/>
      <c r="H192" s="361"/>
      <c r="I192" s="345"/>
      <c r="J192" s="361"/>
      <c r="K192" s="361"/>
      <c r="L192" s="361"/>
      <c r="M192" s="377"/>
      <c r="N192" s="368"/>
    </row>
    <row r="193" spans="1:14" ht="15" customHeight="1" x14ac:dyDescent="0.2">
      <c r="A193" s="625"/>
      <c r="B193" s="352" t="str">
        <f t="shared" si="2"/>
        <v>Octavofinalista</v>
      </c>
      <c r="C193" s="342" t="str">
        <f>WORLDCUP!AF123</f>
        <v>W80</v>
      </c>
      <c r="D193" s="625"/>
      <c r="E193" s="361"/>
      <c r="F193" s="361"/>
      <c r="G193" s="361"/>
      <c r="H193" s="361"/>
      <c r="I193" s="345"/>
      <c r="J193" s="361"/>
      <c r="K193" s="361"/>
      <c r="L193" s="361"/>
      <c r="M193" s="377"/>
      <c r="N193" s="368"/>
    </row>
    <row r="194" spans="1:14" ht="15" customHeight="1" x14ac:dyDescent="0.2">
      <c r="A194" s="625"/>
      <c r="B194" s="352" t="str">
        <f t="shared" si="2"/>
        <v>Octavofinalista</v>
      </c>
      <c r="C194" s="342" t="str">
        <f>WORLDCUP!AF124</f>
        <v>W84</v>
      </c>
      <c r="D194" s="625"/>
      <c r="E194" s="361"/>
      <c r="F194" s="361"/>
      <c r="G194" s="361"/>
      <c r="H194" s="361"/>
      <c r="I194" s="345"/>
      <c r="J194" s="361"/>
      <c r="K194" s="361"/>
      <c r="L194" s="361"/>
      <c r="M194" s="377"/>
      <c r="N194" s="368"/>
    </row>
    <row r="195" spans="1:14" ht="15" customHeight="1" x14ac:dyDescent="0.2">
      <c r="A195" s="625"/>
      <c r="B195" s="352" t="str">
        <f t="shared" si="2"/>
        <v>Octavofinalista</v>
      </c>
      <c r="C195" s="342" t="str">
        <f>WORLDCUP!AF125</f>
        <v>W82</v>
      </c>
      <c r="D195" s="625"/>
      <c r="E195" s="361"/>
      <c r="F195" s="361"/>
      <c r="G195" s="361"/>
      <c r="H195" s="361"/>
      <c r="I195" s="345"/>
      <c r="J195" s="361"/>
      <c r="K195" s="361"/>
      <c r="L195" s="361"/>
      <c r="M195" s="377"/>
      <c r="N195" s="368"/>
    </row>
    <row r="196" spans="1:14" ht="15" customHeight="1" x14ac:dyDescent="0.2">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x14ac:dyDescent="0.2">
      <c r="A197" s="625"/>
      <c r="B197" s="352" t="str">
        <f t="shared" si="2"/>
        <v>Octavofinalista</v>
      </c>
      <c r="C197" s="342" t="str">
        <f>WORLDCUP!AF127</f>
        <v>W87</v>
      </c>
      <c r="D197" s="625"/>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5"/>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5"/>
      <c r="E201" s="656"/>
      <c r="F201" s="656"/>
      <c r="G201" s="656"/>
      <c r="H201" s="656"/>
      <c r="I201" s="345"/>
      <c r="J201" s="361"/>
      <c r="K201" s="361"/>
      <c r="L201" s="361"/>
      <c r="M201" s="377"/>
      <c r="N201" s="368"/>
    </row>
    <row r="202" spans="1:14" ht="15" customHeight="1" x14ac:dyDescent="0.2">
      <c r="A202" s="625"/>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5"/>
      <c r="E202" s="656"/>
      <c r="F202" s="656"/>
      <c r="G202" s="656"/>
      <c r="H202" s="656"/>
      <c r="I202" s="345"/>
      <c r="J202" s="361"/>
      <c r="K202" s="361"/>
      <c r="L202" s="361"/>
      <c r="M202" s="377"/>
      <c r="N202" s="368"/>
    </row>
    <row r="203" spans="1:14" ht="15" customHeight="1" x14ac:dyDescent="0.2">
      <c r="A203" s="625"/>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5"/>
      <c r="E203" s="656"/>
      <c r="F203" s="656"/>
      <c r="G203" s="656"/>
      <c r="H203" s="656"/>
      <c r="I203" s="345"/>
      <c r="J203" s="361"/>
      <c r="K203" s="361"/>
      <c r="L203" s="361"/>
      <c r="M203" s="377"/>
      <c r="N203" s="368"/>
    </row>
    <row r="204" spans="1:14" ht="15" customHeight="1" x14ac:dyDescent="0.2">
      <c r="A204" s="625"/>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5"/>
      <c r="E204" s="345"/>
      <c r="F204" s="345"/>
      <c r="G204" s="345"/>
      <c r="H204" s="345"/>
      <c r="I204" s="345"/>
      <c r="J204" s="361"/>
      <c r="K204" s="361"/>
      <c r="L204" s="361"/>
      <c r="M204" s="377"/>
      <c r="N204" s="368"/>
    </row>
    <row r="205" spans="1:14" ht="15" customHeight="1" x14ac:dyDescent="0.2">
      <c r="A205" s="625"/>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5"/>
      <c r="E205" s="345"/>
      <c r="F205" s="345"/>
      <c r="G205" s="345"/>
      <c r="H205" s="345"/>
      <c r="I205" s="345"/>
      <c r="J205" s="361"/>
      <c r="K205" s="361"/>
      <c r="L205" s="361"/>
      <c r="M205" s="377"/>
      <c r="N205" s="368"/>
    </row>
    <row r="206" spans="1:14" ht="15" customHeight="1" x14ac:dyDescent="0.2">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x14ac:dyDescent="0.2">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x14ac:dyDescent="0.2">
      <c r="A208" s="223"/>
      <c r="B208" s="223"/>
      <c r="C208" s="343"/>
      <c r="D208" s="625"/>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5"/>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x14ac:dyDescent="0.2">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x14ac:dyDescent="0.2">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x14ac:dyDescent="0.2">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x14ac:dyDescent="0.2">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x14ac:dyDescent="0.2">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x14ac:dyDescent="0.2">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x14ac:dyDescent="0.2">
      <c r="A217" s="625"/>
      <c r="B217" s="352" t="str">
        <f t="shared" si="3"/>
        <v>Cuartofinalista</v>
      </c>
      <c r="C217" s="342" t="str">
        <f>WORLDCUP!AF134</f>
        <v>W96</v>
      </c>
      <c r="D217" s="625"/>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x14ac:dyDescent="0.2">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x14ac:dyDescent="0.2">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x14ac:dyDescent="0.2">
      <c r="A224" s="223"/>
      <c r="B224" s="223"/>
      <c r="C224" s="343"/>
      <c r="D224" s="625"/>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5"/>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x14ac:dyDescent="0.2">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x14ac:dyDescent="0.2">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x14ac:dyDescent="0.2">
      <c r="A229" s="625"/>
      <c r="B229" s="352" t="str">
        <f>Idiomas!$D$191</f>
        <v>Semifinalista</v>
      </c>
      <c r="C229" s="342" t="str">
        <f>WORLDCUP!AF139</f>
        <v>W100</v>
      </c>
      <c r="D229" s="625"/>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x14ac:dyDescent="0.2">
      <c r="A234" s="223"/>
      <c r="B234" s="223"/>
      <c r="C234" s="343"/>
      <c r="D234" s="625"/>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x14ac:dyDescent="0.2">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x14ac:dyDescent="0.2">
      <c r="A238" s="223"/>
      <c r="B238" s="223"/>
      <c r="C238" s="343"/>
      <c r="D238" s="625"/>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5"/>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x14ac:dyDescent="0.2">
      <c r="A241" s="625"/>
      <c r="B241" s="352" t="str">
        <f>B240</f>
        <v>Finalista</v>
      </c>
      <c r="C241" s="342" t="str">
        <f>WORLDCUP!AF147</f>
        <v>W102</v>
      </c>
      <c r="D241" s="625"/>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5"/>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5"/>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x14ac:dyDescent="0.2">
      <c r="A248" s="223"/>
      <c r="B248" s="223"/>
      <c r="C248" s="343"/>
      <c r="D248" s="625"/>
      <c r="E248" s="365"/>
      <c r="F248" s="365"/>
      <c r="G248" s="365"/>
      <c r="H248" s="365"/>
      <c r="I248" s="372"/>
      <c r="J248" s="361"/>
      <c r="K248" s="361"/>
      <c r="L248" s="361"/>
      <c r="M248" s="377"/>
      <c r="N248" s="368"/>
    </row>
    <row r="249" spans="1:14" ht="19" customHeight="1" x14ac:dyDescent="0.25">
      <c r="A249" s="223"/>
      <c r="B249" s="350" t="str">
        <f>Idiomas!D139</f>
        <v>CUADRO DE HONOR</v>
      </c>
      <c r="C249" s="343"/>
      <c r="D249" s="625"/>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3-0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Egi</v>
      </c>
      <c r="U4" s="437">
        <f ca="1">+INDEX(WORLDCUP!$AM$6:$AM$97,MATCH(X4,WORLDCUP!$AI$6:$AI$97,0))</f>
        <v>4</v>
      </c>
      <c r="V4" s="438">
        <f ca="1">+INDEX(WORLDCUP!$AT$6:$AT$97,MATCH(X4,WORLDCUP!$AI$6:$AI$97,0))</f>
        <v>2</v>
      </c>
      <c r="W4" s="439" t="str">
        <f ca="1">+INDEX(WORLDCUP!$AR$6:$AR$97,MATCH(X4,WORLDCUP!$AI$6:$AI$97,0))&amp;"-"&amp;INDEX(WORLDCUP!$AS$6:$AS$97,MATCH(X4,WORLDCUP!$AI$6:$AI$97,0))</f>
        <v>4-2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Irá</v>
      </c>
      <c r="U5" s="38">
        <f ca="1">+INDEX(WORLDCUP!$AM$6:$AM$97,MATCH(X5,WORLDCUP!$AI$6:$AI$97,0))</f>
        <v>2</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Bél</v>
      </c>
      <c r="U6" s="38">
        <f ca="1">+INDEX(WORLDCUP!$AM$6:$AM$97,MATCH(X6,WORLDCUP!$AI$6:$AI$97,0))</f>
        <v>2</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-2</v>
      </c>
      <c r="W7" s="467" t="str">
        <f ca="1">+INDEX(WORLDCUP!$AR$6:$AR$97,MATCH(X7,WORLDCUP!$AI$6:$AI$97,0))&amp;"-"&amp;INDEX(WORLDCUP!$AS$6:$AS$97,MATCH(X7,WORLDCUP!$AI$6:$AI$97,0))</f>
        <v>3-5</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4</v>
      </c>
      <c r="J12" s="438">
        <f ca="1">+INDEX(WORLDCUP!$AT$6:$AT$97,MATCH(L12,WORLDCUP!$AI$6:$AI$97,0))</f>
        <v>6</v>
      </c>
      <c r="K12" s="439" t="str">
        <f ca="1">+INDEX(WORLDCUP!$AR$6:$AR$97,MATCH(L12,WORLDCUP!$AI$6:$AI$97,0))&amp;"-"&amp;INDEX(WORLDCUP!$AS$6:$AS$97,MATCH(L12,WORLDCUP!$AI$6:$AI$97,0))</f>
        <v>7-1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4</v>
      </c>
      <c r="V12" s="438">
        <f ca="1">+INDEX(WORLDCUP!$AT$6:$AT$97,MATCH(X12,WORLDCUP!$AI$6:$AI$97,0))</f>
        <v>4</v>
      </c>
      <c r="W12" s="439" t="str">
        <f ca="1">+INDEX(WORLDCUP!$AR$6:$AR$97,MATCH(X12,WORLDCUP!$AI$6:$AI$97,0))&amp;"-"&amp;INDEX(WORLDCUP!$AS$6:$AS$97,MATCH(X12,WORLDCUP!$AI$6:$AI$97,0))</f>
        <v>4-0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-6</v>
      </c>
      <c r="K15" s="467" t="str">
        <f ca="1">+INDEX(WORLDCUP!$AR$6:$AR$97,MATCH(L15,WORLDCUP!$AI$6:$AI$97,0))&amp;"-"&amp;INDEX(WORLDCUP!$AS$6:$AS$97,MATCH(L15,WORLDCUP!$AI$6:$AI$97,0))</f>
        <v>1-7</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Ara</v>
      </c>
      <c r="U15" s="465">
        <f ca="1">+INDEX(WORLDCUP!$AM$6:$AM$97,MATCH(X15,WORLDCUP!$AI$6:$AI$97,0))</f>
        <v>1</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4</v>
      </c>
      <c r="J20" s="438">
        <f ca="1">+INDEX(WORLDCUP!$AT$6:$AT$97,MATCH(L20,WORLDCUP!$AI$6:$AI$97,0))</f>
        <v>3</v>
      </c>
      <c r="K20" s="439" t="str">
        <f ca="1">+INDEX(WORLDCUP!$AR$6:$AR$97,MATCH(L20,WORLDCUP!$AI$6:$AI$97,0))&amp;"-"&amp;INDEX(WORLDCUP!$AS$6:$AS$97,MATCH(L20,WORLDCUP!$AI$6:$AI$97,0))</f>
        <v>4-1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6</v>
      </c>
      <c r="V20" s="438">
        <f ca="1">+INDEX(WORLDCUP!$AT$6:$AT$97,MATCH(X20,WORLDCUP!$AI$6:$AI$97,0))</f>
        <v>5</v>
      </c>
      <c r="W20" s="439" t="str">
        <f ca="1">+INDEX(WORLDCUP!$AR$6:$AR$97,MATCH(X20,WORLDCUP!$AI$6:$AI$97,0))&amp;"-"&amp;INDEX(WORLDCUP!$AS$6:$AS$97,MATCH(X20,WORLDCUP!$AI$6:$AI$97,0))</f>
        <v>6-1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4</v>
      </c>
      <c r="W21" s="43" t="str">
        <f ca="1">+INDEX(WORLDCUP!$AR$6:$AR$97,MATCH(X21,WORLDCUP!$AI$6:$AI$97,0))&amp;"-"&amp;INDEX(WORLDCUP!$AS$6:$AS$97,MATCH(X21,WORLDCUP!$AI$6:$AI$97,0))</f>
        <v>7-3</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-3</v>
      </c>
      <c r="W22" s="43" t="str">
        <f ca="1">+INDEX(WORLDCUP!$AR$6:$AR$97,MATCH(X22,WORLDCUP!$AI$6:$AI$97,0))&amp;"-"&amp;INDEX(WORLDCUP!$AS$6:$AS$97,MATCH(X22,WORLDCUP!$AI$6:$AI$97,0))</f>
        <v>3-6</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-4</v>
      </c>
      <c r="K23" s="467" t="str">
        <f ca="1">+INDEX(WORLDCUP!$AR$6:$AR$97,MATCH(L23,WORLDCUP!$AI$6:$AI$97,0))&amp;"-"&amp;INDEX(WORLDCUP!$AS$6:$AS$97,MATCH(L23,WORLDCUP!$AI$6:$AI$97,0))</f>
        <v>0-4</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5</v>
      </c>
      <c r="K28" s="439" t="str">
        <f ca="1">+INDEX(WORLDCUP!$AR$6:$AR$97,MATCH(L28,WORLDCUP!$AI$6:$AI$97,0))&amp;"-"&amp;INDEX(WORLDCUP!$AS$6:$AS$97,MATCH(L28,WORLDCUP!$AI$6:$AI$97,0))</f>
        <v>6-1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6</v>
      </c>
      <c r="V28" s="438">
        <f ca="1">+INDEX(WORLDCUP!$AT$6:$AT$97,MATCH(X28,WORLDCUP!$AI$6:$AI$97,0))</f>
        <v>5</v>
      </c>
      <c r="W28" s="439" t="str">
        <f ca="1">+INDEX(WORLDCUP!$AR$6:$AR$97,MATCH(X28,WORLDCUP!$AI$6:$AI$97,0))&amp;"-"&amp;INDEX(WORLDCUP!$AS$6:$AS$97,MATCH(X28,WORLDCUP!$AI$6:$AI$97,0))</f>
        <v>5-0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-3</v>
      </c>
      <c r="K31" s="467" t="str">
        <f ca="1">+INDEX(WORLDCUP!$AR$6:$AR$97,MATCH(L31,WORLDCUP!$AI$6:$AI$97,0))&amp;"-"&amp;INDEX(WORLDCUP!$AS$6:$AS$97,MATCH(L31,WORLDCUP!$AI$6:$AI$97,0))</f>
        <v>0-3</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0-3</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7</v>
      </c>
      <c r="K36" s="439" t="str">
        <f ca="1">+INDEX(WORLDCUP!$AR$6:$AR$97,MATCH(L36,WORLDCUP!$AI$6:$AI$97,0))&amp;"-"&amp;INDEX(WORLDCUP!$AS$6:$AS$97,MATCH(L36,WORLDCUP!$AI$6:$AI$97,0))</f>
        <v>9-2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3</v>
      </c>
      <c r="V36" s="438">
        <f ca="1">+INDEX(WORLDCUP!$AT$6:$AT$97,MATCH(X36,WORLDCUP!$AI$6:$AI$97,0))</f>
        <v>2</v>
      </c>
      <c r="W36" s="439" t="str">
        <f ca="1">+INDEX(WORLDCUP!$AR$6:$AR$97,MATCH(X36,WORLDCUP!$AI$6:$AI$97,0))&amp;"-"&amp;INDEX(WORLDCUP!$AS$6:$AS$97,MATCH(X36,WORLDCUP!$AI$6:$AI$97,0))</f>
        <v>3-1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-2</v>
      </c>
      <c r="W39" s="467" t="str">
        <f ca="1">+INDEX(WORLDCUP!$AR$6:$AR$97,MATCH(X39,WORLDCUP!$AI$6:$AI$97,0))&amp;"-"&amp;INDEX(WORLDCUP!$AS$6:$AS$97,MATCH(X39,WORLDCUP!$AI$6:$AI$97,0))</f>
        <v>1-3</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4</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3</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-8</v>
      </c>
      <c r="K47" s="467" t="str">
        <f ca="1">+INDEX(WORLDCUP!$AR$6:$AR$97,MATCH(L47,WORLDCUP!$AI$6:$AI$97,0))&amp;"-"&amp;INDEX(WORLDCUP!$AS$6:$AS$97,MATCH(L47,WORLDCUP!$AI$6:$AI$97,0))</f>
        <v>1-9</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Cro</v>
      </c>
      <c r="U47" s="465">
        <f ca="1">+INDEX(WORLDCUP!$AM$6:$AM$97,MATCH(X47,WORLDCUP!$AI$6:$AI$97,0))</f>
        <v>0</v>
      </c>
      <c r="V47" s="466">
        <f ca="1">+INDEX(WORLDCUP!$AT$6:$AT$97,MATCH(X47,WORLDCUP!$AI$6:$AI$97,0))</f>
        <v>-2</v>
      </c>
      <c r="W47" s="467" t="str">
        <f ca="1">+INDEX(WORLDCUP!$AR$6:$AR$97,MATCH(X47,WORLDCUP!$AI$6:$AI$97,0))&amp;"-"&amp;INDEX(WORLDCUP!$AS$6:$AS$97,MATCH(X47,WORLDCUP!$AI$6:$AI$97,0))</f>
        <v>2-4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Jordania</v>
      </c>
      <c r="E2" s="9" t="str">
        <f ca="1">+WORLDCUP!BD66</f>
        <v>Senegal</v>
      </c>
      <c r="F2" s="9" t="str">
        <f ca="1">+WORLDCUP!BD63</f>
        <v>Suecia</v>
      </c>
      <c r="G2" s="9" t="str">
        <f ca="1">+WORLDCUP!BD65</f>
        <v>Cabo Verde</v>
      </c>
      <c r="H2" s="9" t="str">
        <f ca="1">+WORLDCUP!BD64</f>
        <v>Bélgica</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Bélgica</v>
      </c>
      <c r="E3" s="9" t="str">
        <f ca="1">+WORLDCUP!BD66</f>
        <v>Senegal</v>
      </c>
      <c r="F3" s="9" t="str">
        <f ca="1">+WORLDCUP!BD61</f>
        <v>Paraguay</v>
      </c>
      <c r="G3" s="9" t="str">
        <f ca="1">+WORLDCUP!BD67</f>
        <v>Jordania</v>
      </c>
      <c r="H3" s="9" t="str">
        <f ca="1">+WORLDCUP!BD63</f>
        <v>Suecia</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Jordania</v>
      </c>
      <c r="E4" s="9" t="str">
        <f ca="1">+WORLDCUP!BD66</f>
        <v>Senegal</v>
      </c>
      <c r="F4" s="9" t="str">
        <f ca="1">+WORLDCUP!BD61</f>
        <v>Paraguay</v>
      </c>
      <c r="G4" s="9" t="str">
        <f ca="1">+WORLDCUP!BD65</f>
        <v>Cabo Verde</v>
      </c>
      <c r="H4" s="9" t="str">
        <f ca="1">+WORLDCUP!BD64</f>
        <v>Bélgica</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Jordania</v>
      </c>
      <c r="E5" s="9" t="str">
        <f ca="1">+WORLDCUP!BD66</f>
        <v>Senegal</v>
      </c>
      <c r="F5" s="9" t="str">
        <f ca="1">+WORLDCUP!BD61</f>
        <v>Paraguay</v>
      </c>
      <c r="G5" s="9" t="str">
        <f ca="1">+WORLDCUP!BD65</f>
        <v>Cabo Verde</v>
      </c>
      <c r="H5" s="9" t="str">
        <f ca="1">+WORLDCUP!BD63</f>
        <v>Suecia</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Paraguay</v>
      </c>
      <c r="G6" s="9" t="str">
        <f ca="1">+WORLDCUP!BD67</f>
        <v>Jordania</v>
      </c>
      <c r="H6" s="9" t="str">
        <f ca="1">+WORLDCUP!BD63</f>
        <v>Suecia</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Jordania</v>
      </c>
      <c r="F7" s="9" t="str">
        <f ca="1">+WORLDCUP!BD61</f>
        <v>Paraguay</v>
      </c>
      <c r="G7" s="9" t="str">
        <f ca="1">+WORLDCUP!BD65</f>
        <v>Cabo Verde</v>
      </c>
      <c r="H7" s="9" t="str">
        <f ca="1">+WORLDCUP!BD63</f>
        <v>Suecia</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Jordania</v>
      </c>
      <c r="F9" s="9" t="str">
        <f ca="1">+WORLDCUP!BD61</f>
        <v>Paraguay</v>
      </c>
      <c r="G9" s="9" t="str">
        <f ca="1">+WORLDCUP!BD65</f>
        <v>Cabo Verde</v>
      </c>
      <c r="H9" s="9" t="str">
        <f ca="1">+WORLDCUP!BD63</f>
        <v>Suecia</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Jordania</v>
      </c>
      <c r="F10" s="9" t="str">
        <f ca="1">+WORLDCUP!BD61</f>
        <v>Paraguay</v>
      </c>
      <c r="G10" s="9" t="str">
        <f ca="1">+WORLDCUP!BD65</f>
        <v>Cabo Verde</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Bélgica</v>
      </c>
      <c r="E11" s="9" t="str">
        <f ca="1">+WORLDCUP!BD66</f>
        <v>Senegal</v>
      </c>
      <c r="F11" s="9" t="str">
        <f ca="1">+WORLDCUP!BD60</f>
        <v>Escocia</v>
      </c>
      <c r="G11" s="9" t="str">
        <f ca="1">+WORLDCUP!BD67</f>
        <v>Jordania</v>
      </c>
      <c r="H11" s="9" t="str">
        <f ca="1">+WORLDCUP!BD63</f>
        <v>Suecia</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Jordania</v>
      </c>
      <c r="E12" s="9" t="str">
        <f ca="1">+WORLDCUP!BD66</f>
        <v>Senegal</v>
      </c>
      <c r="F12" s="9" t="str">
        <f ca="1">+WORLDCUP!BD60</f>
        <v>Escocia</v>
      </c>
      <c r="G12" s="9" t="str">
        <f ca="1">+WORLDCUP!BD65</f>
        <v>Cabo Verde</v>
      </c>
      <c r="H12" s="9" t="str">
        <f ca="1">+WORLDCUP!BD64</f>
        <v>Bélgica</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Jordania</v>
      </c>
      <c r="E13" s="9" t="str">
        <f ca="1">+WORLDCUP!BD66</f>
        <v>Senegal</v>
      </c>
      <c r="F13" s="9" t="str">
        <f ca="1">+WORLDCUP!BD60</f>
        <v>Escocia</v>
      </c>
      <c r="G13" s="9" t="str">
        <f ca="1">+WORLDCUP!BD65</f>
        <v>Cabo Verde</v>
      </c>
      <c r="H13" s="9" t="str">
        <f ca="1">+WORLDCUP!BD63</f>
        <v>Suecia</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Escocia</v>
      </c>
      <c r="G14" s="9" t="str">
        <f ca="1">+WORLDCUP!BD67</f>
        <v>Jordania</v>
      </c>
      <c r="H14" s="9" t="str">
        <f ca="1">+WORLDCUP!BD63</f>
        <v>Suecia</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Jordania</v>
      </c>
      <c r="F15" s="9" t="str">
        <f ca="1">+WORLDCUP!BD60</f>
        <v>Escocia</v>
      </c>
      <c r="G15" s="9" t="str">
        <f ca="1">+WORLDCUP!BD65</f>
        <v>Cabo Verde</v>
      </c>
      <c r="H15" s="9" t="str">
        <f ca="1">+WORLDCUP!BD63</f>
        <v>Suecia</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Jordania</v>
      </c>
      <c r="F17" s="9" t="str">
        <f ca="1">+WORLDCUP!BD60</f>
        <v>Escocia</v>
      </c>
      <c r="G17" s="9" t="str">
        <f ca="1">+WORLDCUP!BD65</f>
        <v>Cabo Verde</v>
      </c>
      <c r="H17" s="9" t="str">
        <f ca="1">+WORLDCUP!BD63</f>
        <v>Suecia</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Jordania</v>
      </c>
      <c r="F18" s="9" t="str">
        <f ca="1">+WORLDCUP!BD60</f>
        <v>Escocia</v>
      </c>
      <c r="G18" s="9" t="str">
        <f ca="1">+WORLDCUP!BD65</f>
        <v>Cabo Verde</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Bélgica</v>
      </c>
      <c r="E19" s="9" t="str">
        <f ca="1">+WORLDCUP!BD66</f>
        <v>Senegal</v>
      </c>
      <c r="F19" s="9" t="str">
        <f ca="1">+WORLDCUP!BD60</f>
        <v>Escocia</v>
      </c>
      <c r="G19" s="9" t="str">
        <f ca="1">+WORLDCUP!BD67</f>
        <v>Jordania</v>
      </c>
      <c r="H19" s="9" t="str">
        <f ca="1">+WORLDCUP!BD61</f>
        <v>Paraguay</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Paraguay</v>
      </c>
      <c r="G20" s="9" t="str">
        <f ca="1">+WORLDCUP!BD65</f>
        <v>Cabo Verde</v>
      </c>
      <c r="H20" s="9" t="str">
        <f ca="1">+WORLDCUP!BD63</f>
        <v>Suecia</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Bélgica</v>
      </c>
      <c r="E21" s="9" t="str">
        <f ca="1">+WORLDCUP!BD66</f>
        <v>Senegal</v>
      </c>
      <c r="F21" s="9" t="str">
        <f ca="1">+WORLDCUP!BD61</f>
        <v>Paraguay</v>
      </c>
      <c r="G21" s="9" t="str">
        <f ca="1">+WORLDCUP!BD67</f>
        <v>Jordania</v>
      </c>
      <c r="H21" s="9" t="str">
        <f ca="1">+WORLDCUP!BD63</f>
        <v>Suecia</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Bélgica</v>
      </c>
      <c r="E22" s="9" t="str">
        <f ca="1">+WORLDCUP!BD67</f>
        <v>Jordania</v>
      </c>
      <c r="F22" s="9" t="str">
        <f ca="1">+WORLDCUP!BD61</f>
        <v>Paraguay</v>
      </c>
      <c r="G22" s="9" t="str">
        <f ca="1">+WORLDCUP!BD65</f>
        <v>Cabo Verde</v>
      </c>
      <c r="H22" s="9" t="str">
        <f ca="1">+WORLDCUP!BD63</f>
        <v>Suecia</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Bélgica</v>
      </c>
      <c r="E24" s="9" t="str">
        <f ca="1">+WORLDCUP!BD67</f>
        <v>Jordania</v>
      </c>
      <c r="F24" s="9" t="str">
        <f ca="1">+WORLDCUP!BD61</f>
        <v>Paraguay</v>
      </c>
      <c r="G24" s="9" t="str">
        <f ca="1">+WORLDCUP!BD65</f>
        <v>Cabo Verde</v>
      </c>
      <c r="H24" s="9" t="str">
        <f ca="1">+WORLDCUP!BD63</f>
        <v>Suecia</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Bélgica</v>
      </c>
      <c r="E25" s="9" t="str">
        <f ca="1">+WORLDCUP!BD67</f>
        <v>Jordania</v>
      </c>
      <c r="F25" s="9" t="str">
        <f ca="1">+WORLDCUP!BD61</f>
        <v>Paraguay</v>
      </c>
      <c r="G25" s="9" t="str">
        <f ca="1">+WORLDCUP!BD65</f>
        <v>Cabo Verde</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Jordania</v>
      </c>
      <c r="E26" s="9" t="str">
        <f ca="1">+WORLDCUP!BD66</f>
        <v>Senegal</v>
      </c>
      <c r="F26" s="9" t="str">
        <f ca="1">+WORLDCUP!BD60</f>
        <v>Escocia</v>
      </c>
      <c r="G26" s="9" t="str">
        <f ca="1">+WORLDCUP!BD65</f>
        <v>Cabo Verde</v>
      </c>
      <c r="H26" s="9" t="str">
        <f ca="1">+WORLDCUP!BD61</f>
        <v>Paraguay</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Escocia</v>
      </c>
      <c r="G27" s="9" t="str">
        <f ca="1">+WORLDCUP!BD67</f>
        <v>Jordania</v>
      </c>
      <c r="H27" s="9" t="str">
        <f ca="1">+WORLDCUP!BD61</f>
        <v>Paraguay</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Jordania</v>
      </c>
      <c r="F28" s="9" t="str">
        <f ca="1">+WORLDCUP!BD60</f>
        <v>Escocia</v>
      </c>
      <c r="G28" s="9" t="str">
        <f ca="1">+WORLDCUP!BD65</f>
        <v>Cabo Verde</v>
      </c>
      <c r="H28" s="9" t="str">
        <f ca="1">+WORLDCUP!BD61</f>
        <v>Paraguay</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Jordania</v>
      </c>
      <c r="F30" s="9" t="str">
        <f ca="1">+WORLDCUP!BD60</f>
        <v>Escocia</v>
      </c>
      <c r="G30" s="9" t="str">
        <f ca="1">+WORLDCUP!BD65</f>
        <v>Cabo Verde</v>
      </c>
      <c r="H30" s="9" t="str">
        <f ca="1">+WORLDCUP!BD61</f>
        <v>Paraguay</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Jordania</v>
      </c>
      <c r="F31" s="9" t="str">
        <f ca="1">+WORLDCUP!BD60</f>
        <v>Escocia</v>
      </c>
      <c r="G31" s="9" t="str">
        <f ca="1">+WORLDCUP!BD65</f>
        <v>Cabo Verde</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Ecuador</v>
      </c>
      <c r="F32" s="9" t="str">
        <f ca="1">+WORLDCUP!BD61</f>
        <v>Paraguay</v>
      </c>
      <c r="G32" s="9" t="str">
        <f ca="1">+WORLDCUP!BD66</f>
        <v>Senegal</v>
      </c>
      <c r="H32" s="9" t="str">
        <f ca="1">+WORLDCUP!BD63</f>
        <v>Suecia</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Ecuador</v>
      </c>
      <c r="F33" s="9" t="str">
        <f ca="1">+WORLDCUP!BD61</f>
        <v>Paraguay</v>
      </c>
      <c r="G33" s="9" t="str">
        <f ca="1">+WORLDCUP!BD65</f>
        <v>Cabo Verde</v>
      </c>
      <c r="H33" s="9" t="str">
        <f ca="1">+WORLDCUP!BD63</f>
        <v>Suecia</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Ecuador</v>
      </c>
      <c r="F35" s="9" t="str">
        <f ca="1">+WORLDCUP!BD61</f>
        <v>Paraguay</v>
      </c>
      <c r="G35" s="9" t="str">
        <f ca="1">+WORLDCUP!BD65</f>
        <v>Cabo Verde</v>
      </c>
      <c r="H35" s="9" t="str">
        <f ca="1">+WORLDCUP!BD63</f>
        <v>Suecia</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Bélgica</v>
      </c>
      <c r="E37" s="9" t="str">
        <f ca="1">+WORLDCUP!BD62</f>
        <v>Ecuador</v>
      </c>
      <c r="F37" s="9" t="str">
        <f ca="1">+WORLDCUP!BD61</f>
        <v>Paraguay</v>
      </c>
      <c r="G37" s="9" t="str">
        <f ca="1">+WORLDCUP!BD67</f>
        <v>Jordania</v>
      </c>
      <c r="H37" s="9" t="str">
        <f ca="1">+WORLDCUP!BD63</f>
        <v>Suecia</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Bélgica</v>
      </c>
      <c r="E39" s="9" t="str">
        <f ca="1">+WORLDCUP!BD62</f>
        <v>Ecuador</v>
      </c>
      <c r="F39" s="9" t="str">
        <f ca="1">+WORLDCUP!BD61</f>
        <v>Paraguay</v>
      </c>
      <c r="G39" s="9" t="str">
        <f ca="1">+WORLDCUP!BD67</f>
        <v>Jordania</v>
      </c>
      <c r="H39" s="9" t="str">
        <f ca="1">+WORLDCUP!BD63</f>
        <v>Suecia</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Bélgica</v>
      </c>
      <c r="E40" s="9" t="str">
        <f ca="1">+WORLDCUP!BD62</f>
        <v>Ecuador</v>
      </c>
      <c r="F40" s="9" t="str">
        <f ca="1">+WORLDCUP!BD61</f>
        <v>Paraguay</v>
      </c>
      <c r="G40" s="9" t="str">
        <f ca="1">+WORLDCUP!BD67</f>
        <v>Jordania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Bélgica</v>
      </c>
      <c r="E42" s="9" t="str">
        <f ca="1">+WORLDCUP!BD67</f>
        <v>Jordania</v>
      </c>
      <c r="F42" s="9" t="str">
        <f ca="1">+WORLDCUP!BD61</f>
        <v>Paraguay</v>
      </c>
      <c r="G42" s="9" t="str">
        <f ca="1">+WORLDCUP!BD65</f>
        <v>Cabo Verde</v>
      </c>
      <c r="H42" s="9" t="str">
        <f ca="1">+WORLDCUP!BD63</f>
        <v>Suecia</v>
      </c>
      <c r="I42" s="9" t="str">
        <f ca="1">+WORLDCUP!BD69</f>
        <v>Panamá</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Bélgica</v>
      </c>
      <c r="E43" s="9" t="str">
        <f ca="1">+WORLDCUP!BD67</f>
        <v>Jordania</v>
      </c>
      <c r="F43" s="9" t="str">
        <f ca="1">+WORLDCUP!BD61</f>
        <v>Paraguay</v>
      </c>
      <c r="G43" s="9" t="str">
        <f ca="1">+WORLDCUP!BD65</f>
        <v>Cabo Verde</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Bélgica</v>
      </c>
      <c r="E46" s="9" t="str">
        <f ca="1">+WORLDCUP!BD67</f>
        <v>Jordania</v>
      </c>
      <c r="F46" s="9" t="str">
        <f ca="1">+WORLDCUP!BD61</f>
        <v>Paraguay</v>
      </c>
      <c r="G46" s="9" t="str">
        <f ca="1">+WORLDCUP!BD65</f>
        <v>Cabo Verde</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Jordania</v>
      </c>
      <c r="E47" s="9" t="str">
        <f ca="1">+WORLDCUP!BD59</f>
        <v>Bosnia y Herzegovina</v>
      </c>
      <c r="F47" s="9" t="str">
        <f ca="1">+WORLDCUP!BD63</f>
        <v>Suecia</v>
      </c>
      <c r="G47" s="9" t="str">
        <f ca="1">+WORLDCUP!BD66</f>
        <v>Senegal</v>
      </c>
      <c r="H47" s="9" t="str">
        <f ca="1">+WORLDCUP!BD64</f>
        <v>Bélgica</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Cabo Verde</v>
      </c>
      <c r="H48" s="9" t="str">
        <f ca="1">+WORLDCUP!BD64</f>
        <v>Bélgica</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Jordania</v>
      </c>
      <c r="E49" s="9" t="str">
        <f ca="1">+WORLDCUP!BD59</f>
        <v>Bosnia y Herzegovina</v>
      </c>
      <c r="F49" s="9" t="str">
        <f ca="1">+WORLDCUP!BD63</f>
        <v>Suecia</v>
      </c>
      <c r="G49" s="9" t="str">
        <f ca="1">+WORLDCUP!BD66</f>
        <v>Senegal</v>
      </c>
      <c r="H49" s="9" t="str">
        <f ca="1">+WORLDCUP!BD65</f>
        <v>Cabo Verde</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Jordania</v>
      </c>
      <c r="E50" s="9" t="str">
        <f ca="1">+WORLDCUP!BD59</f>
        <v>Bosnia y Herzegovina</v>
      </c>
      <c r="F50" s="9" t="str">
        <f ca="1">+WORLDCUP!BD63</f>
        <v>Suecia</v>
      </c>
      <c r="G50" s="9" t="str">
        <f ca="1">+WORLDCUP!BD66</f>
        <v>Senegal</v>
      </c>
      <c r="H50" s="9" t="str">
        <f ca="1">+WORLDCUP!BD64</f>
        <v>Bélgica</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Jordania</v>
      </c>
      <c r="E51" s="9" t="str">
        <f ca="1">+WORLDCUP!BD59</f>
        <v>Bosnia y Herzegovina</v>
      </c>
      <c r="F51" s="9" t="str">
        <f ca="1">+WORLDCUP!BD63</f>
        <v>Suecia</v>
      </c>
      <c r="G51" s="9" t="str">
        <f ca="1">+WORLDCUP!BD65</f>
        <v>Cabo Verde</v>
      </c>
      <c r="H51" s="9" t="str">
        <f ca="1">+WORLDCUP!BD64</f>
        <v>Bélgica</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Jordania</v>
      </c>
      <c r="E53" s="9" t="str">
        <f ca="1">+WORLDCUP!BD59</f>
        <v>Bosnia y Herzegovina</v>
      </c>
      <c r="F53" s="9" t="str">
        <f ca="1">+WORLDCUP!BD63</f>
        <v>Suecia</v>
      </c>
      <c r="G53" s="9" t="str">
        <f ca="1">+WORLDCUP!BD65</f>
        <v>Cabo Verde</v>
      </c>
      <c r="H53" s="9" t="str">
        <f ca="1">+WORLDCUP!BD64</f>
        <v>Bélgica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Jordania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Jordania</v>
      </c>
      <c r="E55" s="9" t="str">
        <f ca="1">+WORLDCUP!BD59</f>
        <v>Bosnia y Herzegovina</v>
      </c>
      <c r="F55" s="9" t="str">
        <f ca="1">+WORLDCUP!BD61</f>
        <v>Paraguay</v>
      </c>
      <c r="G55" s="9" t="str">
        <f ca="1">+WORLDCUP!BD66</f>
        <v>Senegal</v>
      </c>
      <c r="H55" s="9" t="str">
        <f ca="1">+WORLDCUP!BD64</f>
        <v>Bélgica</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Jordania</v>
      </c>
      <c r="E56" s="9" t="str">
        <f ca="1">+WORLDCUP!BD59</f>
        <v>Bosnia y Herzegovina</v>
      </c>
      <c r="F56" s="9" t="str">
        <f ca="1">+WORLDCUP!BD61</f>
        <v>Paraguay</v>
      </c>
      <c r="G56" s="9" t="str">
        <f ca="1">+WORLDCUP!BD66</f>
        <v>Senegal</v>
      </c>
      <c r="H56" s="9" t="str">
        <f ca="1">+WORLDCUP!BD63</f>
        <v>Suecia</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Jordania</v>
      </c>
      <c r="H57" s="9" t="str">
        <f ca="1">+WORLDCUP!BD63</f>
        <v>Suecia</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Jordania</v>
      </c>
      <c r="H58" s="9" t="str">
        <f ca="1">+WORLDCUP!BD63</f>
        <v>Suecia</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Jordania</v>
      </c>
      <c r="H60" s="9" t="str">
        <f ca="1">+WORLDCUP!BD63</f>
        <v>Suecia</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Jordania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Jordania</v>
      </c>
      <c r="E62" s="9" t="str">
        <f ca="1">+WORLDCUP!BD59</f>
        <v>Bosnia y Herzegovina</v>
      </c>
      <c r="F62" s="9" t="str">
        <f ca="1">+WORLDCUP!BD61</f>
        <v>Paraguay</v>
      </c>
      <c r="G62" s="9" t="str">
        <f ca="1">+WORLDCUP!BD66</f>
        <v>Senegal</v>
      </c>
      <c r="H62" s="9" t="str">
        <f ca="1">+WORLDCUP!BD65</f>
        <v>Cabo Verde</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Jordania</v>
      </c>
      <c r="E63" s="9" t="str">
        <f ca="1">+WORLDCUP!BD59</f>
        <v>Bosnia y Herzegovina</v>
      </c>
      <c r="F63" s="9" t="str">
        <f ca="1">+WORLDCUP!BD61</f>
        <v>Paraguay</v>
      </c>
      <c r="G63" s="9" t="str">
        <f ca="1">+WORLDCUP!BD66</f>
        <v>Senegal</v>
      </c>
      <c r="H63" s="9" t="str">
        <f ca="1">+WORLDCUP!BD64</f>
        <v>Bélgica</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Jordania</v>
      </c>
      <c r="E64" s="9" t="str">
        <f ca="1">+WORLDCUP!BD59</f>
        <v>Bosnia y Herzegovina</v>
      </c>
      <c r="F64" s="9" t="str">
        <f ca="1">+WORLDCUP!BD61</f>
        <v>Paraguay</v>
      </c>
      <c r="G64" s="9" t="str">
        <f ca="1">+WORLDCUP!BD65</f>
        <v>Cabo Verde</v>
      </c>
      <c r="H64" s="9" t="str">
        <f ca="1">+WORLDCUP!BD64</f>
        <v>Bélgica</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Jordania</v>
      </c>
      <c r="E66" s="9" t="str">
        <f ca="1">+WORLDCUP!BD59</f>
        <v>Bosnia y Herzegovina</v>
      </c>
      <c r="F66" s="9" t="str">
        <f ca="1">+WORLDCUP!BD61</f>
        <v>Paraguay</v>
      </c>
      <c r="G66" s="9" t="str">
        <f ca="1">+WORLDCUP!BD65</f>
        <v>Cabo Verde</v>
      </c>
      <c r="H66" s="9" t="str">
        <f ca="1">+WORLDCUP!BD64</f>
        <v>Bélgica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Jordania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Jordania</v>
      </c>
      <c r="E68" s="9" t="str">
        <f ca="1">+WORLDCUP!BD59</f>
        <v>Bosnia y Herzegovina</v>
      </c>
      <c r="F68" s="9" t="str">
        <f ca="1">+WORLDCUP!BD61</f>
        <v>Paraguay</v>
      </c>
      <c r="G68" s="9" t="str">
        <f ca="1">+WORLDCUP!BD66</f>
        <v>Senegal</v>
      </c>
      <c r="H68" s="9" t="str">
        <f ca="1">+WORLDCUP!BD63</f>
        <v>Suecia</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Jordania</v>
      </c>
      <c r="E69" s="9" t="str">
        <f ca="1">+WORLDCUP!BD59</f>
        <v>Bosnia y Herzegovina</v>
      </c>
      <c r="F69" s="9" t="str">
        <f ca="1">+WORLDCUP!BD61</f>
        <v>Paraguay</v>
      </c>
      <c r="G69" s="9" t="str">
        <f ca="1">+WORLDCUP!BD65</f>
        <v>Cabo Verde</v>
      </c>
      <c r="H69" s="9" t="str">
        <f ca="1">+WORLDCUP!BD63</f>
        <v>Suecia</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Jordania</v>
      </c>
      <c r="E71" s="9" t="str">
        <f ca="1">+WORLDCUP!BD59</f>
        <v>Bosnia y Herzegovina</v>
      </c>
      <c r="F71" s="9" t="str">
        <f ca="1">+WORLDCUP!BD61</f>
        <v>Paraguay</v>
      </c>
      <c r="G71" s="9" t="str">
        <f ca="1">+WORLDCUP!BD65</f>
        <v>Cabo Verde</v>
      </c>
      <c r="H71" s="9" t="str">
        <f ca="1">+WORLDCUP!BD63</f>
        <v>Suecia</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Jordania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Jordania</v>
      </c>
      <c r="H73" s="9" t="str">
        <f ca="1">+WORLDCUP!BD63</f>
        <v>Suecia</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Jordania</v>
      </c>
      <c r="H75" s="9" t="str">
        <f ca="1">+WORLDCUP!BD63</f>
        <v>Suecia</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Jordania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Jordania</v>
      </c>
      <c r="H78" s="9" t="str">
        <f ca="1">+WORLDCUP!BD63</f>
        <v>Suecia</v>
      </c>
      <c r="I78" s="9" t="str">
        <f ca="1">+WORLDCUP!BD69</f>
        <v>Panamá</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Jordania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Jordania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Jordania</v>
      </c>
      <c r="E83" s="9" t="str">
        <f ca="1">+WORLDCUP!BD59</f>
        <v>Bosnia y Herzegovina</v>
      </c>
      <c r="F83" s="9" t="str">
        <f ca="1">+WORLDCUP!BD60</f>
        <v>Escocia</v>
      </c>
      <c r="G83" s="9" t="str">
        <f ca="1">+WORLDCUP!BD66</f>
        <v>Senegal</v>
      </c>
      <c r="H83" s="9" t="str">
        <f ca="1">+WORLDCUP!BD64</f>
        <v>Bélgica</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Jordania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Jordania</v>
      </c>
      <c r="H85" s="9" t="str">
        <f ca="1">+WORLDCUP!BD63</f>
        <v>Suecia</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Jordania</v>
      </c>
      <c r="H86" s="9" t="str">
        <f ca="1">+WORLDCUP!BD63</f>
        <v>Suecia</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Jordania</v>
      </c>
      <c r="H88" s="9" t="str">
        <f ca="1">+WORLDCUP!BD63</f>
        <v>Suecia</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Jordania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Jordania</v>
      </c>
      <c r="E90" s="9" t="str">
        <f ca="1">+WORLDCUP!BD59</f>
        <v>Bosnia y Herzegovina</v>
      </c>
      <c r="F90" s="9" t="str">
        <f ca="1">+WORLDCUP!BD60</f>
        <v>Escocia</v>
      </c>
      <c r="G90" s="9" t="str">
        <f ca="1">+WORLDCUP!BD66</f>
        <v>Senegal</v>
      </c>
      <c r="H90" s="9" t="str">
        <f ca="1">+WORLDCUP!BD65</f>
        <v>Cabo Verde</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Jordania</v>
      </c>
      <c r="E91" s="9" t="str">
        <f ca="1">+WORLDCUP!BD59</f>
        <v>Bosnia y Herzegovina</v>
      </c>
      <c r="F91" s="9" t="str">
        <f ca="1">+WORLDCUP!BD60</f>
        <v>Escocia</v>
      </c>
      <c r="G91" s="9" t="str">
        <f ca="1">+WORLDCUP!BD66</f>
        <v>Senegal</v>
      </c>
      <c r="H91" s="9" t="str">
        <f ca="1">+WORLDCUP!BD64</f>
        <v>Bélgica</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Jordania</v>
      </c>
      <c r="E92" s="9" t="str">
        <f ca="1">+WORLDCUP!BD59</f>
        <v>Bosnia y Herzegovina</v>
      </c>
      <c r="F92" s="9" t="str">
        <f ca="1">+WORLDCUP!BD60</f>
        <v>Escocia</v>
      </c>
      <c r="G92" s="9" t="str">
        <f ca="1">+WORLDCUP!BD65</f>
        <v>Cabo Verde</v>
      </c>
      <c r="H92" s="9" t="str">
        <f ca="1">+WORLDCUP!BD64</f>
        <v>Bélgica</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Jordania</v>
      </c>
      <c r="E94" s="9" t="str">
        <f ca="1">+WORLDCUP!BD59</f>
        <v>Bosnia y Herzegovina</v>
      </c>
      <c r="F94" s="9" t="str">
        <f ca="1">+WORLDCUP!BD60</f>
        <v>Escocia</v>
      </c>
      <c r="G94" s="9" t="str">
        <f ca="1">+WORLDCUP!BD65</f>
        <v>Cabo Verde</v>
      </c>
      <c r="H94" s="9" t="str">
        <f ca="1">+WORLDCUP!BD64</f>
        <v>Bélgica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Jordania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Jordania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Jordania</v>
      </c>
      <c r="E97" s="9" t="str">
        <f ca="1">+WORLDCUP!BD59</f>
        <v>Bosnia y Herzegovina</v>
      </c>
      <c r="F97" s="9" t="str">
        <f ca="1">+WORLDCUP!BD60</f>
        <v>Escocia</v>
      </c>
      <c r="G97" s="9" t="str">
        <f ca="1">+WORLDCUP!BD65</f>
        <v>Cabo Verde</v>
      </c>
      <c r="H97" s="9" t="str">
        <f ca="1">+WORLDCUP!BD63</f>
        <v>Suecia</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Jordania</v>
      </c>
      <c r="E99" s="9" t="str">
        <f ca="1">+WORLDCUP!BD59</f>
        <v>Bosnia y Herzegovina</v>
      </c>
      <c r="F99" s="9" t="str">
        <f ca="1">+WORLDCUP!BD60</f>
        <v>Escocia</v>
      </c>
      <c r="G99" s="9" t="str">
        <f ca="1">+WORLDCUP!BD65</f>
        <v>Cabo Verde</v>
      </c>
      <c r="H99" s="9" t="str">
        <f ca="1">+WORLDCUP!BD63</f>
        <v>Suecia</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Jordania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Jordania</v>
      </c>
      <c r="H101" s="9" t="str">
        <f ca="1">+WORLDCUP!BD63</f>
        <v>Suecia</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Jordania</v>
      </c>
      <c r="H103" s="9" t="str">
        <f ca="1">+WORLDCUP!BD63</f>
        <v>Suecia</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Jordania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Jordania</v>
      </c>
      <c r="H106" s="9" t="str">
        <f ca="1">+WORLDCUP!BD63</f>
        <v>Suecia</v>
      </c>
      <c r="I106" s="9" t="str">
        <f ca="1">+WORLDCUP!BD69</f>
        <v>Panamá</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Jordania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Jordania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Jordania</v>
      </c>
      <c r="H112" s="9" t="str">
        <f ca="1">+WORLDCUP!BD61</f>
        <v>Paraguay</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Jordania</v>
      </c>
      <c r="H113" s="9" t="str">
        <f ca="1">+WORLDCUP!BD61</f>
        <v>Paraguay</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Jordania</v>
      </c>
      <c r="H115" s="9" t="str">
        <f ca="1">+WORLDCUP!BD61</f>
        <v>Paraguay</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Suecia</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Cabo Verde</v>
      </c>
      <c r="H118" s="9" t="str">
        <f ca="1">+WORLDCUP!BD63</f>
        <v>Suecia</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Cabo Verde</v>
      </c>
      <c r="H120" s="9" t="str">
        <f ca="1">+WORLDCUP!BD63</f>
        <v>Suecia</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Jordania</v>
      </c>
      <c r="H122" s="9" t="str">
        <f ca="1">+WORLDCUP!BD63</f>
        <v>Suecia</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Jordania</v>
      </c>
      <c r="H124" s="9" t="str">
        <f ca="1">+WORLDCUP!BD63</f>
        <v>Suecia</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Jordania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Panamá</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Jordania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Jordania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Jordania</v>
      </c>
      <c r="E133" s="9" t="str">
        <f ca="1">+WORLDCUP!BD59</f>
        <v>Bosnia y Herzegovina</v>
      </c>
      <c r="F133" s="9" t="str">
        <f ca="1">+WORLDCUP!BD60</f>
        <v>Escocia</v>
      </c>
      <c r="G133" s="9" t="str">
        <f ca="1">+WORLDCUP!BD65</f>
        <v>Cabo Verde</v>
      </c>
      <c r="H133" s="9" t="str">
        <f ca="1">+WORLDCUP!BD61</f>
        <v>Paraguay</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Jordania</v>
      </c>
      <c r="E135" s="9" t="str">
        <f ca="1">+WORLDCUP!BD59</f>
        <v>Bosnia y Herzegovina</v>
      </c>
      <c r="F135" s="9" t="str">
        <f ca="1">+WORLDCUP!BD60</f>
        <v>Escocia</v>
      </c>
      <c r="G135" s="9" t="str">
        <f ca="1">+WORLDCUP!BD65</f>
        <v>Cabo Verde</v>
      </c>
      <c r="H135" s="9" t="str">
        <f ca="1">+WORLDCUP!BD61</f>
        <v>Paraguay</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Jordania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Jordania</v>
      </c>
      <c r="H137" s="9" t="str">
        <f ca="1">+WORLDCUP!BD61</f>
        <v>Paraguay</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Jordania</v>
      </c>
      <c r="H139" s="9" t="str">
        <f ca="1">+WORLDCUP!BD61</f>
        <v>Paraguay</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Jordania</v>
      </c>
      <c r="H142" s="9" t="str">
        <f ca="1">+WORLDCUP!BD61</f>
        <v>Paraguay</v>
      </c>
      <c r="I142" s="9" t="str">
        <f ca="1">+WORLDCUP!BD69</f>
        <v>Panamá</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Jordania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Jordania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Ecuador</v>
      </c>
      <c r="H147" s="9" t="str">
        <f ca="1">+WORLDCUP!BD63</f>
        <v>Suecia</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Ecuador</v>
      </c>
      <c r="H149" s="9" t="str">
        <f ca="1">+WORLDCUP!BD63</f>
        <v>Suecia</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Cabo Verde</v>
      </c>
      <c r="H152" s="9" t="str">
        <f ca="1">+WORLDCUP!BD63</f>
        <v>Suecia</v>
      </c>
      <c r="I152" s="9" t="str">
        <f ca="1">+WORLDCUP!BD69</f>
        <v>Panamá</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Jordania</v>
      </c>
      <c r="H158" s="9" t="str">
        <f ca="1">+WORLDCUP!BD63</f>
        <v>Suecia</v>
      </c>
      <c r="I158" s="9" t="str">
        <f ca="1">+WORLDCUP!BD69</f>
        <v>Panamá</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Jordania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Jordania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Panamá</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Jordania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Jordania</v>
      </c>
      <c r="E167" s="9" t="str">
        <f ca="1">+WORLDCUP!BD66</f>
        <v>Senegal</v>
      </c>
      <c r="F167" s="9" t="str">
        <f ca="1">+WORLDCUP!BD63</f>
        <v>Suecia</v>
      </c>
      <c r="G167" s="9" t="str">
        <f ca="1">+WORLDCUP!BD58</f>
        <v>República Checa</v>
      </c>
      <c r="H167" s="9" t="str">
        <f ca="1">+WORLDCUP!BD64</f>
        <v>Bélgica</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Cabo Verde</v>
      </c>
      <c r="H168" s="9" t="str">
        <f ca="1">+WORLDCUP!BD64</f>
        <v>Bélgica</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Jordania</v>
      </c>
      <c r="E169" s="9" t="str">
        <f ca="1">+WORLDCUP!BD66</f>
        <v>Senegal</v>
      </c>
      <c r="F169" s="9" t="str">
        <f ca="1">+WORLDCUP!BD63</f>
        <v>Suecia</v>
      </c>
      <c r="G169" s="9" t="str">
        <f ca="1">+WORLDCUP!BD58</f>
        <v>República Checa</v>
      </c>
      <c r="H169" s="9" t="str">
        <f ca="1">+WORLDCUP!BD65</f>
        <v>Cabo Verde</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Jordania</v>
      </c>
      <c r="E170" s="9" t="str">
        <f ca="1">+WORLDCUP!BD66</f>
        <v>Senegal</v>
      </c>
      <c r="F170" s="9" t="str">
        <f ca="1">+WORLDCUP!BD63</f>
        <v>Suecia</v>
      </c>
      <c r="G170" s="9" t="str">
        <f ca="1">+WORLDCUP!BD58</f>
        <v>República Checa</v>
      </c>
      <c r="H170" s="9" t="str">
        <f ca="1">+WORLDCUP!BD64</f>
        <v>Bélgica</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Jordania</v>
      </c>
      <c r="F171" s="9" t="str">
        <f ca="1">+WORLDCUP!BD63</f>
        <v>Suecia</v>
      </c>
      <c r="G171" s="9" t="str">
        <f ca="1">+WORLDCUP!BD58</f>
        <v>República Checa</v>
      </c>
      <c r="H171" s="9" t="str">
        <f ca="1">+WORLDCUP!BD65</f>
        <v>Cabo Verde</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Suecia</v>
      </c>
      <c r="G172" s="9" t="str">
        <f ca="1">+WORLDCUP!BD58</f>
        <v>República Checa</v>
      </c>
      <c r="H172" s="9" t="str">
        <f ca="1">+WORLDCUP!BD65</f>
        <v>Cabo Verde</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Jordania</v>
      </c>
      <c r="F173" s="9" t="str">
        <f ca="1">+WORLDCUP!BD63</f>
        <v>Suecia</v>
      </c>
      <c r="G173" s="9" t="str">
        <f ca="1">+WORLDCUP!BD58</f>
        <v>República Checa</v>
      </c>
      <c r="H173" s="9" t="str">
        <f ca="1">+WORLDCUP!BD65</f>
        <v>Cabo Verde</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Jordania</v>
      </c>
      <c r="F174" s="9" t="str">
        <f ca="1">+WORLDCUP!BD63</f>
        <v>Suecia</v>
      </c>
      <c r="G174" s="9" t="str">
        <f ca="1">+WORLDCUP!BD58</f>
        <v>República Checa</v>
      </c>
      <c r="H174" s="9" t="str">
        <f ca="1">+WORLDCUP!BD65</f>
        <v>Cabo Verde</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Jordania</v>
      </c>
      <c r="E175" s="9" t="str">
        <f ca="1">+WORLDCUP!BD66</f>
        <v>Senegal</v>
      </c>
      <c r="F175" s="9" t="str">
        <f ca="1">+WORLDCUP!BD61</f>
        <v>Paraguay</v>
      </c>
      <c r="G175" s="9" t="str">
        <f ca="1">+WORLDCUP!BD58</f>
        <v>República Checa</v>
      </c>
      <c r="H175" s="9" t="str">
        <f ca="1">+WORLDCUP!BD64</f>
        <v>Bélgica</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Jordania</v>
      </c>
      <c r="E176" s="9" t="str">
        <f ca="1">+WORLDCUP!BD66</f>
        <v>Senegal</v>
      </c>
      <c r="F176" s="9" t="str">
        <f ca="1">+WORLDCUP!BD61</f>
        <v>Paraguay</v>
      </c>
      <c r="G176" s="9" t="str">
        <f ca="1">+WORLDCUP!BD58</f>
        <v>República Checa</v>
      </c>
      <c r="H176" s="9" t="str">
        <f ca="1">+WORLDCUP!BD63</f>
        <v>Suecia</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Jordania</v>
      </c>
      <c r="F177" s="9" t="str">
        <f ca="1">+WORLDCUP!BD61</f>
        <v>Paraguay</v>
      </c>
      <c r="G177" s="9" t="str">
        <f ca="1">+WORLDCUP!BD58</f>
        <v>República Checa</v>
      </c>
      <c r="H177" s="9" t="str">
        <f ca="1">+WORLDCUP!BD63</f>
        <v>Suecia</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Bélgica</v>
      </c>
      <c r="E178" s="9" t="str">
        <f ca="1">+WORLDCUP!BD67</f>
        <v>Jordania</v>
      </c>
      <c r="F178" s="9" t="str">
        <f ca="1">+WORLDCUP!BD61</f>
        <v>Paraguay</v>
      </c>
      <c r="G178" s="9" t="str">
        <f ca="1">+WORLDCUP!BD58</f>
        <v>República Checa</v>
      </c>
      <c r="H178" s="9" t="str">
        <f ca="1">+WORLDCUP!BD63</f>
        <v>Suecia</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Bélgica</v>
      </c>
      <c r="E179" s="9" t="str">
        <f ca="1">+WORLDCUP!BD66</f>
        <v>Senegal</v>
      </c>
      <c r="F179" s="9" t="str">
        <f ca="1">+WORLDCUP!BD61</f>
        <v>Paraguay</v>
      </c>
      <c r="G179" s="9" t="str">
        <f ca="1">+WORLDCUP!BD58</f>
        <v>República Checa</v>
      </c>
      <c r="H179" s="9" t="str">
        <f ca="1">+WORLDCUP!BD63</f>
        <v>Suecia</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Bélgica</v>
      </c>
      <c r="E180" s="9" t="str">
        <f ca="1">+WORLDCUP!BD67</f>
        <v>Jordania</v>
      </c>
      <c r="F180" s="9" t="str">
        <f ca="1">+WORLDCUP!BD61</f>
        <v>Paraguay</v>
      </c>
      <c r="G180" s="9" t="str">
        <f ca="1">+WORLDCUP!BD58</f>
        <v>República Checa</v>
      </c>
      <c r="H180" s="9" t="str">
        <f ca="1">+WORLDCUP!BD63</f>
        <v>Suecia</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Bélgica</v>
      </c>
      <c r="E181" s="9" t="str">
        <f ca="1">+WORLDCUP!BD67</f>
        <v>Jordania</v>
      </c>
      <c r="F181" s="9" t="str">
        <f ca="1">+WORLDCUP!BD61</f>
        <v>Paraguay</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Jordania</v>
      </c>
      <c r="E182" s="9" t="str">
        <f ca="1">+WORLDCUP!BD66</f>
        <v>Senegal</v>
      </c>
      <c r="F182" s="9" t="str">
        <f ca="1">+WORLDCUP!BD61</f>
        <v>Paraguay</v>
      </c>
      <c r="G182" s="9" t="str">
        <f ca="1">+WORLDCUP!BD58</f>
        <v>República Checa</v>
      </c>
      <c r="H182" s="9" t="str">
        <f ca="1">+WORLDCUP!BD65</f>
        <v>Cabo Verde</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Jordania</v>
      </c>
      <c r="E183" s="9" t="str">
        <f ca="1">+WORLDCUP!BD66</f>
        <v>Senegal</v>
      </c>
      <c r="F183" s="9" t="str">
        <f ca="1">+WORLDCUP!BD61</f>
        <v>Paraguay</v>
      </c>
      <c r="G183" s="9" t="str">
        <f ca="1">+WORLDCUP!BD58</f>
        <v>República Checa</v>
      </c>
      <c r="H183" s="9" t="str">
        <f ca="1">+WORLDCUP!BD64</f>
        <v>Bélgica</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Jordania</v>
      </c>
      <c r="F184" s="9" t="str">
        <f ca="1">+WORLDCUP!BD61</f>
        <v>Paraguay</v>
      </c>
      <c r="G184" s="9" t="str">
        <f ca="1">+WORLDCUP!BD58</f>
        <v>República Checa</v>
      </c>
      <c r="H184" s="9" t="str">
        <f ca="1">+WORLDCUP!BD65</f>
        <v>Cabo Verde</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Cabo Verde</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Jordania</v>
      </c>
      <c r="F186" s="9" t="str">
        <f ca="1">+WORLDCUP!BD61</f>
        <v>Paraguay</v>
      </c>
      <c r="G186" s="9" t="str">
        <f ca="1">+WORLDCUP!BD58</f>
        <v>República Checa</v>
      </c>
      <c r="H186" s="9" t="str">
        <f ca="1">+WORLDCUP!BD65</f>
        <v>Cabo Verde</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Jordania</v>
      </c>
      <c r="F187" s="9" t="str">
        <f ca="1">+WORLDCUP!BD61</f>
        <v>Paraguay</v>
      </c>
      <c r="G187" s="9" t="str">
        <f ca="1">+WORLDCUP!BD58</f>
        <v>República Checa</v>
      </c>
      <c r="H187" s="9" t="str">
        <f ca="1">+WORLDCUP!BD65</f>
        <v>Cabo Verde</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Jordania</v>
      </c>
      <c r="E188" s="9" t="str">
        <f ca="1">+WORLDCUP!BD66</f>
        <v>Senegal</v>
      </c>
      <c r="F188" s="9" t="str">
        <f ca="1">+WORLDCUP!BD61</f>
        <v>Paraguay</v>
      </c>
      <c r="G188" s="9" t="str">
        <f ca="1">+WORLDCUP!BD58</f>
        <v>República Checa</v>
      </c>
      <c r="H188" s="9" t="str">
        <f ca="1">+WORLDCUP!BD63</f>
        <v>Suecia</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Jordania</v>
      </c>
      <c r="E189" s="9" t="str">
        <f ca="1">+WORLDCUP!BD62</f>
        <v>Ecuador</v>
      </c>
      <c r="F189" s="9" t="str">
        <f ca="1">+WORLDCUP!BD61</f>
        <v>Paraguay</v>
      </c>
      <c r="G189" s="9" t="str">
        <f ca="1">+WORLDCUP!BD58</f>
        <v>República Checa</v>
      </c>
      <c r="H189" s="9" t="str">
        <f ca="1">+WORLDCUP!BD63</f>
        <v>Suecia</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Jordania</v>
      </c>
      <c r="E191" s="9" t="str">
        <f ca="1">+WORLDCUP!BD62</f>
        <v>Ecuador</v>
      </c>
      <c r="F191" s="9" t="str">
        <f ca="1">+WORLDCUP!BD61</f>
        <v>Paraguay</v>
      </c>
      <c r="G191" s="9" t="str">
        <f ca="1">+WORLDCUP!BD58</f>
        <v>República Checa</v>
      </c>
      <c r="H191" s="9" t="str">
        <f ca="1">+WORLDCUP!BD63</f>
        <v>Suecia</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Jordania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Jordania</v>
      </c>
      <c r="F193" s="9" t="str">
        <f ca="1">+WORLDCUP!BD61</f>
        <v>Paraguay</v>
      </c>
      <c r="G193" s="9" t="str">
        <f ca="1">+WORLDCUP!BD58</f>
        <v>República Checa</v>
      </c>
      <c r="H193" s="9" t="str">
        <f ca="1">+WORLDCUP!BD63</f>
        <v>Suecia</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Suecia</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Jordania</v>
      </c>
      <c r="F195" s="9" t="str">
        <f ca="1">+WORLDCUP!BD61</f>
        <v>Paraguay</v>
      </c>
      <c r="G195" s="9" t="str">
        <f ca="1">+WORLDCUP!BD58</f>
        <v>República Checa</v>
      </c>
      <c r="H195" s="9" t="str">
        <f ca="1">+WORLDCUP!BD63</f>
        <v>Suecia</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Jordania</v>
      </c>
      <c r="F196" s="9" t="str">
        <f ca="1">+WORLDCUP!BD61</f>
        <v>Paraguay</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Bélgica</v>
      </c>
      <c r="E197" s="9" t="str">
        <f ca="1">+WORLDCUP!BD62</f>
        <v>Ecuador</v>
      </c>
      <c r="F197" s="9" t="str">
        <f ca="1">+WORLDCUP!BD61</f>
        <v>Paraguay</v>
      </c>
      <c r="G197" s="9" t="str">
        <f ca="1">+WORLDCUP!BD58</f>
        <v>República Checa</v>
      </c>
      <c r="H197" s="9" t="str">
        <f ca="1">+WORLDCUP!BD63</f>
        <v>Suecia</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Bélgica</v>
      </c>
      <c r="E198" s="9" t="str">
        <f ca="1">+WORLDCUP!BD67</f>
        <v>Jordania</v>
      </c>
      <c r="F198" s="9" t="str">
        <f ca="1">+WORLDCUP!BD61</f>
        <v>Paraguay</v>
      </c>
      <c r="G198" s="9" t="str">
        <f ca="1">+WORLDCUP!BD58</f>
        <v>República Checa</v>
      </c>
      <c r="H198" s="9" t="str">
        <f ca="1">+WORLDCUP!BD63</f>
        <v>Suecia</v>
      </c>
      <c r="I198" s="9" t="str">
        <f ca="1">+WORLDCUP!BD69</f>
        <v>Panamá</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Bélgica</v>
      </c>
      <c r="E199" s="9" t="str">
        <f ca="1">+WORLDCUP!BD67</f>
        <v>Jordania</v>
      </c>
      <c r="F199" s="9" t="str">
        <f ca="1">+WORLDCUP!BD61</f>
        <v>Paraguay</v>
      </c>
      <c r="G199" s="9" t="str">
        <f ca="1">+WORLDCUP!BD58</f>
        <v>República Checa</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Bélgica</v>
      </c>
      <c r="E200" s="9" t="str">
        <f ca="1">+WORLDCUP!BD62</f>
        <v>Ecuador</v>
      </c>
      <c r="F200" s="9" t="str">
        <f ca="1">+WORLDCUP!BD61</f>
        <v>Paraguay</v>
      </c>
      <c r="G200" s="9" t="str">
        <f ca="1">+WORLDCUP!BD58</f>
        <v>República Checa</v>
      </c>
      <c r="H200" s="9" t="str">
        <f ca="1">+WORLDCUP!BD63</f>
        <v>Suecia</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Bélgica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Bélgica</v>
      </c>
      <c r="E202" s="9" t="str">
        <f ca="1">+WORLDCUP!BD67</f>
        <v>Jordania</v>
      </c>
      <c r="F202" s="9" t="str">
        <f ca="1">+WORLDCUP!BD61</f>
        <v>Paraguay</v>
      </c>
      <c r="G202" s="9" t="str">
        <f ca="1">+WORLDCUP!BD58</f>
        <v>República Checa</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Jordania</v>
      </c>
      <c r="E203" s="9" t="str">
        <f ca="1">+WORLDCUP!BD66</f>
        <v>Senegal</v>
      </c>
      <c r="F203" s="9" t="str">
        <f ca="1">+WORLDCUP!BD60</f>
        <v>Escocia</v>
      </c>
      <c r="G203" s="9" t="str">
        <f ca="1">+WORLDCUP!BD58</f>
        <v>República Checa</v>
      </c>
      <c r="H203" s="9" t="str">
        <f ca="1">+WORLDCUP!BD64</f>
        <v>Bélgica</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Jordania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Jordania</v>
      </c>
      <c r="F205" s="9" t="str">
        <f ca="1">+WORLDCUP!BD60</f>
        <v>Escocia</v>
      </c>
      <c r="G205" s="9" t="str">
        <f ca="1">+WORLDCUP!BD58</f>
        <v>República Checa</v>
      </c>
      <c r="H205" s="9" t="str">
        <f ca="1">+WORLDCUP!BD63</f>
        <v>Suecia</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Bélgica</v>
      </c>
      <c r="E206" s="9" t="str">
        <f ca="1">+WORLDCUP!BD67</f>
        <v>Jordania</v>
      </c>
      <c r="F206" s="9" t="str">
        <f ca="1">+WORLDCUP!BD60</f>
        <v>Escocia</v>
      </c>
      <c r="G206" s="9" t="str">
        <f ca="1">+WORLDCUP!BD58</f>
        <v>República Checa</v>
      </c>
      <c r="H206" s="9" t="str">
        <f ca="1">+WORLDCUP!BD63</f>
        <v>Suecia</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Bélgica</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Bélgica</v>
      </c>
      <c r="E208" s="9" t="str">
        <f ca="1">+WORLDCUP!BD67</f>
        <v>Jordania</v>
      </c>
      <c r="F208" s="9" t="str">
        <f ca="1">+WORLDCUP!BD60</f>
        <v>Escocia</v>
      </c>
      <c r="G208" s="9" t="str">
        <f ca="1">+WORLDCUP!BD58</f>
        <v>República Checa</v>
      </c>
      <c r="H208" s="9" t="str">
        <f ca="1">+WORLDCUP!BD63</f>
        <v>Suecia</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Bélgica</v>
      </c>
      <c r="E209" s="9" t="str">
        <f ca="1">+WORLDCUP!BD67</f>
        <v>Jordania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Jordania</v>
      </c>
      <c r="E210" s="9" t="str">
        <f ca="1">+WORLDCUP!BD66</f>
        <v>Senegal</v>
      </c>
      <c r="F210" s="9" t="str">
        <f ca="1">+WORLDCUP!BD60</f>
        <v>Escocia</v>
      </c>
      <c r="G210" s="9" t="str">
        <f ca="1">+WORLDCUP!BD58</f>
        <v>República Checa</v>
      </c>
      <c r="H210" s="9" t="str">
        <f ca="1">+WORLDCUP!BD65</f>
        <v>Cabo Verde</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Jordania</v>
      </c>
      <c r="E211" s="9" t="str">
        <f ca="1">+WORLDCUP!BD66</f>
        <v>Senegal</v>
      </c>
      <c r="F211" s="9" t="str">
        <f ca="1">+WORLDCUP!BD60</f>
        <v>Escocia</v>
      </c>
      <c r="G211" s="9" t="str">
        <f ca="1">+WORLDCUP!BD58</f>
        <v>República Checa</v>
      </c>
      <c r="H211" s="9" t="str">
        <f ca="1">+WORLDCUP!BD64</f>
        <v>Bélgica</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Jordania</v>
      </c>
      <c r="F212" s="9" t="str">
        <f ca="1">+WORLDCUP!BD60</f>
        <v>Escocia</v>
      </c>
      <c r="G212" s="9" t="str">
        <f ca="1">+WORLDCUP!BD58</f>
        <v>República Checa</v>
      </c>
      <c r="H212" s="9" t="str">
        <f ca="1">+WORLDCUP!BD65</f>
        <v>Cabo Verde</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Cabo Verde</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Jordania</v>
      </c>
      <c r="F214" s="9" t="str">
        <f ca="1">+WORLDCUP!BD60</f>
        <v>Escocia</v>
      </c>
      <c r="G214" s="9" t="str">
        <f ca="1">+WORLDCUP!BD58</f>
        <v>República Checa</v>
      </c>
      <c r="H214" s="9" t="str">
        <f ca="1">+WORLDCUP!BD65</f>
        <v>Cabo Verde</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Jordania</v>
      </c>
      <c r="F215" s="9" t="str">
        <f ca="1">+WORLDCUP!BD60</f>
        <v>Escocia</v>
      </c>
      <c r="G215" s="9" t="str">
        <f ca="1">+WORLDCUP!BD58</f>
        <v>República Checa</v>
      </c>
      <c r="H215" s="9" t="str">
        <f ca="1">+WORLDCUP!BD65</f>
        <v>Cabo Verde</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Jordania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Jordania</v>
      </c>
      <c r="E217" s="9" t="str">
        <f ca="1">+WORLDCUP!BD62</f>
        <v>Ecuador</v>
      </c>
      <c r="F217" s="9" t="str">
        <f ca="1">+WORLDCUP!BD60</f>
        <v>Escocia</v>
      </c>
      <c r="G217" s="9" t="str">
        <f ca="1">+WORLDCUP!BD58</f>
        <v>República Checa</v>
      </c>
      <c r="H217" s="9" t="str">
        <f ca="1">+WORLDCUP!BD63</f>
        <v>Suecia</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Jordania</v>
      </c>
      <c r="E219" s="9" t="str">
        <f ca="1">+WORLDCUP!BD62</f>
        <v>Ecuador</v>
      </c>
      <c r="F219" s="9" t="str">
        <f ca="1">+WORLDCUP!BD60</f>
        <v>Escocia</v>
      </c>
      <c r="G219" s="9" t="str">
        <f ca="1">+WORLDCUP!BD58</f>
        <v>República Checa</v>
      </c>
      <c r="H219" s="9" t="str">
        <f ca="1">+WORLDCUP!BD63</f>
        <v>Suecia</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Jordania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Jordania</v>
      </c>
      <c r="F221" s="9" t="str">
        <f ca="1">+WORLDCUP!BD60</f>
        <v>Escocia</v>
      </c>
      <c r="G221" s="9" t="str">
        <f ca="1">+WORLDCUP!BD58</f>
        <v>República Checa</v>
      </c>
      <c r="H221" s="9" t="str">
        <f ca="1">+WORLDCUP!BD63</f>
        <v>Suecia</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Jordania</v>
      </c>
      <c r="F223" s="9" t="str">
        <f ca="1">+WORLDCUP!BD60</f>
        <v>Escocia</v>
      </c>
      <c r="G223" s="9" t="str">
        <f ca="1">+WORLDCUP!BD58</f>
        <v>República Checa</v>
      </c>
      <c r="H223" s="9" t="str">
        <f ca="1">+WORLDCUP!BD63</f>
        <v>Suecia</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Jordania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Bélgica</v>
      </c>
      <c r="E225" s="9" t="str">
        <f ca="1">+WORLDCUP!BD62</f>
        <v>Ecuador</v>
      </c>
      <c r="F225" s="9" t="str">
        <f ca="1">+WORLDCUP!BD60</f>
        <v>Escocia</v>
      </c>
      <c r="G225" s="9" t="str">
        <f ca="1">+WORLDCUP!BD58</f>
        <v>República Checa</v>
      </c>
      <c r="H225" s="9" t="str">
        <f ca="1">+WORLDCUP!BD63</f>
        <v>Suecia</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Bélgica</v>
      </c>
      <c r="E226" s="9" t="str">
        <f ca="1">+WORLDCUP!BD67</f>
        <v>Jordania</v>
      </c>
      <c r="F226" s="9" t="str">
        <f ca="1">+WORLDCUP!BD60</f>
        <v>Escocia</v>
      </c>
      <c r="G226" s="9" t="str">
        <f ca="1">+WORLDCUP!BD58</f>
        <v>República Checa</v>
      </c>
      <c r="H226" s="9" t="str">
        <f ca="1">+WORLDCUP!BD63</f>
        <v>Suecia</v>
      </c>
      <c r="I226" s="9" t="str">
        <f ca="1">+WORLDCUP!BD69</f>
        <v>Panamá</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Bélgica</v>
      </c>
      <c r="E227" s="9" t="str">
        <f ca="1">+WORLDCUP!BD67</f>
        <v>Jordania</v>
      </c>
      <c r="F227" s="9" t="str">
        <f ca="1">+WORLDCUP!BD60</f>
        <v>Escocia</v>
      </c>
      <c r="G227" s="9" t="str">
        <f ca="1">+WORLDCUP!BD58</f>
        <v>República Checa</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Bélgica</v>
      </c>
      <c r="E228" s="9" t="str">
        <f ca="1">+WORLDCUP!BD62</f>
        <v>Ecuador</v>
      </c>
      <c r="F228" s="9" t="str">
        <f ca="1">+WORLDCUP!BD60</f>
        <v>Escocia</v>
      </c>
      <c r="G228" s="9" t="str">
        <f ca="1">+WORLDCUP!BD58</f>
        <v>República Checa</v>
      </c>
      <c r="H228" s="9" t="str">
        <f ca="1">+WORLDCUP!BD63</f>
        <v>Suecia</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Bélgica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Bélgica</v>
      </c>
      <c r="E230" s="9" t="str">
        <f ca="1">+WORLDCUP!BD67</f>
        <v>Jordania</v>
      </c>
      <c r="F230" s="9" t="str">
        <f ca="1">+WORLDCUP!BD60</f>
        <v>Escocia</v>
      </c>
      <c r="G230" s="9" t="str">
        <f ca="1">+WORLDCUP!BD58</f>
        <v>República Checa</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Jordania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Bélgica</v>
      </c>
      <c r="E233" s="9" t="str">
        <f ca="1">+WORLDCUP!BD67</f>
        <v>Jordania</v>
      </c>
      <c r="F233" s="9" t="str">
        <f ca="1">+WORLDCUP!BD60</f>
        <v>Escocia</v>
      </c>
      <c r="G233" s="9" t="str">
        <f ca="1">+WORLDCUP!BD58</f>
        <v>República Checa</v>
      </c>
      <c r="H233" s="9" t="str">
        <f ca="1">+WORLDCUP!BD61</f>
        <v>Paraguay</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Bélgica</v>
      </c>
      <c r="E235" s="9" t="str">
        <f ca="1">+WORLDCUP!BD67</f>
        <v>Jordania</v>
      </c>
      <c r="F235" s="9" t="str">
        <f ca="1">+WORLDCUP!BD60</f>
        <v>Escocia</v>
      </c>
      <c r="G235" s="9" t="str">
        <f ca="1">+WORLDCUP!BD58</f>
        <v>República Checa</v>
      </c>
      <c r="H235" s="9" t="str">
        <f ca="1">+WORLDCUP!BD61</f>
        <v>Paraguay</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Bélgica</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Suecia</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Jordania</v>
      </c>
      <c r="E238" s="9" t="str">
        <f ca="1">+WORLDCUP!BD63</f>
        <v>Suecia</v>
      </c>
      <c r="F238" s="9" t="str">
        <f ca="1">+WORLDCUP!BD60</f>
        <v>Escocia</v>
      </c>
      <c r="G238" s="9" t="str">
        <f ca="1">+WORLDCUP!BD58</f>
        <v>República Checa</v>
      </c>
      <c r="H238" s="9" t="str">
        <f ca="1">+WORLDCUP!BD61</f>
        <v>Paraguay</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Jordania</v>
      </c>
      <c r="E240" s="9" t="str">
        <f ca="1">+WORLDCUP!BD63</f>
        <v>Suecia</v>
      </c>
      <c r="F240" s="9" t="str">
        <f ca="1">+WORLDCUP!BD60</f>
        <v>Escocia</v>
      </c>
      <c r="G240" s="9" t="str">
        <f ca="1">+WORLDCUP!BD58</f>
        <v>República Checa</v>
      </c>
      <c r="H240" s="9" t="str">
        <f ca="1">+WORLDCUP!BD61</f>
        <v>Paraguay</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Jordania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Bélgica</v>
      </c>
      <c r="E242" s="9" t="str">
        <f ca="1">+WORLDCUP!BD67</f>
        <v>Jordania</v>
      </c>
      <c r="F242" s="9" t="str">
        <f ca="1">+WORLDCUP!BD61</f>
        <v>Paraguay</v>
      </c>
      <c r="G242" s="9" t="str">
        <f ca="1">+WORLDCUP!BD58</f>
        <v>República Checa</v>
      </c>
      <c r="H242" s="9" t="str">
        <f ca="1">+WORLDCUP!BD63</f>
        <v>Suecia</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Suecia</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Bélgica</v>
      </c>
      <c r="E244" s="9" t="str">
        <f ca="1">+WORLDCUP!BD67</f>
        <v>Jordania</v>
      </c>
      <c r="F244" s="9" t="str">
        <f ca="1">+WORLDCUP!BD61</f>
        <v>Paraguay</v>
      </c>
      <c r="G244" s="9" t="str">
        <f ca="1">+WORLDCUP!BD58</f>
        <v>República Checa</v>
      </c>
      <c r="H244" s="9" t="str">
        <f ca="1">+WORLDCUP!BD63</f>
        <v>Suecia</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Bélgica</v>
      </c>
      <c r="E245" s="9" t="str">
        <f ca="1">+WORLDCUP!BD67</f>
        <v>Jordania</v>
      </c>
      <c r="F245" s="9" t="str">
        <f ca="1">+WORLDCUP!BD61</f>
        <v>Paraguay</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Bélgica</v>
      </c>
      <c r="E246" s="9" t="str">
        <f ca="1">+WORLDCUP!BD63</f>
        <v>Suecia</v>
      </c>
      <c r="F246" s="9" t="str">
        <f ca="1">+WORLDCUP!BD60</f>
        <v>Escocia</v>
      </c>
      <c r="G246" s="9" t="str">
        <f ca="1">+WORLDCUP!BD58</f>
        <v>República Checa</v>
      </c>
      <c r="H246" s="9" t="str">
        <f ca="1">+WORLDCUP!BD61</f>
        <v>Paraguay</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Bélgica</v>
      </c>
      <c r="E247" s="9" t="str">
        <f ca="1">+WORLDCUP!BD67</f>
        <v>Jordania</v>
      </c>
      <c r="F247" s="9" t="str">
        <f ca="1">+WORLDCUP!BD61</f>
        <v>Paraguay</v>
      </c>
      <c r="G247" s="9" t="str">
        <f ca="1">+WORLDCUP!BD58</f>
        <v>República Checa</v>
      </c>
      <c r="H247" s="9" t="str">
        <f ca="1">+WORLDCUP!BD63</f>
        <v>Suecia</v>
      </c>
      <c r="I247" s="9" t="str">
        <f ca="1">+WORLDCUP!BD69</f>
        <v>Panamá</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Bélgica</v>
      </c>
      <c r="E248" s="9" t="str">
        <f ca="1">+WORLDCUP!BD67</f>
        <v>Jordania</v>
      </c>
      <c r="F248" s="9" t="str">
        <f ca="1">+WORLDCUP!BD60</f>
        <v>Escocia</v>
      </c>
      <c r="G248" s="9" t="str">
        <f ca="1">+WORLDCUP!BD58</f>
        <v>República Checa</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Bélgica</v>
      </c>
      <c r="E249" s="9" t="str">
        <f ca="1">+WORLDCUP!BD63</f>
        <v>Suecia</v>
      </c>
      <c r="F249" s="9" t="str">
        <f ca="1">+WORLDCUP!BD60</f>
        <v>Escocia</v>
      </c>
      <c r="G249" s="9" t="str">
        <f ca="1">+WORLDCUP!BD58</f>
        <v>República Checa</v>
      </c>
      <c r="H249" s="9" t="str">
        <f ca="1">+WORLDCUP!BD61</f>
        <v>Paraguay</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Bélgica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Bélgica</v>
      </c>
      <c r="E251" s="9" t="str">
        <f ca="1">+WORLDCUP!BD67</f>
        <v>Jordania</v>
      </c>
      <c r="F251" s="9" t="str">
        <f ca="1">+WORLDCUP!BD60</f>
        <v>Escocia</v>
      </c>
      <c r="G251" s="9" t="str">
        <f ca="1">+WORLDCUP!BD58</f>
        <v>República Checa</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Jordania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Jordania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Jordania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Jordania</v>
      </c>
      <c r="F257" s="9" t="str">
        <f ca="1">+WORLDCUP!BD60</f>
        <v>Escocia</v>
      </c>
      <c r="G257" s="9" t="str">
        <f ca="1">+WORLDCUP!BD58</f>
        <v>República Checa</v>
      </c>
      <c r="H257" s="9" t="str">
        <f ca="1">+WORLDCUP!BD61</f>
        <v>Paraguay</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Jordania</v>
      </c>
      <c r="F259" s="9" t="str">
        <f ca="1">+WORLDCUP!BD60</f>
        <v>Escocia</v>
      </c>
      <c r="G259" s="9" t="str">
        <f ca="1">+WORLDCUP!BD58</f>
        <v>República Checa</v>
      </c>
      <c r="H259" s="9" t="str">
        <f ca="1">+WORLDCUP!BD61</f>
        <v>Paraguay</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Bélgica</v>
      </c>
      <c r="E262" s="9" t="str">
        <f ca="1">+WORLDCUP!BD67</f>
        <v>Jordania</v>
      </c>
      <c r="F262" s="9" t="str">
        <f ca="1">+WORLDCUP!BD60</f>
        <v>Escocia</v>
      </c>
      <c r="G262" s="9" t="str">
        <f ca="1">+WORLDCUP!BD58</f>
        <v>República Checa</v>
      </c>
      <c r="H262" s="9" t="str">
        <f ca="1">+WORLDCUP!BD61</f>
        <v>Paraguay</v>
      </c>
      <c r="I262" s="9" t="str">
        <f ca="1">+WORLDCUP!BD69</f>
        <v>Panamá</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Bélgica</v>
      </c>
      <c r="E263" s="9" t="str">
        <f ca="1">+WORLDCUP!BD67</f>
        <v>Jordania</v>
      </c>
      <c r="F263" s="9" t="str">
        <f ca="1">+WORLDCUP!BD60</f>
        <v>Escocia</v>
      </c>
      <c r="G263" s="9" t="str">
        <f ca="1">+WORLDCUP!BD58</f>
        <v>República Checa</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Bélgica</v>
      </c>
      <c r="E266" s="9" t="str">
        <f ca="1">+WORLDCUP!BD67</f>
        <v>Jordania</v>
      </c>
      <c r="F266" s="9" t="str">
        <f ca="1">+WORLDCUP!BD60</f>
        <v>Escocia</v>
      </c>
      <c r="G266" s="9" t="str">
        <f ca="1">+WORLDCUP!BD58</f>
        <v>República Checa</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Ecuador</v>
      </c>
      <c r="F267" s="9" t="str">
        <f ca="1">+WORLDCUP!BD61</f>
        <v>Paraguay</v>
      </c>
      <c r="G267" s="9" t="str">
        <f ca="1">+WORLDCUP!BD58</f>
        <v>República Checa</v>
      </c>
      <c r="H267" s="9" t="str">
        <f ca="1">+WORLDCUP!BD63</f>
        <v>Suecia</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Ecuador</v>
      </c>
      <c r="F269" s="9" t="str">
        <f ca="1">+WORLDCUP!BD61</f>
        <v>Paraguay</v>
      </c>
      <c r="G269" s="9" t="str">
        <f ca="1">+WORLDCUP!BD58</f>
        <v>República Checa</v>
      </c>
      <c r="H269" s="9" t="str">
        <f ca="1">+WORLDCUP!BD63</f>
        <v>Suecia</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Jordania</v>
      </c>
      <c r="E272" s="9" t="str">
        <f ca="1">+WORLDCUP!BD63</f>
        <v>Suecia</v>
      </c>
      <c r="F272" s="9" t="str">
        <f ca="1">+WORLDCUP!BD60</f>
        <v>Escocia</v>
      </c>
      <c r="G272" s="9" t="str">
        <f ca="1">+WORLDCUP!BD58</f>
        <v>República Checa</v>
      </c>
      <c r="H272" s="9" t="str">
        <f ca="1">+WORLDCUP!BD61</f>
        <v>Paraguay</v>
      </c>
      <c r="I272" s="9" t="str">
        <f ca="1">+WORLDCUP!BD69</f>
        <v>Panamá</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Jordania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Jordania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Suecia</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Bélgica</v>
      </c>
      <c r="E278" s="9" t="str">
        <f ca="1">+WORLDCUP!BD67</f>
        <v>Jordania</v>
      </c>
      <c r="F278" s="9" t="str">
        <f ca="1">+WORLDCUP!BD61</f>
        <v>Paraguay</v>
      </c>
      <c r="G278" s="9" t="str">
        <f ca="1">+WORLDCUP!BD58</f>
        <v>República Checa</v>
      </c>
      <c r="H278" s="9" t="str">
        <f ca="1">+WORLDCUP!BD63</f>
        <v>Suecia</v>
      </c>
      <c r="I278" s="9" t="str">
        <f ca="1">+WORLDCUP!BD69</f>
        <v>Panamá</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Bélgica</v>
      </c>
      <c r="E279" s="9" t="str">
        <f ca="1">+WORLDCUP!BD67</f>
        <v>Jordania</v>
      </c>
      <c r="F279" s="9" t="str">
        <f ca="1">+WORLDCUP!BD61</f>
        <v>Paraguay</v>
      </c>
      <c r="G279" s="9" t="str">
        <f ca="1">+WORLDCUP!BD58</f>
        <v>República Checa</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Suecia</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Bélgica</v>
      </c>
      <c r="E282" s="9" t="str">
        <f ca="1">+WORLDCUP!BD67</f>
        <v>Jordania</v>
      </c>
      <c r="F282" s="9" t="str">
        <f ca="1">+WORLDCUP!BD61</f>
        <v>Paraguay</v>
      </c>
      <c r="G282" s="9" t="str">
        <f ca="1">+WORLDCUP!BD58</f>
        <v>República Checa</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Bélgica</v>
      </c>
      <c r="E283" s="9" t="str">
        <f ca="1">+WORLDCUP!BD63</f>
        <v>Suecia</v>
      </c>
      <c r="F283" s="9" t="str">
        <f ca="1">+WORLDCUP!BD60</f>
        <v>Escocia</v>
      </c>
      <c r="G283" s="9" t="str">
        <f ca="1">+WORLDCUP!BD58</f>
        <v>República Checa</v>
      </c>
      <c r="H283" s="9" t="str">
        <f ca="1">+WORLDCUP!BD61</f>
        <v>Paraguay</v>
      </c>
      <c r="I283" s="9" t="str">
        <f ca="1">+WORLDCUP!BD69</f>
        <v>Panamá</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1</v>
      </c>
      <c r="C284" s="9" t="str">
        <f ca="1">+WORLDCUP!BD65</f>
        <v>Cabo Verde</v>
      </c>
      <c r="D284" s="9" t="str">
        <f ca="1">+WORLDCUP!BD64</f>
        <v>Bélgica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Bélgica</v>
      </c>
      <c r="E285" s="9" t="str">
        <f ca="1">+WORLDCUP!BD67</f>
        <v>Jordania</v>
      </c>
      <c r="F285" s="9" t="str">
        <f ca="1">+WORLDCUP!BD60</f>
        <v>Escocia</v>
      </c>
      <c r="G285" s="9" t="str">
        <f ca="1">+WORLDCUP!BD58</f>
        <v>República Checa</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Bélgica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Jordania</v>
      </c>
      <c r="E288" s="9" t="str">
        <f ca="1">+WORLDCUP!BD59</f>
        <v>Bosnia y Herzegovina</v>
      </c>
      <c r="F288" s="9" t="str">
        <f ca="1">+WORLDCUP!BD58</f>
        <v>República Checa</v>
      </c>
      <c r="G288" s="9" t="str">
        <f ca="1">+WORLDCUP!BD66</f>
        <v>Senegal</v>
      </c>
      <c r="H288" s="9" t="str">
        <f ca="1">+WORLDCUP!BD63</f>
        <v>Suecia</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Suecia</v>
      </c>
      <c r="G289" s="9" t="str">
        <f ca="1">+WORLDCUP!BD58</f>
        <v>República Checa</v>
      </c>
      <c r="H289" s="9" t="str">
        <f ca="1">+WORLDCUP!BD64</f>
        <v>Bélgica</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Jordania</v>
      </c>
      <c r="E290" s="9" t="str">
        <f ca="1">+WORLDCUP!BD59</f>
        <v>Bosnia y Herzegovina</v>
      </c>
      <c r="F290" s="9" t="str">
        <f ca="1">+WORLDCUP!BD63</f>
        <v>Suecia</v>
      </c>
      <c r="G290" s="9" t="str">
        <f ca="1">+WORLDCUP!BD58</f>
        <v>República Checa</v>
      </c>
      <c r="H290" s="9" t="str">
        <f ca="1">+WORLDCUP!BD64</f>
        <v>Bélgica</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Bélgica</v>
      </c>
      <c r="E291" s="9" t="str">
        <f ca="1">+WORLDCUP!BD59</f>
        <v>Bosnia y Herzegovina</v>
      </c>
      <c r="F291" s="9" t="str">
        <f ca="1">+WORLDCUP!BD58</f>
        <v>República Checa</v>
      </c>
      <c r="G291" s="9" t="str">
        <f ca="1">+WORLDCUP!BD66</f>
        <v>Senegal</v>
      </c>
      <c r="H291" s="9" t="str">
        <f ca="1">+WORLDCUP!BD63</f>
        <v>Suecia</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Jordania</v>
      </c>
      <c r="E292" s="9" t="str">
        <f ca="1">+WORLDCUP!BD59</f>
        <v>Bosnia y Herzegovina</v>
      </c>
      <c r="F292" s="9" t="str">
        <f ca="1">+WORLDCUP!BD63</f>
        <v>Suecia</v>
      </c>
      <c r="G292" s="9" t="str">
        <f ca="1">+WORLDCUP!BD58</f>
        <v>República Checa</v>
      </c>
      <c r="H292" s="9" t="str">
        <f ca="1">+WORLDCUP!BD64</f>
        <v>Bélgica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Jordania</v>
      </c>
      <c r="E293" s="9" t="str">
        <f ca="1">+WORLDCUP!BD59</f>
        <v>Bosnia y Herzegovina</v>
      </c>
      <c r="F293" s="9" t="str">
        <f ca="1">+WORLDCUP!BD63</f>
        <v>Suecia</v>
      </c>
      <c r="G293" s="9" t="str">
        <f ca="1">+WORLDCUP!BD58</f>
        <v>República Checa</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Cabo Verde</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Cabo Verde</v>
      </c>
      <c r="H296" s="9" t="str">
        <f ca="1">+WORLDCUP!BD64</f>
        <v>Bélgica</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Cabo Verde</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Cabo Verde</v>
      </c>
      <c r="H298" s="9" t="str">
        <f ca="1">+WORLDCUP!BD64</f>
        <v>Bélgica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Cabo Verde</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Suecia</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Jordania</v>
      </c>
      <c r="E301" s="9" t="str">
        <f ca="1">+WORLDCUP!BD59</f>
        <v>Bosnia y Herzegovina</v>
      </c>
      <c r="F301" s="9" t="str">
        <f ca="1">+WORLDCUP!BD63</f>
        <v>Suecia</v>
      </c>
      <c r="G301" s="9" t="str">
        <f ca="1">+WORLDCUP!BD58</f>
        <v>República Checa</v>
      </c>
      <c r="H301" s="9" t="str">
        <f ca="1">+WORLDCUP!BD65</f>
        <v>Cabo Verde</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Jordania</v>
      </c>
      <c r="E303" s="9" t="str">
        <f ca="1">+WORLDCUP!BD59</f>
        <v>Bosnia y Herzegovina</v>
      </c>
      <c r="F303" s="9" t="str">
        <f ca="1">+WORLDCUP!BD63</f>
        <v>Suecia</v>
      </c>
      <c r="G303" s="9" t="str">
        <f ca="1">+WORLDCUP!BD58</f>
        <v>República Checa</v>
      </c>
      <c r="H303" s="9" t="str">
        <f ca="1">+WORLDCUP!BD65</f>
        <v>Cabo Verde</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Jordania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Jordania</v>
      </c>
      <c r="E305" s="9" t="str">
        <f ca="1">+WORLDCUP!BD59</f>
        <v>Bosnia y Herzegovina</v>
      </c>
      <c r="F305" s="9" t="str">
        <f ca="1">+WORLDCUP!BD63</f>
        <v>Suecia</v>
      </c>
      <c r="G305" s="9" t="str">
        <f ca="1">+WORLDCUP!BD58</f>
        <v>República Checa</v>
      </c>
      <c r="H305" s="9" t="str">
        <f ca="1">+WORLDCUP!BD64</f>
        <v>Bélgica</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Suecia</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Jordania</v>
      </c>
      <c r="E307" s="9" t="str">
        <f ca="1">+WORLDCUP!BD59</f>
        <v>Bosnia y Herzegovina</v>
      </c>
      <c r="F307" s="9" t="str">
        <f ca="1">+WORLDCUP!BD63</f>
        <v>Suecia</v>
      </c>
      <c r="G307" s="9" t="str">
        <f ca="1">+WORLDCUP!BD58</f>
        <v>República Checa</v>
      </c>
      <c r="H307" s="9" t="str">
        <f ca="1">+WORLDCUP!BD64</f>
        <v>Bélgica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Jordania</v>
      </c>
      <c r="E308" s="9" t="str">
        <f ca="1">+WORLDCUP!BD59</f>
        <v>Bosnia y Herzegovina</v>
      </c>
      <c r="F308" s="9" t="str">
        <f ca="1">+WORLDCUP!BD63</f>
        <v>Suecia</v>
      </c>
      <c r="G308" s="9" t="str">
        <f ca="1">+WORLDCUP!BD58</f>
        <v>República Checa</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República Checa</v>
      </c>
      <c r="H309" s="9" t="str">
        <f ca="1">+WORLDCUP!BD65</f>
        <v>Cabo Verde</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Jordania</v>
      </c>
      <c r="E310" s="9" t="str">
        <f ca="1">+WORLDCUP!BD59</f>
        <v>Bosnia y Herzegovina</v>
      </c>
      <c r="F310" s="9" t="str">
        <f ca="1">+WORLDCUP!BD63</f>
        <v>Suecia</v>
      </c>
      <c r="G310" s="9" t="str">
        <f ca="1">+WORLDCUP!BD58</f>
        <v>República Checa</v>
      </c>
      <c r="H310" s="9" t="str">
        <f ca="1">+WORLDCUP!BD64</f>
        <v>Bélgica</v>
      </c>
      <c r="I310" s="9" t="str">
        <f ca="1">+WORLDCUP!BD69</f>
        <v>Panamá</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Jordania</v>
      </c>
      <c r="E311" s="9" t="str">
        <f ca="1">+WORLDCUP!BD59</f>
        <v>Bosnia y Herzegovina</v>
      </c>
      <c r="F311" s="9" t="str">
        <f ca="1">+WORLDCUP!BD63</f>
        <v>Suecia</v>
      </c>
      <c r="G311" s="9" t="str">
        <f ca="1">+WORLDCUP!BD58</f>
        <v>República Checa</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República Checa</v>
      </c>
      <c r="H312" s="9" t="str">
        <f ca="1">+WORLDCUP!BD65</f>
        <v>Cabo Verde</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Jordania</v>
      </c>
      <c r="E314" s="9" t="str">
        <f ca="1">+WORLDCUP!BD59</f>
        <v>Bosnia y Herzegovina</v>
      </c>
      <c r="F314" s="9" t="str">
        <f ca="1">+WORLDCUP!BD63</f>
        <v>Suecia</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Cabo Verde</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Bélgica</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Jordania</v>
      </c>
      <c r="E317" s="9" t="str">
        <f ca="1">+WORLDCUP!BD59</f>
        <v>Bosnia y Herzegovina</v>
      </c>
      <c r="F317" s="9" t="str">
        <f ca="1">+WORLDCUP!BD61</f>
        <v>Paraguay</v>
      </c>
      <c r="G317" s="9" t="str">
        <f ca="1">+WORLDCUP!BD58</f>
        <v>República Checa</v>
      </c>
      <c r="H317" s="9" t="str">
        <f ca="1">+WORLDCUP!BD64</f>
        <v>Bélgica</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Cabo Verde</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Jordania</v>
      </c>
      <c r="E319" s="9" t="str">
        <f ca="1">+WORLDCUP!BD59</f>
        <v>Bosnia y Herzegovina</v>
      </c>
      <c r="F319" s="9" t="str">
        <f ca="1">+WORLDCUP!BD61</f>
        <v>Paraguay</v>
      </c>
      <c r="G319" s="9" t="str">
        <f ca="1">+WORLDCUP!BD58</f>
        <v>República Checa</v>
      </c>
      <c r="H319" s="9" t="str">
        <f ca="1">+WORLDCUP!BD64</f>
        <v>Bélgica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Jordania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Suecia</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Jordania</v>
      </c>
      <c r="E322" s="9" t="str">
        <f ca="1">+WORLDCUP!BD59</f>
        <v>Bosnia y Herzegovina</v>
      </c>
      <c r="F322" s="9" t="str">
        <f ca="1">+WORLDCUP!BD61</f>
        <v>Paraguay</v>
      </c>
      <c r="G322" s="9" t="str">
        <f ca="1">+WORLDCUP!BD58</f>
        <v>República Checa</v>
      </c>
      <c r="H322" s="9" t="str">
        <f ca="1">+WORLDCUP!BD63</f>
        <v>Suecia</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Jordania</v>
      </c>
      <c r="E324" s="9" t="str">
        <f ca="1">+WORLDCUP!BD59</f>
        <v>Bosnia y Herzegovina</v>
      </c>
      <c r="F324" s="9" t="str">
        <f ca="1">+WORLDCUP!BD61</f>
        <v>Paraguay</v>
      </c>
      <c r="G324" s="9" t="str">
        <f ca="1">+WORLDCUP!BD58</f>
        <v>República Checa</v>
      </c>
      <c r="H324" s="9" t="str">
        <f ca="1">+WORLDCUP!BD63</f>
        <v>Suecia</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Jordania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Jordania</v>
      </c>
      <c r="E326" s="9" t="str">
        <f ca="1">+WORLDCUP!BD59</f>
        <v>Bosnia y Herzegovina</v>
      </c>
      <c r="F326" s="9" t="str">
        <f ca="1">+WORLDCUP!BD61</f>
        <v>Paraguay</v>
      </c>
      <c r="G326" s="9" t="str">
        <f ca="1">+WORLDCUP!BD58</f>
        <v>República Checa</v>
      </c>
      <c r="H326" s="9" t="str">
        <f ca="1">+WORLDCUP!BD64</f>
        <v>Bélgica</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Suecia</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Jordania</v>
      </c>
      <c r="E328" s="9" t="str">
        <f ca="1">+WORLDCUP!BD59</f>
        <v>Bosnia y Herzegovina</v>
      </c>
      <c r="F328" s="9" t="str">
        <f ca="1">+WORLDCUP!BD61</f>
        <v>Paraguay</v>
      </c>
      <c r="G328" s="9" t="str">
        <f ca="1">+WORLDCUP!BD58</f>
        <v>República Checa</v>
      </c>
      <c r="H328" s="9" t="str">
        <f ca="1">+WORLDCUP!BD64</f>
        <v>Bélgica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Jordania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República Checa</v>
      </c>
      <c r="H330" s="9" t="str">
        <f ca="1">+WORLDCUP!BD63</f>
        <v>Suecia</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República Checa</v>
      </c>
      <c r="H331" s="9" t="str">
        <f ca="1">+WORLDCUP!BD63</f>
        <v>Suecia</v>
      </c>
      <c r="I331" s="9" t="str">
        <f ca="1">+WORLDCUP!BD69</f>
        <v>Panamá</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República Checa</v>
      </c>
      <c r="H332" s="9" t="str">
        <f ca="1">+WORLDCUP!BD63</f>
        <v>Suecia</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República Checa</v>
      </c>
      <c r="H333" s="9" t="str">
        <f ca="1">+WORLDCUP!BD63</f>
        <v>Suecia</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Jordania</v>
      </c>
      <c r="E337" s="9" t="str">
        <f ca="1">+WORLDCUP!BD59</f>
        <v>Bosnia y Herzegovina</v>
      </c>
      <c r="F337" s="9" t="str">
        <f ca="1">+WORLDCUP!BD61</f>
        <v>Paraguay</v>
      </c>
      <c r="G337" s="9" t="str">
        <f ca="1">+WORLDCUP!BD58</f>
        <v>República Checa</v>
      </c>
      <c r="H337" s="9" t="str">
        <f ca="1">+WORLDCUP!BD65</f>
        <v>Cabo Verde</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Cabo Verde</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Jordania</v>
      </c>
      <c r="E339" s="9" t="str">
        <f ca="1">+WORLDCUP!BD59</f>
        <v>Bosnia y Herzegovina</v>
      </c>
      <c r="F339" s="9" t="str">
        <f ca="1">+WORLDCUP!BD61</f>
        <v>Paraguay</v>
      </c>
      <c r="G339" s="9" t="str">
        <f ca="1">+WORLDCUP!BD58</f>
        <v>República Checa</v>
      </c>
      <c r="H339" s="9" t="str">
        <f ca="1">+WORLDCUP!BD65</f>
        <v>Cabo Verde</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Jordania</v>
      </c>
      <c r="E340" s="9" t="str">
        <f ca="1">+WORLDCUP!BD59</f>
        <v>Bosnia y Herzegovina</v>
      </c>
      <c r="F340" s="9" t="str">
        <f ca="1">+WORLDCUP!BD61</f>
        <v>Paraguay</v>
      </c>
      <c r="G340" s="9" t="str">
        <f ca="1">+WORLDCUP!BD58</f>
        <v>República Checa</v>
      </c>
      <c r="H340" s="9" t="str">
        <f ca="1">+WORLDCUP!BD65</f>
        <v>Cabo Verde</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Jordania</v>
      </c>
      <c r="E341" s="9" t="str">
        <f ca="1">+WORLDCUP!BD59</f>
        <v>Bosnia y Herzegovina</v>
      </c>
      <c r="F341" s="9" t="str">
        <f ca="1">+WORLDCUP!BD61</f>
        <v>Paraguay</v>
      </c>
      <c r="G341" s="9" t="str">
        <f ca="1">+WORLDCUP!BD58</f>
        <v>República Checa</v>
      </c>
      <c r="H341" s="9" t="str">
        <f ca="1">+WORLDCUP!BD64</f>
        <v>Bélgica</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Jordania</v>
      </c>
      <c r="E343" s="9" t="str">
        <f ca="1">+WORLDCUP!BD59</f>
        <v>Bosnia y Herzegovina</v>
      </c>
      <c r="F343" s="9" t="str">
        <f ca="1">+WORLDCUP!BD61</f>
        <v>Paraguay</v>
      </c>
      <c r="G343" s="9" t="str">
        <f ca="1">+WORLDCUP!BD58</f>
        <v>República Checa</v>
      </c>
      <c r="H343" s="9" t="str">
        <f ca="1">+WORLDCUP!BD64</f>
        <v>Bélgica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Jordania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Cabo Verde</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Jordania</v>
      </c>
      <c r="E346" s="9" t="str">
        <f ca="1">+WORLDCUP!BD59</f>
        <v>Bosnia y Herzegovina</v>
      </c>
      <c r="F346" s="9" t="str">
        <f ca="1">+WORLDCUP!BD61</f>
        <v>Paraguay</v>
      </c>
      <c r="G346" s="9" t="str">
        <f ca="1">+WORLDCUP!BD58</f>
        <v>República Checa</v>
      </c>
      <c r="H346" s="9" t="str">
        <f ca="1">+WORLDCUP!BD64</f>
        <v>Bélgica</v>
      </c>
      <c r="I346" s="9" t="str">
        <f ca="1">+WORLDCUP!BD69</f>
        <v>Panamá</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Jordania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Cabo Verde</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Cabo Verde</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Jordania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Jordania</v>
      </c>
      <c r="E351" s="9" t="str">
        <f ca="1">+WORLDCUP!BD59</f>
        <v>Bosnia y Herzegovina</v>
      </c>
      <c r="F351" s="9" t="str">
        <f ca="1">+WORLDCUP!BD61</f>
        <v>Paraguay</v>
      </c>
      <c r="G351" s="9" t="str">
        <f ca="1">+WORLDCUP!BD58</f>
        <v>República Checa</v>
      </c>
      <c r="H351" s="9" t="str">
        <f ca="1">+WORLDCUP!BD63</f>
        <v>Suecia</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Jordania</v>
      </c>
      <c r="E353" s="9" t="str">
        <f ca="1">+WORLDCUP!BD59</f>
        <v>Bosnia y Herzegovina</v>
      </c>
      <c r="F353" s="9" t="str">
        <f ca="1">+WORLDCUP!BD61</f>
        <v>Paraguay</v>
      </c>
      <c r="G353" s="9" t="str">
        <f ca="1">+WORLDCUP!BD58</f>
        <v>República Checa</v>
      </c>
      <c r="H353" s="9" t="str">
        <f ca="1">+WORLDCUP!BD63</f>
        <v>Suecia</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Jordania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Jordania</v>
      </c>
      <c r="E356" s="9" t="str">
        <f ca="1">+WORLDCUP!BD59</f>
        <v>Bosnia y Herzegovina</v>
      </c>
      <c r="F356" s="9" t="str">
        <f ca="1">+WORLDCUP!BD61</f>
        <v>Paraguay</v>
      </c>
      <c r="G356" s="9" t="str">
        <f ca="1">+WORLDCUP!BD58</f>
        <v>República Checa</v>
      </c>
      <c r="H356" s="9" t="str">
        <f ca="1">+WORLDCUP!BD63</f>
        <v>Suecia</v>
      </c>
      <c r="I356" s="9" t="str">
        <f ca="1">+WORLDCUP!BD69</f>
        <v>Panamá</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Jordania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Jordania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Suecia</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Suecia</v>
      </c>
      <c r="I362" s="9" t="str">
        <f ca="1">+WORLDCUP!BD69</f>
        <v>Panamá</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Suecia</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Suecia</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República Checa</v>
      </c>
      <c r="H367" s="9" t="str">
        <f ca="1">+WORLDCUP!BD63</f>
        <v>Suecia</v>
      </c>
      <c r="I367" s="9" t="str">
        <f ca="1">+WORLDCUP!BD69</f>
        <v>Panamá</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Cabo Verde</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Bélgica</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Jordania</v>
      </c>
      <c r="E373" s="9" t="str">
        <f ca="1">+WORLDCUP!BD59</f>
        <v>Bosnia y Herzegovina</v>
      </c>
      <c r="F373" s="9" t="str">
        <f ca="1">+WORLDCUP!BD60</f>
        <v>Escocia</v>
      </c>
      <c r="G373" s="9" t="str">
        <f ca="1">+WORLDCUP!BD58</f>
        <v>República Checa</v>
      </c>
      <c r="H373" s="9" t="str">
        <f ca="1">+WORLDCUP!BD64</f>
        <v>Bélgica</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Cabo Verde</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Jordania</v>
      </c>
      <c r="E375" s="9" t="str">
        <f ca="1">+WORLDCUP!BD59</f>
        <v>Bosnia y Herzegovina</v>
      </c>
      <c r="F375" s="9" t="str">
        <f ca="1">+WORLDCUP!BD60</f>
        <v>Escocia</v>
      </c>
      <c r="G375" s="9" t="str">
        <f ca="1">+WORLDCUP!BD58</f>
        <v>República Checa</v>
      </c>
      <c r="H375" s="9" t="str">
        <f ca="1">+WORLDCUP!BD64</f>
        <v>Bélgica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Jordania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Suecia</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Jordania</v>
      </c>
      <c r="E378" s="9" t="str">
        <f ca="1">+WORLDCUP!BD59</f>
        <v>Bosnia y Herzegovina</v>
      </c>
      <c r="F378" s="9" t="str">
        <f ca="1">+WORLDCUP!BD60</f>
        <v>Escocia</v>
      </c>
      <c r="G378" s="9" t="str">
        <f ca="1">+WORLDCUP!BD58</f>
        <v>República Checa</v>
      </c>
      <c r="H378" s="9" t="str">
        <f ca="1">+WORLDCUP!BD63</f>
        <v>Suecia</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Jordania</v>
      </c>
      <c r="E380" s="9" t="str">
        <f ca="1">+WORLDCUP!BD59</f>
        <v>Bosnia y Herzegovina</v>
      </c>
      <c r="F380" s="9" t="str">
        <f ca="1">+WORLDCUP!BD60</f>
        <v>Escocia</v>
      </c>
      <c r="G380" s="9" t="str">
        <f ca="1">+WORLDCUP!BD58</f>
        <v>República Checa</v>
      </c>
      <c r="H380" s="9" t="str">
        <f ca="1">+WORLDCUP!BD63</f>
        <v>Suecia</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Jordania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Suecia</v>
      </c>
      <c r="G382" s="9" t="str">
        <f ca="1">+WORLDCUP!BD58</f>
        <v>República Checa</v>
      </c>
      <c r="H382" s="9" t="str">
        <f ca="1">+WORLDCUP!BD64</f>
        <v>Bélgica</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Suecia</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Suecia</v>
      </c>
      <c r="G384" s="9" t="str">
        <f ca="1">+WORLDCUP!BD58</f>
        <v>República Checa</v>
      </c>
      <c r="H384" s="9" t="str">
        <f ca="1">+WORLDCUP!BD64</f>
        <v>Bélgica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Suecia</v>
      </c>
      <c r="G385" s="9" t="str">
        <f ca="1">+WORLDCUP!BD58</f>
        <v>República Checa</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República Checa</v>
      </c>
      <c r="H386" s="9" t="str">
        <f ca="1">+WORLDCUP!BD63</f>
        <v>Suecia</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República Checa</v>
      </c>
      <c r="H387" s="9" t="str">
        <f ca="1">+WORLDCUP!BD63</f>
        <v>Suecia</v>
      </c>
      <c r="I387" s="9" t="str">
        <f ca="1">+WORLDCUP!BD69</f>
        <v>Panamá</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República Checa</v>
      </c>
      <c r="H388" s="9" t="str">
        <f ca="1">+WORLDCUP!BD63</f>
        <v>Suecia</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República Checa</v>
      </c>
      <c r="H389" s="9" t="str">
        <f ca="1">+WORLDCUP!BD63</f>
        <v>Suecia</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Jordania</v>
      </c>
      <c r="E393" s="9" t="str">
        <f ca="1">+WORLDCUP!BD59</f>
        <v>Bosnia y Herzegovina</v>
      </c>
      <c r="F393" s="9" t="str">
        <f ca="1">+WORLDCUP!BD60</f>
        <v>Escocia</v>
      </c>
      <c r="G393" s="9" t="str">
        <f ca="1">+WORLDCUP!BD58</f>
        <v>República Checa</v>
      </c>
      <c r="H393" s="9" t="str">
        <f ca="1">+WORLDCUP!BD65</f>
        <v>Cabo Verde</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Jordania</v>
      </c>
      <c r="E395" s="9" t="str">
        <f ca="1">+WORLDCUP!BD59</f>
        <v>Bosnia y Herzegovina</v>
      </c>
      <c r="F395" s="9" t="str">
        <f ca="1">+WORLDCUP!BD60</f>
        <v>Escocia</v>
      </c>
      <c r="G395" s="9" t="str">
        <f ca="1">+WORLDCUP!BD58</f>
        <v>República Checa</v>
      </c>
      <c r="H395" s="9" t="str">
        <f ca="1">+WORLDCUP!BD65</f>
        <v>Cabo Verde</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Jordania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Jordania</v>
      </c>
      <c r="E397" s="9" t="str">
        <f ca="1">+WORLDCUP!BD59</f>
        <v>Bosnia y Herzegovina</v>
      </c>
      <c r="F397" s="9" t="str">
        <f ca="1">+WORLDCUP!BD60</f>
        <v>Escocia</v>
      </c>
      <c r="G397" s="9" t="str">
        <f ca="1">+WORLDCUP!BD58</f>
        <v>República Checa</v>
      </c>
      <c r="H397" s="9" t="str">
        <f ca="1">+WORLDCUP!BD64</f>
        <v>Bélgica</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Jordania</v>
      </c>
      <c r="E399" s="9" t="str">
        <f ca="1">+WORLDCUP!BD59</f>
        <v>Bosnia y Herzegovina</v>
      </c>
      <c r="F399" s="9" t="str">
        <f ca="1">+WORLDCUP!BD60</f>
        <v>Escocia</v>
      </c>
      <c r="G399" s="9" t="str">
        <f ca="1">+WORLDCUP!BD58</f>
        <v>República Checa</v>
      </c>
      <c r="H399" s="9" t="str">
        <f ca="1">+WORLDCUP!BD64</f>
        <v>Bélgica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Jordania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Cabo Verde</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Jordania</v>
      </c>
      <c r="E402" s="9" t="str">
        <f ca="1">+WORLDCUP!BD59</f>
        <v>Bosnia y Herzegovina</v>
      </c>
      <c r="F402" s="9" t="str">
        <f ca="1">+WORLDCUP!BD60</f>
        <v>Escocia</v>
      </c>
      <c r="G402" s="9" t="str">
        <f ca="1">+WORLDCUP!BD58</f>
        <v>República Checa</v>
      </c>
      <c r="H402" s="9" t="str">
        <f ca="1">+WORLDCUP!BD64</f>
        <v>Bélgica</v>
      </c>
      <c r="I402" s="9" t="str">
        <f ca="1">+WORLDCUP!BD69</f>
        <v>Panamá</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Jordania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Cabo Verde</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Jordania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Jordania</v>
      </c>
      <c r="E407" s="9" t="str">
        <f ca="1">+WORLDCUP!BD59</f>
        <v>Bosnia y Herzegovina</v>
      </c>
      <c r="F407" s="9" t="str">
        <f ca="1">+WORLDCUP!BD60</f>
        <v>Escocia</v>
      </c>
      <c r="G407" s="9" t="str">
        <f ca="1">+WORLDCUP!BD58</f>
        <v>República Checa</v>
      </c>
      <c r="H407" s="9" t="str">
        <f ca="1">+WORLDCUP!BD63</f>
        <v>Suecia</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Jordania</v>
      </c>
      <c r="E409" s="9" t="str">
        <f ca="1">+WORLDCUP!BD59</f>
        <v>Bosnia y Herzegovina</v>
      </c>
      <c r="F409" s="9" t="str">
        <f ca="1">+WORLDCUP!BD60</f>
        <v>Escocia</v>
      </c>
      <c r="G409" s="9" t="str">
        <f ca="1">+WORLDCUP!BD58</f>
        <v>República Checa</v>
      </c>
      <c r="H409" s="9" t="str">
        <f ca="1">+WORLDCUP!BD63</f>
        <v>Suecia</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Jordania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Jordania</v>
      </c>
      <c r="E412" s="9" t="str">
        <f ca="1">+WORLDCUP!BD59</f>
        <v>Bosnia y Herzegovina</v>
      </c>
      <c r="F412" s="9" t="str">
        <f ca="1">+WORLDCUP!BD60</f>
        <v>Escocia</v>
      </c>
      <c r="G412" s="9" t="str">
        <f ca="1">+WORLDCUP!BD58</f>
        <v>República Checa</v>
      </c>
      <c r="H412" s="9" t="str">
        <f ca="1">+WORLDCUP!BD63</f>
        <v>Suecia</v>
      </c>
      <c r="I412" s="9" t="str">
        <f ca="1">+WORLDCUP!BD69</f>
        <v>Panamá</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Jordania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Jordania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Suecia</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Suecia</v>
      </c>
      <c r="I418" s="9" t="str">
        <f ca="1">+WORLDCUP!BD69</f>
        <v>Panamá</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Suecia</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Suecia</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República Checa</v>
      </c>
      <c r="H423" s="9" t="str">
        <f ca="1">+WORLDCUP!BD63</f>
        <v>Suecia</v>
      </c>
      <c r="I423" s="9" t="str">
        <f ca="1">+WORLDCUP!BD69</f>
        <v>Panamá</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Bélgica</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Bélgica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Suecia</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Suecia</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Suecia</v>
      </c>
      <c r="I447" s="9" t="str">
        <f ca="1">+WORLDCUP!BD69</f>
        <v>Panamá</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Jordania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Jordania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Suecia</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Suecia</v>
      </c>
      <c r="I453" s="9" t="str">
        <f ca="1">+WORLDCUP!BD69</f>
        <v>Panamá</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Suecia</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Suecia</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Suecia</v>
      </c>
      <c r="I458" s="9" t="str">
        <f ca="1">+WORLDCUP!BD69</f>
        <v>Panamá</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Suecia</v>
      </c>
      <c r="I483" s="9" t="str">
        <f ca="1">+WORLDCUP!BD69</f>
        <v>Panamá</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Jordania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Suecia</v>
      </c>
      <c r="I492" s="9" t="str">
        <f ca="1">+WORLDCUP!BD69</f>
        <v>Panamá</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x14ac:dyDescent="0.2">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x14ac:dyDescent="0.2">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5"/>
      <c r="D7" s="625"/>
      <c r="E7" s="625"/>
      <c r="F7" s="625"/>
      <c r="G7" s="625"/>
      <c r="H7" s="625"/>
      <c r="I7" s="625"/>
      <c r="J7" s="684"/>
      <c r="K7" s="224"/>
      <c r="L7" s="335"/>
      <c r="M7" s="336"/>
      <c r="N7" s="336"/>
      <c r="O7" s="336"/>
      <c r="P7" s="336"/>
      <c r="Q7" s="336"/>
      <c r="R7" s="337"/>
    </row>
    <row r="8" spans="1:18" x14ac:dyDescent="0.2">
      <c r="A8" s="223"/>
      <c r="B8" s="683"/>
      <c r="C8" s="625"/>
      <c r="D8" s="625"/>
      <c r="E8" s="625"/>
      <c r="F8" s="625"/>
      <c r="G8" s="625"/>
      <c r="H8" s="625"/>
      <c r="I8" s="625"/>
      <c r="J8" s="684"/>
      <c r="K8" s="224"/>
    </row>
    <row r="9" spans="1:18" x14ac:dyDescent="0.2">
      <c r="A9" s="223"/>
      <c r="B9" s="683"/>
      <c r="C9" s="625"/>
      <c r="D9" s="625"/>
      <c r="E9" s="625"/>
      <c r="F9" s="625"/>
      <c r="G9" s="625"/>
      <c r="H9" s="625"/>
      <c r="I9" s="625"/>
      <c r="J9" s="684"/>
      <c r="K9" s="224"/>
      <c r="L9" s="259" t="s">
        <v>309</v>
      </c>
    </row>
    <row r="10" spans="1:18" x14ac:dyDescent="0.2">
      <c r="A10" s="223"/>
      <c r="B10" s="683"/>
      <c r="C10" s="625"/>
      <c r="D10" s="625"/>
      <c r="E10" s="625"/>
      <c r="F10" s="625"/>
      <c r="G10" s="625"/>
      <c r="H10" s="625"/>
      <c r="I10" s="625"/>
      <c r="J10" s="684"/>
      <c r="K10" s="224"/>
      <c r="L10" s="331"/>
      <c r="M10" s="332"/>
      <c r="N10" s="332"/>
      <c r="O10" s="332"/>
      <c r="P10" s="332"/>
      <c r="Q10" s="332"/>
      <c r="R10" s="333"/>
    </row>
    <row r="11" spans="1:18" x14ac:dyDescent="0.2">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2026-06-23T02:00:44Z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
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028"/>
  <workbookPr codeName="ThisWorkbook" defaultThemeVersion="124226"/>
  <mc:AlternateContent xmlns:mc="http://schemas.openxmlformats.org/markup-compatibility/2006">
    <mc:Choice Requires="x15">
      <x15ac:absPath xmlns:x15ac="http://schemas.microsoft.com/office/spreadsheetml/2010/11/ac" url="C:\Users\soyte\OneDrive\Desktop\"/>
    </mc:Choice>
  </mc:AlternateContent>
  <xr:revisionPtr revIDLastSave="0" documentId="8_{7F4A6151-850B-485C-BE5D-C8968629BD20}" xr6:coauthVersionLast="47" xr6:coauthVersionMax="47" xr10:uidLastSave="{00000000-0000-0000-0000-000000000000}"/>
  <bookViews>
    <workbookView xWindow="-108" yWindow="-108" windowWidth="23256" windowHeight="12456"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U68" i="2"/>
  <c r="T68" i="2"/>
  <c r="R68" i="2"/>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Q61" i="2"/>
  <c r="O61" i="2"/>
  <c r="N61" i="2"/>
  <c r="L61" i="2"/>
  <c r="K61" i="2"/>
  <c r="I61" i="2"/>
  <c r="H61" i="2"/>
  <c r="D61" i="2"/>
  <c r="BO60" i="2"/>
  <c r="BB60" i="2"/>
  <c r="AG60" i="2"/>
  <c r="AE60" i="2" a="1"/>
  <c r="AE60" i="2" s="1"/>
  <c r="AB60" i="2" a="1"/>
  <c r="AB60" i="2" s="1"/>
  <c r="T60" i="2"/>
  <c r="R60" i="2"/>
  <c r="Q60" i="2"/>
  <c r="O60" i="2"/>
  <c r="N60" i="2"/>
  <c r="L60" i="2"/>
  <c r="K60" i="2"/>
  <c r="I60" i="2"/>
  <c r="H60" i="2"/>
  <c r="F60" i="2"/>
  <c r="E60" i="2"/>
  <c r="D60" i="2"/>
  <c r="U60" i="2" s="1"/>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F53" i="2"/>
  <c r="D53" i="2"/>
  <c r="AG52" i="2"/>
  <c r="AE52" i="2" a="1"/>
  <c r="AE52" i="2" s="1"/>
  <c r="AB52" i="2" a="1"/>
  <c r="AB52" i="2" s="1"/>
  <c r="T52" i="2"/>
  <c r="R52" i="2"/>
  <c r="Q52" i="2"/>
  <c r="O52" i="2"/>
  <c r="N52" i="2"/>
  <c r="L52" i="2"/>
  <c r="K52" i="2"/>
  <c r="I52" i="2"/>
  <c r="H52" i="2"/>
  <c r="F52" i="2"/>
  <c r="E52" i="2"/>
  <c r="D52" i="2"/>
  <c r="U52" i="2" s="1"/>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U44" i="2"/>
  <c r="R44" i="2"/>
  <c r="L44" i="2"/>
  <c r="I44" i="2"/>
  <c r="H44" i="2"/>
  <c r="F44" i="2"/>
  <c r="E44" i="2"/>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T29" i="2"/>
  <c r="R29" i="2"/>
  <c r="Q29" i="2"/>
  <c r="O29" i="2"/>
  <c r="N29" i="2"/>
  <c r="L29" i="2"/>
  <c r="K29" i="2"/>
  <c r="I29" i="2"/>
  <c r="H29" i="2"/>
  <c r="F29" i="2"/>
  <c r="E29" i="2"/>
  <c r="D29" i="2"/>
  <c r="U29" i="2" s="1"/>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U21" i="2"/>
  <c r="T21" i="2"/>
  <c r="R21" i="2"/>
  <c r="Q21" i="2"/>
  <c r="O21" i="2"/>
  <c r="N21" i="2"/>
  <c r="L21" i="2"/>
  <c r="K21" i="2"/>
  <c r="H21" i="2"/>
  <c r="D21" i="2"/>
  <c r="I21" i="2" s="1"/>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O37" i="2"/>
  <c r="N37" i="2"/>
  <c r="L37" i="2"/>
  <c r="U37" i="2"/>
  <c r="T37" i="2"/>
  <c r="R37" i="2"/>
  <c r="H37" i="2"/>
  <c r="F37" i="2"/>
  <c r="Q37" i="2"/>
  <c r="K37" i="2"/>
  <c r="I37" i="2"/>
  <c r="T55" i="2"/>
  <c r="R55" i="2"/>
  <c r="Q55" i="2"/>
  <c r="O55" i="2"/>
  <c r="N55" i="2"/>
  <c r="K55" i="2"/>
  <c r="I55" i="2"/>
  <c r="H55" i="2"/>
  <c r="F55" i="2"/>
  <c r="E55" i="2"/>
  <c r="L55" i="2"/>
  <c r="U55" i="2"/>
  <c r="N17" i="2"/>
  <c r="L17" i="2"/>
  <c r="K17" i="2"/>
  <c r="I17" i="2"/>
  <c r="H17" i="2"/>
  <c r="Q17" i="2"/>
  <c r="E3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F36" i="2"/>
  <c r="E36" i="2"/>
  <c r="U36" i="2"/>
  <c r="T36" i="2"/>
  <c r="R36" i="2"/>
  <c r="L36" i="2"/>
  <c r="K36" i="2"/>
  <c r="H45" i="2"/>
  <c r="F45" i="2"/>
  <c r="E45" i="2"/>
  <c r="T45" i="2"/>
  <c r="K45" i="2"/>
  <c r="O45" i="2"/>
  <c r="N45" i="2"/>
  <c r="L45" i="2"/>
  <c r="I45" i="2"/>
  <c r="Q45" i="2"/>
  <c r="U45" i="2"/>
  <c r="R45" i="2"/>
  <c r="H36" i="2"/>
  <c r="I36" i="2"/>
  <c r="T14" i="2"/>
  <c r="N25" i="2"/>
  <c r="U30" i="2"/>
  <c r="N36" i="2"/>
  <c r="O39" i="2"/>
  <c r="N39" i="2"/>
  <c r="L39" i="2"/>
  <c r="U39" i="2"/>
  <c r="T39" i="2"/>
  <c r="R39" i="2"/>
  <c r="Q39" i="2"/>
  <c r="K39" i="2"/>
  <c r="I39" i="2"/>
  <c r="AC142" i="2"/>
  <c r="AC119" i="2"/>
  <c r="AC130" i="2"/>
  <c r="AC75" i="2"/>
  <c r="AC91" i="2"/>
  <c r="AC83" i="2"/>
  <c r="AC59" i="2"/>
  <c r="AC100" i="2"/>
  <c r="AC43" i="2"/>
  <c r="AC35" i="2"/>
  <c r="U14" i="2"/>
  <c r="O25" i="2"/>
  <c r="AR29" i="2"/>
  <c r="O36" i="2"/>
  <c r="E39" i="2"/>
  <c r="AD142" i="2"/>
  <c r="AD59" i="2"/>
  <c r="AD91" i="2"/>
  <c r="AD130" i="2"/>
  <c r="AD119" i="2"/>
  <c r="AD43" i="2"/>
  <c r="AD83" i="2"/>
  <c r="AD100" i="2"/>
  <c r="AD75" i="2"/>
  <c r="AD35" i="2"/>
  <c r="AD27" i="2"/>
  <c r="AD67" i="2"/>
  <c r="AD51" i="2"/>
  <c r="E14" i="2"/>
  <c r="Q25" i="2"/>
  <c r="Q36" i="2"/>
  <c r="F39" i="2"/>
  <c r="AF137" i="2"/>
  <c r="AF142" i="2"/>
  <c r="AF146" i="2"/>
  <c r="AF59" i="2"/>
  <c r="AF91" i="2"/>
  <c r="AF67" i="2"/>
  <c r="AF100" i="2"/>
  <c r="AF119" i="2"/>
  <c r="AF83" i="2"/>
  <c r="AF75" i="2"/>
  <c r="AF51" i="2"/>
  <c r="AR85" i="2"/>
  <c r="AR53" i="2"/>
  <c r="AR101" i="2"/>
  <c r="AR77" i="2"/>
  <c r="AR37" i="2"/>
  <c r="AR69" i="2"/>
  <c r="AR93" i="2"/>
  <c r="AR61" i="2"/>
  <c r="AR45" i="2"/>
  <c r="F14" i="2"/>
  <c r="U16" i="2"/>
  <c r="E21" i="2"/>
  <c r="R25" i="2"/>
  <c r="H39" i="2"/>
  <c r="BJ5" i="2"/>
  <c r="BJ57" i="2" s="1"/>
  <c r="F21" i="2"/>
  <c r="T25" i="2"/>
  <c r="N53" i="2"/>
  <c r="L53" i="2"/>
  <c r="Q53" i="2"/>
  <c r="O53" i="2"/>
  <c r="K53" i="2"/>
  <c r="H53" i="2"/>
  <c r="T53" i="2"/>
  <c r="U53" i="2"/>
  <c r="R53" i="2"/>
  <c r="I53" i="2"/>
  <c r="N79" i="2"/>
  <c r="L79" i="2"/>
  <c r="K79" i="2"/>
  <c r="F79" i="2"/>
  <c r="Q79" i="2"/>
  <c r="O79" i="2"/>
  <c r="T79" i="2"/>
  <c r="R79" i="2"/>
  <c r="I79" i="2"/>
  <c r="H79" i="2"/>
  <c r="E79" i="2"/>
  <c r="U79" i="2"/>
  <c r="C184" i="3"/>
  <c r="B202" i="3"/>
  <c r="N41" i="2"/>
  <c r="L41" i="2"/>
  <c r="K41" i="2"/>
  <c r="H41" i="2"/>
  <c r="Q41" i="2"/>
  <c r="U41" i="2"/>
  <c r="T41" i="2"/>
  <c r="E53"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I68" i="2"/>
  <c r="H68" i="2"/>
  <c r="F68" i="2"/>
  <c r="L68" i="2"/>
  <c r="N68" i="2"/>
  <c r="K68" i="2"/>
  <c r="E68" i="2"/>
  <c r="Q68" i="2"/>
  <c r="Q85" i="2"/>
  <c r="I85" i="2"/>
  <c r="H85" i="2"/>
  <c r="F85" i="2"/>
  <c r="U85" i="2"/>
  <c r="L85" i="2"/>
  <c r="K85" i="2"/>
  <c r="T85" i="2"/>
  <c r="R85" i="2"/>
  <c r="O85" i="2"/>
  <c r="E85" i="2"/>
  <c r="C213" i="3"/>
  <c r="L32" i="2"/>
  <c r="K32" i="2"/>
  <c r="K38" i="2"/>
  <c r="Q44" i="2"/>
  <c r="O44" i="2"/>
  <c r="N44" i="2"/>
  <c r="K44" i="2"/>
  <c r="T44" i="2"/>
  <c r="F54" i="2"/>
  <c r="E54" i="2"/>
  <c r="N54" i="2"/>
  <c r="L54" i="2"/>
  <c r="K54" i="2"/>
  <c r="H54" i="2"/>
  <c r="Q54" i="2"/>
  <c r="E64" i="2"/>
  <c r="O68" i="2"/>
  <c r="N85" i="2"/>
  <c r="L49" i="2"/>
  <c r="O56" i="2"/>
  <c r="N56" i="2"/>
  <c r="F61" i="2"/>
  <c r="E61"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R61" i="2"/>
  <c r="Q84" i="2"/>
  <c r="I97" i="2"/>
  <c r="C226" i="3"/>
  <c r="C232" i="3"/>
  <c r="B232" i="3"/>
  <c r="AB34" i="9"/>
  <c r="K33" i="8"/>
  <c r="B29" i="8"/>
  <c r="U40" i="2"/>
  <c r="H49" i="2"/>
  <c r="T56" i="2"/>
  <c r="L57" i="2"/>
  <c r="K57" i="2"/>
  <c r="T61" i="2"/>
  <c r="I63" i="2"/>
  <c r="H63" i="2"/>
  <c r="L63" i="2"/>
  <c r="N70" i="2"/>
  <c r="L70" i="2"/>
  <c r="K70" i="2"/>
  <c r="Q70" i="2"/>
  <c r="O70" i="2"/>
  <c r="R84" i="2"/>
  <c r="U97" i="2"/>
  <c r="C244" i="3"/>
  <c r="B244" i="3"/>
  <c r="C236" i="3"/>
  <c r="C258" i="3"/>
  <c r="AG160" i="2"/>
  <c r="E47" i="2"/>
  <c r="E48" i="2"/>
  <c r="I49" i="2"/>
  <c r="U56" i="2"/>
  <c r="E57" i="2"/>
  <c r="U61"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R3" i="4" s="1"/>
  <c r="AA56" i="2"/>
  <c r="R83" i="9"/>
  <c r="S56" i="9"/>
  <c r="T74" i="9"/>
  <c r="R65" i="9"/>
  <c r="T86" i="9"/>
  <c r="S64" i="9"/>
  <c r="S72" i="9"/>
  <c r="R70" i="9"/>
  <c r="AI34" i="9"/>
  <c r="R54" i="9"/>
  <c r="S84" i="9"/>
  <c r="T54" i="9"/>
  <c r="R72" i="9"/>
  <c r="T72" i="9"/>
  <c r="S59" i="9"/>
  <c r="BD14" i="2"/>
  <c r="A21" i="2"/>
  <c r="A14" i="2"/>
  <c r="BD11" i="2"/>
  <c r="BC43" i="2"/>
  <c r="AA48" i="2"/>
  <c r="AF44" i="2"/>
  <c r="F43" i="4" s="1"/>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R4" i="4" s="1"/>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4" i="4" l="1"/>
  <c r="O6" i="4"/>
  <c r="B43" i="3"/>
  <c r="B72" i="3"/>
  <c r="O31" i="4"/>
  <c r="C47" i="4"/>
  <c r="BC37" i="2"/>
  <c r="BC15" i="2"/>
  <c r="AF33" i="2"/>
  <c r="F32" i="4" s="1"/>
  <c r="AF30" i="2"/>
  <c r="F29" i="4" s="1"/>
  <c r="AY32" i="2"/>
  <c r="AA29" i="2"/>
  <c r="C14" i="4"/>
  <c r="B33" i="3"/>
  <c r="BC49" i="2"/>
  <c r="AA63" i="2"/>
  <c r="AA65" i="2"/>
  <c r="AY65" i="2"/>
  <c r="AF61" i="2"/>
  <c r="R12" i="4" s="1"/>
  <c r="AA25" i="2"/>
  <c r="AF22" i="2"/>
  <c r="F21" i="4" s="1"/>
  <c r="AY23" i="2"/>
  <c r="AF20" i="2"/>
  <c r="C12" i="4"/>
  <c r="BC20" i="2"/>
  <c r="O44" i="4"/>
  <c r="AF85" i="2"/>
  <c r="R36" i="4" s="1"/>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F44" i="4" s="1"/>
  <c r="BC23" i="2"/>
  <c r="BC47" i="2"/>
  <c r="O48" i="4"/>
  <c r="B77" i="3"/>
  <c r="BC19" i="2"/>
  <c r="O5" i="4"/>
  <c r="AA96" i="2"/>
  <c r="AY97" i="2"/>
  <c r="AF93" i="2"/>
  <c r="R44" i="4" s="1"/>
  <c r="AA95" i="2"/>
  <c r="AY30" i="2"/>
  <c r="AA30" i="2"/>
  <c r="AF32" i="2"/>
  <c r="F31" i="4" s="1"/>
  <c r="AA28" i="2"/>
  <c r="BC29" i="2"/>
  <c r="BC25" i="2"/>
  <c r="AY39" i="2"/>
  <c r="AA40" i="2"/>
  <c r="AF39" i="2"/>
  <c r="F38" i="4" s="1"/>
  <c r="AF36" i="2"/>
  <c r="F35" i="4" s="1"/>
  <c r="AF87" i="2"/>
  <c r="R38" i="4" s="1"/>
  <c r="AA89" i="2"/>
  <c r="AF84" i="2"/>
  <c r="R35" i="4" s="1"/>
  <c r="AY87" i="2"/>
  <c r="C5" i="4"/>
  <c r="O3" i="4"/>
  <c r="B18" i="3"/>
  <c r="O7" i="4"/>
  <c r="AA21" i="2"/>
  <c r="AF25" i="2"/>
  <c r="F24" i="4" s="1"/>
  <c r="AY24" i="2"/>
  <c r="AF23" i="2"/>
  <c r="F22" i="4" s="1"/>
  <c r="BC18" i="2"/>
  <c r="AY41" i="2"/>
  <c r="AF37" i="2"/>
  <c r="F36" i="4" s="1"/>
  <c r="AA41" i="2"/>
  <c r="AA39" i="2"/>
  <c r="BC8" i="2"/>
  <c r="BC46" i="2"/>
  <c r="BC21" i="2"/>
  <c r="C7" i="4"/>
  <c r="BC16" i="2"/>
  <c r="AF9" i="2"/>
  <c r="AA5" i="2"/>
  <c r="AF7" i="2"/>
  <c r="AY8" i="2"/>
  <c r="BC32" i="2"/>
  <c r="AY33" i="2"/>
  <c r="AA31" i="2"/>
  <c r="AF29" i="2"/>
  <c r="F28" i="4" s="1"/>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R11" i="4" s="1"/>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R19" i="4" s="1"/>
  <c r="AY71" i="2"/>
  <c r="AF24" i="2"/>
  <c r="F23" i="4" s="1"/>
  <c r="AA23" i="2"/>
  <c r="AA20" i="2"/>
  <c r="AY22" i="2"/>
  <c r="AA14" i="2"/>
  <c r="AF13" i="2"/>
  <c r="AA16" i="2"/>
  <c r="AY17" i="2"/>
  <c r="BC24" i="2"/>
  <c r="AA85" i="2"/>
  <c r="AF89" i="2"/>
  <c r="R40" i="4" s="1"/>
  <c r="AF86" i="2"/>
  <c r="R37" i="4" s="1"/>
  <c r="AY88" i="2"/>
  <c r="AY25" i="2"/>
  <c r="AA22" i="2"/>
  <c r="AA24" i="2"/>
  <c r="AF21" i="2"/>
  <c r="F20" i="4" s="1"/>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19" i="4" l="1"/>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179" i="3"/>
  <c r="C179" i="3"/>
  <c r="BG108" i="2"/>
  <c r="AA4" i="4"/>
  <c r="B171" i="3"/>
  <c r="AA7" i="4"/>
  <c r="BG107" i="2"/>
  <c r="BR13" i="2"/>
  <c r="C171" i="3"/>
  <c r="AU101" i="2"/>
  <c r="AV100" i="2" s="1"/>
  <c r="AA37" i="4"/>
  <c r="BR19" i="2"/>
  <c r="BS41" i="2" s="1"/>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BT44" i="2"/>
  <c r="BT14" i="2"/>
  <c r="E20" i="2" s="1"/>
  <c r="BT42" i="2"/>
  <c r="BT9" i="2"/>
  <c r="E8" i="2" s="1"/>
  <c r="BT37" i="2"/>
  <c r="BT8" i="2"/>
  <c r="F9" i="2" s="1"/>
  <c r="BT18" i="2"/>
  <c r="E28" i="2" s="1"/>
  <c r="BT11" i="2"/>
  <c r="F12" i="2" s="1"/>
  <c r="BT25" i="2"/>
  <c r="BT39" i="2"/>
  <c r="BT52" i="2"/>
  <c r="BT16" i="2"/>
  <c r="BT32" i="2"/>
  <c r="BT17" i="2"/>
  <c r="BT35" i="2"/>
  <c r="BT26" i="2"/>
  <c r="BT50" i="2"/>
  <c r="BT30" i="2"/>
  <c r="BT34" i="2"/>
  <c r="BT7" i="2"/>
  <c r="E9" i="2" s="1"/>
  <c r="BT27" i="2"/>
  <c r="BT28" i="2"/>
  <c r="BT48" i="2"/>
  <c r="BT20" i="2"/>
  <c r="BT24" i="2"/>
  <c r="BT13" i="2"/>
  <c r="F13" i="2" s="1"/>
  <c r="BT23" i="2"/>
  <c r="BT22" i="2"/>
  <c r="BT31" i="2"/>
  <c r="BT49" i="2"/>
  <c r="BT21" i="2"/>
  <c r="BT15" i="2"/>
  <c r="F20" i="2" s="1"/>
  <c r="BT45" i="2"/>
  <c r="BT33" i="2"/>
  <c r="BT12" i="2"/>
  <c r="E13" i="2" s="1"/>
  <c r="BT6" i="2"/>
  <c r="F8" i="2" s="1"/>
  <c r="BT10" i="2"/>
  <c r="E12" i="2" s="1"/>
  <c r="BT46" i="2"/>
  <c r="BI112" i="2"/>
  <c r="BT19" i="2"/>
  <c r="F28" i="2" s="1"/>
  <c r="BT29" i="2"/>
  <c r="BT53" i="2"/>
  <c r="BT36" i="2"/>
  <c r="E5" i="2" l="1"/>
  <c r="F7" i="2"/>
  <c r="E4" i="2"/>
  <c r="E7" i="2"/>
  <c r="F5" i="2"/>
  <c r="E6" i="2"/>
  <c r="F4" i="2"/>
  <c r="BU6" i="2" s="1"/>
  <c r="F6" i="2"/>
  <c r="BU40" i="2"/>
  <c r="BX40" i="2" s="1"/>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BZ45" i="2"/>
  <c r="BZ24" i="2"/>
  <c r="CA24" i="2" s="1"/>
  <c r="BZ36" i="2"/>
  <c r="CB36" i="2" s="1"/>
  <c r="BZ39" i="2"/>
  <c r="CB39" i="2" s="1"/>
  <c r="BZ31" i="2"/>
  <c r="CA31" i="2" s="1"/>
  <c r="BZ22" i="2"/>
  <c r="CB22" i="2" s="1"/>
  <c r="BZ23" i="2"/>
  <c r="CB23" i="2" s="1"/>
  <c r="BZ33" i="2"/>
  <c r="CB33" i="2" s="1"/>
  <c r="BZ21" i="2"/>
  <c r="CB21" i="2" s="1"/>
  <c r="BZ27" i="2"/>
  <c r="CA27" i="2" s="1"/>
  <c r="BZ12" i="2"/>
  <c r="H13" i="2" s="1"/>
  <c r="BZ53" i="2"/>
  <c r="CA53" i="2" s="1"/>
  <c r="BZ25" i="2"/>
  <c r="CB25" i="2" s="1"/>
  <c r="BZ51" i="2"/>
  <c r="CA51" i="2" s="1"/>
  <c r="BZ16" i="2"/>
  <c r="CA16" i="2" s="1"/>
  <c r="BZ50" i="2"/>
  <c r="CA50" i="2" s="1"/>
  <c r="BZ34" i="2"/>
  <c r="CA34" i="2" s="1"/>
  <c r="BZ41" i="2"/>
  <c r="CB41" i="2" s="1"/>
  <c r="BZ30" i="2"/>
  <c r="CB30" i="2" s="1"/>
  <c r="BZ9" i="2"/>
  <c r="H8" i="2" s="1"/>
  <c r="BZ32" i="2"/>
  <c r="CB32" i="2" s="1"/>
  <c r="BZ17" i="2"/>
  <c r="CB17" i="2" s="1"/>
  <c r="BZ47" i="2"/>
  <c r="CA47" i="2" s="1"/>
  <c r="BZ6" i="2"/>
  <c r="BZ38" i="2"/>
  <c r="CB38" i="2" s="1"/>
  <c r="BZ46" i="2"/>
  <c r="CA46" i="2" s="1"/>
  <c r="BZ15" i="2"/>
  <c r="BZ44" i="2"/>
  <c r="CB44" i="2" s="1"/>
  <c r="BZ48" i="2"/>
  <c r="CA48" i="2" s="1"/>
  <c r="BZ26" i="2"/>
  <c r="CB26" i="2" s="1"/>
  <c r="BZ19" i="2"/>
  <c r="BZ20" i="2"/>
  <c r="CB20" i="2" s="1"/>
  <c r="BZ29" i="2"/>
  <c r="CB29" i="2" s="1"/>
  <c r="BZ10" i="2"/>
  <c r="BZ8" i="2"/>
  <c r="BZ28" i="2"/>
  <c r="CA28" i="2" s="1"/>
  <c r="BZ37" i="2"/>
  <c r="CA37" i="2" s="1"/>
  <c r="BZ52" i="2"/>
  <c r="CB52" i="2" s="1"/>
  <c r="BZ13" i="2"/>
  <c r="BZ35" i="2"/>
  <c r="CB35" i="2" s="1"/>
  <c r="BZ18" i="2"/>
  <c r="BZ43" i="2"/>
  <c r="CB43" i="2" s="1"/>
  <c r="BZ11" i="2"/>
  <c r="BZ14" i="2"/>
  <c r="BZ7" i="2"/>
  <c r="H9" i="2" s="1"/>
  <c r="CB42" i="2"/>
  <c r="CA42" i="2"/>
  <c r="CA49" i="2"/>
  <c r="CB49" i="2"/>
  <c r="CA33" i="2"/>
  <c r="CB40" i="2"/>
  <c r="CA40" i="2"/>
  <c r="CA21" i="2"/>
  <c r="CB45" i="2"/>
  <c r="CA45" i="2"/>
  <c r="I20" i="2" l="1"/>
  <c r="CB14" i="2" s="1"/>
  <c r="H20" i="2"/>
  <c r="CB15" i="2" s="1"/>
  <c r="CB27" i="2"/>
  <c r="CC27" i="2" s="1"/>
  <c r="CB31" i="2"/>
  <c r="CA25" i="2"/>
  <c r="CA13" i="2"/>
  <c r="I13" i="2"/>
  <c r="I28" i="2"/>
  <c r="CB18" i="2"/>
  <c r="H28" i="2"/>
  <c r="CA19" i="2" s="1"/>
  <c r="I12" i="2"/>
  <c r="CB10" i="2" s="1"/>
  <c r="CA23" i="2"/>
  <c r="CC23" i="2" s="1"/>
  <c r="H12" i="2"/>
  <c r="CA11" i="2" s="1"/>
  <c r="CA30" i="2"/>
  <c r="CC30" i="2" s="1"/>
  <c r="CB28" i="2"/>
  <c r="CC28" i="2" s="1"/>
  <c r="CA17" i="2"/>
  <c r="CC17" i="2" s="1"/>
  <c r="CA29" i="2"/>
  <c r="CC29" i="2" s="1"/>
  <c r="CB53" i="2"/>
  <c r="CC53" i="2" s="1"/>
  <c r="I7" i="2"/>
  <c r="I9" i="2"/>
  <c r="CA32" i="2"/>
  <c r="CC32" i="2" s="1"/>
  <c r="CB24" i="2"/>
  <c r="CC24" i="2" s="1"/>
  <c r="CB16" i="2"/>
  <c r="CC16" i="2" s="1"/>
  <c r="CA36" i="2"/>
  <c r="CC36" i="2" s="1"/>
  <c r="H7" i="2"/>
  <c r="I8" i="2"/>
  <c r="CB47" i="2"/>
  <c r="CC47" i="2" s="1"/>
  <c r="CA20" i="2"/>
  <c r="CC20" i="2" s="1"/>
  <c r="CA26" i="2"/>
  <c r="CC26" i="2" s="1"/>
  <c r="CA14" i="2"/>
  <c r="I4" i="2"/>
  <c r="CB6" i="2" s="1"/>
  <c r="I6" i="2"/>
  <c r="I5" i="2"/>
  <c r="CB8" i="2" s="1"/>
  <c r="H6" i="2"/>
  <c r="CA15" i="2"/>
  <c r="CA44" i="2"/>
  <c r="CC44" i="2" s="1"/>
  <c r="CA18" i="2"/>
  <c r="CC18" i="2" s="1"/>
  <c r="H5" i="2"/>
  <c r="CA52" i="2"/>
  <c r="CC52" i="2" s="1"/>
  <c r="CB46" i="2"/>
  <c r="CC46" i="2" s="1"/>
  <c r="CB50" i="2"/>
  <c r="CC50" i="2" s="1"/>
  <c r="CB34" i="2"/>
  <c r="CC34" i="2" s="1"/>
  <c r="CC31" i="2"/>
  <c r="CB13" i="2"/>
  <c r="CC13" i="2" s="1"/>
  <c r="CB37" i="2"/>
  <c r="CC37" i="2" s="1"/>
  <c r="CB51" i="2"/>
  <c r="CC51" i="2" s="1"/>
  <c r="CA38" i="2"/>
  <c r="CC38" i="2" s="1"/>
  <c r="CB48" i="2"/>
  <c r="CC48" i="2" s="1"/>
  <c r="H4" i="2"/>
  <c r="CC25" i="2"/>
  <c r="CC40" i="2"/>
  <c r="CC33" i="2"/>
  <c r="CC21" i="2"/>
  <c r="CA39" i="2"/>
  <c r="CC39" i="2" s="1"/>
  <c r="CA22" i="2"/>
  <c r="CC22" i="2" s="1"/>
  <c r="CA35" i="2"/>
  <c r="CC35" i="2" s="1"/>
  <c r="CC42" i="2"/>
  <c r="CB19" i="2"/>
  <c r="CA41" i="2"/>
  <c r="CC41" i="2" s="1"/>
  <c r="CC49" i="2"/>
  <c r="CC45" i="2"/>
  <c r="CA43" i="2"/>
  <c r="CC43" i="2" s="1"/>
  <c r="CC15" i="2" l="1"/>
  <c r="CB11" i="2"/>
  <c r="CC11" i="2" s="1"/>
  <c r="CA6" i="2"/>
  <c r="CC6" i="2" s="1"/>
  <c r="CC14" i="2"/>
  <c r="CC19" i="2"/>
  <c r="CA8" i="2"/>
  <c r="CC8" i="2" s="1"/>
  <c r="CA10" i="2"/>
  <c r="CC10" i="2" s="1"/>
  <c r="CB12" i="2"/>
  <c r="CA12" i="2"/>
  <c r="CA9" i="2"/>
  <c r="CB9" i="2"/>
  <c r="CB7" i="2"/>
  <c r="CA7" i="2"/>
  <c r="CC12" i="2" l="1"/>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F17" i="2" s="1"/>
  <c r="CE29" i="2"/>
  <c r="CF29" i="2" s="1"/>
  <c r="CE23" i="2"/>
  <c r="CF23" i="2" s="1"/>
  <c r="CE30" i="2"/>
  <c r="CF30" i="2" s="1"/>
  <c r="CE51" i="2"/>
  <c r="CF51" i="2" s="1"/>
  <c r="CE53" i="2"/>
  <c r="CF53" i="2" s="1"/>
  <c r="CE44" i="2"/>
  <c r="CF44" i="2" s="1"/>
  <c r="CE52" i="2"/>
  <c r="CF52" i="2" s="1"/>
  <c r="CE24" i="2"/>
  <c r="CF24" i="2" s="1"/>
  <c r="CE50" i="2"/>
  <c r="CF50" i="2" s="1"/>
  <c r="CE27" i="2"/>
  <c r="CF27" i="2" s="1"/>
  <c r="CE39" i="2"/>
  <c r="CF39" i="2" s="1"/>
  <c r="CE36" i="2"/>
  <c r="CF36" i="2" s="1"/>
  <c r="CE42" i="2"/>
  <c r="CF42" i="2" s="1"/>
  <c r="CE7" i="2"/>
  <c r="CE25" i="2"/>
  <c r="CF25" i="2" s="1"/>
  <c r="CE20" i="2"/>
  <c r="CF20" i="2" s="1"/>
  <c r="CE47" i="2"/>
  <c r="CF47" i="2" s="1"/>
  <c r="CE34" i="2"/>
  <c r="CF34" i="2" s="1"/>
  <c r="CE6" i="2"/>
  <c r="L8" i="2" s="1"/>
  <c r="CE33" i="2"/>
  <c r="CF33" i="2" s="1"/>
  <c r="CE11" i="2"/>
  <c r="CE15" i="2"/>
  <c r="CE32" i="2"/>
  <c r="CF32" i="2" s="1"/>
  <c r="CE8" i="2"/>
  <c r="L9" i="2" s="1"/>
  <c r="CE31" i="2"/>
  <c r="CF31" i="2" s="1"/>
  <c r="CE45" i="2"/>
  <c r="CF45" i="2" s="1"/>
  <c r="CE12" i="2"/>
  <c r="CE22" i="2"/>
  <c r="CF22" i="2" s="1"/>
  <c r="CE37" i="2"/>
  <c r="CF37" i="2" s="1"/>
  <c r="CE9" i="2"/>
  <c r="CE49" i="2"/>
  <c r="CF49" i="2" s="1"/>
  <c r="CE28" i="2"/>
  <c r="CF28" i="2" s="1"/>
  <c r="CE21" i="2"/>
  <c r="CF21" i="2" s="1"/>
  <c r="CE48" i="2"/>
  <c r="CF48" i="2" s="1"/>
  <c r="CE10" i="2"/>
  <c r="CE13" i="2"/>
  <c r="CE40" i="2"/>
  <c r="CF40" i="2" s="1"/>
  <c r="CE38" i="2"/>
  <c r="CF38" i="2" s="1"/>
  <c r="CE35" i="2"/>
  <c r="CF35" i="2" s="1"/>
  <c r="CE16" i="2"/>
  <c r="CF16" i="2" s="1"/>
  <c r="CE26" i="2"/>
  <c r="CF26" i="2" s="1"/>
  <c r="CE19" i="2"/>
  <c r="CE18" i="2"/>
  <c r="CE41" i="2"/>
  <c r="CF41" i="2" s="1"/>
  <c r="CE43" i="2"/>
  <c r="CF43" i="2" s="1"/>
  <c r="CE14" i="2"/>
  <c r="CE46" i="2"/>
  <c r="CF46" i="2" s="1"/>
  <c r="K20" i="2" l="1"/>
  <c r="CF15" i="2"/>
  <c r="L20" i="2"/>
  <c r="CF14" i="2" s="1"/>
  <c r="K13" i="2"/>
  <c r="CF13" i="2"/>
  <c r="L13" i="2"/>
  <c r="CF12" i="2" s="1"/>
  <c r="CF18" i="2"/>
  <c r="K28" i="2"/>
  <c r="CF19" i="2"/>
  <c r="L28" i="2"/>
  <c r="K12" i="2"/>
  <c r="CF11" i="2" s="1"/>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J41" i="2" s="1"/>
  <c r="CH7" i="2"/>
  <c r="O4" i="2" s="1"/>
  <c r="CH28" i="2"/>
  <c r="CH6" i="2"/>
  <c r="CH34" i="2"/>
  <c r="CJ34" i="2" s="1"/>
  <c r="CH16" i="2"/>
  <c r="CJ16" i="2" s="1"/>
  <c r="CH44" i="2"/>
  <c r="CI44" i="2" s="1"/>
  <c r="CH25" i="2"/>
  <c r="CJ25" i="2" s="1"/>
  <c r="CH8" i="2"/>
  <c r="O9" i="2" s="1"/>
  <c r="CH45" i="2"/>
  <c r="CJ45" i="2" s="1"/>
  <c r="CH18" i="2"/>
  <c r="CH23" i="2"/>
  <c r="CH47" i="2"/>
  <c r="CI47" i="2" s="1"/>
  <c r="CH32" i="2"/>
  <c r="CI32" i="2" s="1"/>
  <c r="CH43" i="2"/>
  <c r="CJ43" i="2" s="1"/>
  <c r="CH49" i="2"/>
  <c r="CI49" i="2" s="1"/>
  <c r="CH14" i="2"/>
  <c r="CH38" i="2"/>
  <c r="CH36" i="2"/>
  <c r="CI36" i="2" s="1"/>
  <c r="CH46" i="2"/>
  <c r="CK46" i="2" s="1"/>
  <c r="CI41" i="2"/>
  <c r="CL41" i="2" s="1"/>
  <c r="CH48" i="2"/>
  <c r="CJ48" i="2" s="1"/>
  <c r="CH24" i="2"/>
  <c r="CJ24" i="2" s="1"/>
  <c r="CH31" i="2"/>
  <c r="CJ31" i="2" s="1"/>
  <c r="CH12" i="2"/>
  <c r="CH37" i="2"/>
  <c r="CK37" i="2" s="1"/>
  <c r="CH35" i="2"/>
  <c r="CJ35" i="2" s="1"/>
  <c r="CH53" i="2"/>
  <c r="CJ53" i="2" s="1"/>
  <c r="CK41" i="2"/>
  <c r="CH17" i="2"/>
  <c r="CK17" i="2" s="1"/>
  <c r="CH19" i="2"/>
  <c r="CH52" i="2"/>
  <c r="CH51" i="2"/>
  <c r="CK51" i="2" s="1"/>
  <c r="CH9" i="2"/>
  <c r="O5" i="2" s="1"/>
  <c r="CH30" i="2"/>
  <c r="CJ30" i="2" s="1"/>
  <c r="CH13" i="2"/>
  <c r="CH42" i="2"/>
  <c r="CI42" i="2" s="1"/>
  <c r="CH27" i="2"/>
  <c r="CI27" i="2" s="1"/>
  <c r="CH40" i="2"/>
  <c r="N9" i="2"/>
  <c r="O6" i="2"/>
  <c r="CK18" i="2"/>
  <c r="CI18" i="2"/>
  <c r="CL18" i="2" s="1"/>
  <c r="CH26" i="2"/>
  <c r="CH11" i="2"/>
  <c r="O12" i="2" s="1"/>
  <c r="CH33" i="2"/>
  <c r="CH22" i="2"/>
  <c r="CH21" i="2"/>
  <c r="CH15" i="2"/>
  <c r="CH10" i="2"/>
  <c r="N12" i="2" s="1"/>
  <c r="CH39" i="2"/>
  <c r="CI16" i="2"/>
  <c r="CH29" i="2"/>
  <c r="CH20" i="2"/>
  <c r="CK20" i="2" s="1"/>
  <c r="CH50" i="2"/>
  <c r="CK45" i="2"/>
  <c r="CI45" i="2"/>
  <c r="N7" i="2"/>
  <c r="CI8" i="2" s="1"/>
  <c r="O8" i="2"/>
  <c r="N4" i="2"/>
  <c r="CJ7" i="2" s="1"/>
  <c r="N5" i="2"/>
  <c r="O7" i="2"/>
  <c r="CI28" i="2"/>
  <c r="CK28" i="2"/>
  <c r="CJ28" i="2"/>
  <c r="CI15" i="2" l="1"/>
  <c r="O20" i="2"/>
  <c r="CI14" i="2"/>
  <c r="N20" i="2"/>
  <c r="CI34" i="2"/>
  <c r="CJ32" i="2"/>
  <c r="CK43" i="2"/>
  <c r="CI43" i="2"/>
  <c r="CL43" i="2" s="1"/>
  <c r="CK32" i="2"/>
  <c r="CI6" i="2"/>
  <c r="CI25" i="2"/>
  <c r="CL25" i="2" s="1"/>
  <c r="CK8" i="2"/>
  <c r="CJ49" i="2"/>
  <c r="CL49" i="2" s="1"/>
  <c r="CK25" i="2"/>
  <c r="CJ8" i="2"/>
  <c r="CL8" i="2" s="1"/>
  <c r="CI13" i="2"/>
  <c r="O13" i="2"/>
  <c r="CJ12" i="2" s="1"/>
  <c r="CK12" i="2"/>
  <c r="N13" i="2"/>
  <c r="CJ13" i="2" s="1"/>
  <c r="CJ18" i="2"/>
  <c r="N28" i="2"/>
  <c r="CK19" i="2" s="1"/>
  <c r="O28" i="2"/>
  <c r="CK49" i="2"/>
  <c r="CL45" i="2"/>
  <c r="CI53" i="2"/>
  <c r="CL53" i="2" s="1"/>
  <c r="CK53" i="2"/>
  <c r="CK6" i="2"/>
  <c r="CI35" i="2"/>
  <c r="CL35" i="2" s="1"/>
  <c r="CI12" i="2"/>
  <c r="CK47" i="2"/>
  <c r="CK30" i="2"/>
  <c r="N6" i="2"/>
  <c r="CI7" i="2" s="1"/>
  <c r="CL7" i="2" s="1"/>
  <c r="N8" i="2"/>
  <c r="CJ6" i="2" s="1"/>
  <c r="CL6" i="2" s="1"/>
  <c r="CJ36" i="2"/>
  <c r="CL36" i="2" s="1"/>
  <c r="CK42" i="2"/>
  <c r="CJ44" i="2"/>
  <c r="CL44" i="2" s="1"/>
  <c r="CK34" i="2"/>
  <c r="CL32" i="2"/>
  <c r="CK7" i="2"/>
  <c r="CI9" i="2"/>
  <c r="CJ47" i="2"/>
  <c r="CL47" i="2" s="1"/>
  <c r="CL16" i="2"/>
  <c r="CJ46" i="2"/>
  <c r="CK36" i="2"/>
  <c r="CK48" i="2"/>
  <c r="CK24" i="2"/>
  <c r="CI17" i="2"/>
  <c r="CK15" i="2"/>
  <c r="CI24" i="2"/>
  <c r="CL24" i="2" s="1"/>
  <c r="CJ27" i="2"/>
  <c r="CL27" i="2" s="1"/>
  <c r="CK13" i="2"/>
  <c r="CK27" i="2"/>
  <c r="CK16" i="2"/>
  <c r="CI46" i="2"/>
  <c r="CJ19" i="2"/>
  <c r="CI51" i="2"/>
  <c r="CI48" i="2"/>
  <c r="CL48" i="2" s="1"/>
  <c r="CJ17" i="2"/>
  <c r="CJ51" i="2"/>
  <c r="CJ15" i="2"/>
  <c r="CL15" i="2" s="1"/>
  <c r="CK35" i="2"/>
  <c r="CJ9" i="2"/>
  <c r="CJ42" i="2"/>
  <c r="CL42" i="2" s="1"/>
  <c r="CI19" i="2"/>
  <c r="CK31" i="2"/>
  <c r="CI31" i="2"/>
  <c r="CL31" i="2" s="1"/>
  <c r="CK44" i="2"/>
  <c r="CK9" i="2"/>
  <c r="CI30" i="2"/>
  <c r="CL30" i="2" s="1"/>
  <c r="CL34" i="2"/>
  <c r="CJ14" i="2"/>
  <c r="CL14" i="2" s="1"/>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28" i="2"/>
  <c r="CL13" i="2" l="1"/>
  <c r="CL46" i="2"/>
  <c r="CL12" i="2"/>
  <c r="CL9" i="2"/>
  <c r="CL19" i="2"/>
  <c r="CL17" i="2"/>
  <c r="CL51" i="2"/>
  <c r="CL26" i="2"/>
  <c r="CL39" i="2"/>
  <c r="CL23" i="2"/>
  <c r="CL33" i="2"/>
  <c r="CL20" i="2"/>
  <c r="CL38" i="2"/>
  <c r="CL37" i="2"/>
  <c r="CL52" i="2"/>
  <c r="CL22" i="2"/>
  <c r="CL40" i="2"/>
  <c r="CL11" i="2"/>
  <c r="CL21" i="2"/>
  <c r="CL50" i="2"/>
  <c r="CL29" i="2"/>
  <c r="CL10" i="2"/>
  <c r="CM42" i="2" s="1"/>
  <c r="CM29" i="2" l="1"/>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P29" i="2" s="1"/>
  <c r="CN27" i="2"/>
  <c r="CP27" i="2" s="1"/>
  <c r="CN42" i="2"/>
  <c r="CP42" i="2" s="1"/>
  <c r="CN37" i="2"/>
  <c r="CN32" i="2"/>
  <c r="CN45" i="2"/>
  <c r="CN53" i="2"/>
  <c r="CN18" i="2"/>
  <c r="Q28" i="2" s="1"/>
  <c r="CN33" i="2"/>
  <c r="CN30" i="2"/>
  <c r="CN28" i="2"/>
  <c r="CN36" i="2"/>
  <c r="CN24" i="2"/>
  <c r="CN48" i="2"/>
  <c r="CN34" i="2"/>
  <c r="CN13" i="2"/>
  <c r="R13" i="2" s="1"/>
  <c r="CN51" i="2"/>
  <c r="CN43" i="2"/>
  <c r="CN15" i="2"/>
  <c r="R20" i="2" s="1"/>
  <c r="CN14" i="2"/>
  <c r="Q20" i="2" s="1"/>
  <c r="CN40" i="2"/>
  <c r="CN26" i="2"/>
  <c r="CN31" i="2"/>
  <c r="CN38" i="2"/>
  <c r="CN21" i="2"/>
  <c r="CN23" i="2"/>
  <c r="CN17" i="2"/>
  <c r="CN20" i="2"/>
  <c r="CN35" i="2"/>
  <c r="CN44" i="2"/>
  <c r="CN25" i="2"/>
  <c r="CN39" i="2"/>
  <c r="CN52" i="2"/>
  <c r="CN47" i="2"/>
  <c r="CN50" i="2"/>
  <c r="CN16" i="2"/>
  <c r="CN12" i="2"/>
  <c r="Q13" i="2" s="1"/>
  <c r="CN22" i="2"/>
  <c r="CN19" i="2"/>
  <c r="R28" i="2" s="1"/>
  <c r="CN49" i="2"/>
  <c r="CN41" i="2"/>
  <c r="CN8" i="2"/>
  <c r="CN9" i="2"/>
  <c r="CN10" i="2"/>
  <c r="Q12" i="2" s="1"/>
  <c r="CN6" i="2"/>
  <c r="Q4" i="2" s="1"/>
  <c r="CN7" i="2"/>
  <c r="R4" i="2" s="1"/>
  <c r="CN46" i="2"/>
  <c r="CN11" i="2"/>
  <c r="R12" i="2" s="1"/>
  <c r="CO42" i="2" l="1"/>
  <c r="CQ42" i="2" s="1"/>
  <c r="CO29" i="2"/>
  <c r="CQ29" i="2" s="1"/>
  <c r="CO27" i="2"/>
  <c r="CQ27" i="2" s="1"/>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P8" i="2" l="1"/>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T49" i="2" s="1"/>
  <c r="CS26" i="2"/>
  <c r="CT26" i="2" s="1"/>
  <c r="CS52" i="2"/>
  <c r="CT52" i="2" s="1"/>
  <c r="CS53" i="2"/>
  <c r="CT53" i="2" s="1"/>
  <c r="CS41" i="2"/>
  <c r="CT41" i="2" s="1"/>
  <c r="CS29" i="2"/>
  <c r="CT29" i="2" s="1"/>
  <c r="CS8" i="2"/>
  <c r="CS31" i="2"/>
  <c r="CT31" i="2" s="1"/>
  <c r="CS39" i="2"/>
  <c r="CT39" i="2" s="1"/>
  <c r="CS28" i="2"/>
  <c r="CT28" i="2" s="1"/>
  <c r="CS44" i="2"/>
  <c r="CT44" i="2" s="1"/>
  <c r="CS20" i="2"/>
  <c r="CT20" i="2" s="1"/>
  <c r="CS21" i="2"/>
  <c r="CT21" i="2" s="1"/>
  <c r="CS38" i="2"/>
  <c r="CT38" i="2" s="1"/>
  <c r="CS30" i="2"/>
  <c r="CT30" i="2" s="1"/>
  <c r="CS32" i="2"/>
  <c r="CT32" i="2" s="1"/>
  <c r="CS17" i="2"/>
  <c r="CT17" i="2" s="1"/>
  <c r="CS7" i="2"/>
  <c r="U4" i="2" s="1"/>
  <c r="CS23" i="2"/>
  <c r="CT23" i="2" s="1"/>
  <c r="CS48" i="2"/>
  <c r="CT48" i="2" s="1"/>
  <c r="CS12" i="2"/>
  <c r="CS34" i="2"/>
  <c r="CT34" i="2" s="1"/>
  <c r="CS16" i="2"/>
  <c r="CT16" i="2" s="1"/>
  <c r="CS10" i="2"/>
  <c r="CS9" i="2"/>
  <c r="T6" i="2" s="1"/>
  <c r="CS40" i="2"/>
  <c r="CT40" i="2" s="1"/>
  <c r="CS6" i="2"/>
  <c r="T7" i="2" s="1"/>
  <c r="CS11" i="2"/>
  <c r="CS27" i="2"/>
  <c r="CT27" i="2" s="1"/>
  <c r="CS46" i="2"/>
  <c r="CT46" i="2" s="1"/>
  <c r="CS42" i="2"/>
  <c r="CT42" i="2" s="1"/>
  <c r="CS25" i="2"/>
  <c r="CT25" i="2" s="1"/>
  <c r="CS19" i="2"/>
  <c r="CS33" i="2"/>
  <c r="CT33" i="2" s="1"/>
  <c r="CS13" i="2"/>
  <c r="CS37" i="2"/>
  <c r="CT37" i="2" s="1"/>
  <c r="CS36" i="2"/>
  <c r="CT36" i="2" s="1"/>
  <c r="CS51" i="2"/>
  <c r="CT51" i="2" s="1"/>
  <c r="CS50" i="2"/>
  <c r="CT50" i="2" s="1"/>
  <c r="CS45" i="2"/>
  <c r="CT45" i="2" s="1"/>
  <c r="CS24" i="2"/>
  <c r="CT24" i="2" s="1"/>
  <c r="CS47" i="2"/>
  <c r="CT47" i="2" s="1"/>
  <c r="CS43" i="2"/>
  <c r="CT43" i="2" s="1"/>
  <c r="CS35" i="2"/>
  <c r="CT35" i="2" s="1"/>
  <c r="CS22" i="2"/>
  <c r="CT22" i="2" s="1"/>
  <c r="U7" i="2"/>
  <c r="CT15" i="2" l="1"/>
  <c r="U20" i="2"/>
  <c r="CT14" i="2" s="1"/>
  <c r="T20" i="2"/>
  <c r="T13" i="2"/>
  <c r="U5" i="2"/>
  <c r="CT13" i="2"/>
  <c r="U13" i="2"/>
  <c r="CT12" i="2" s="1"/>
  <c r="CT19" i="2"/>
  <c r="U28" i="2"/>
  <c r="CT18" i="2"/>
  <c r="T28" i="2"/>
  <c r="U12" i="2"/>
  <c r="CT10" i="2"/>
  <c r="T12" i="2"/>
  <c r="CT11" i="2" s="1"/>
  <c r="T9" i="2"/>
  <c r="U8" i="2"/>
  <c r="T8" i="2"/>
  <c r="U6" i="2"/>
  <c r="U9" i="2"/>
  <c r="T5" i="2"/>
  <c r="CT9" i="2"/>
  <c r="CT6" i="2"/>
  <c r="T4" i="2"/>
  <c r="CT7" i="2" s="1"/>
  <c r="CT8" i="2"/>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W16" i="2"/>
  <c r="CX16" i="2" s="1"/>
  <c r="CW42" i="2"/>
  <c r="CX22" i="2" s="1"/>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DA19" i="2" s="1"/>
  <c r="CZ45" i="2"/>
  <c r="CZ51" i="2"/>
  <c r="CZ35" i="2"/>
  <c r="CZ23" i="2"/>
  <c r="CZ41" i="2"/>
  <c r="CZ36" i="2"/>
  <c r="CZ17" i="2"/>
  <c r="CZ32" i="2"/>
  <c r="CZ28" i="2"/>
  <c r="DA37" i="2" l="1"/>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M9"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AU8" i="2" l="1"/>
  <c r="DN8" i="2" a="1"/>
  <c r="DN8" i="2" s="1"/>
  <c r="DM8" i="2"/>
  <c r="DM6" i="2"/>
  <c r="AU7" i="2"/>
  <c r="AU5" i="2" s="1"/>
  <c r="AV4" i="2" s="1"/>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H7" i="2" l="1"/>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N6" i="2" l="1"/>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K4" i="4"/>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5" i="4" l="1"/>
  <c r="C130" i="3"/>
  <c r="AA9" i="4"/>
  <c r="C164" i="3"/>
  <c r="K30" i="4"/>
  <c r="C82" i="3"/>
  <c r="K7" i="4"/>
  <c r="C80" i="3"/>
  <c r="C81" i="3"/>
  <c r="C83" i="3"/>
  <c r="K21" i="4"/>
  <c r="K46" i="4"/>
  <c r="K29" i="4"/>
  <c r="W29" i="4"/>
  <c r="K20" i="4"/>
  <c r="W20" i="4"/>
  <c r="BI35" i="4"/>
  <c r="BH35" i="4" s="1"/>
  <c r="BI11" i="4"/>
  <c r="BH11" i="4" s="1"/>
  <c r="BI34" i="4"/>
  <c r="BH34" i="4" s="1"/>
  <c r="BI13" i="4"/>
  <c r="BH13" i="4" s="1"/>
  <c r="BI37" i="4"/>
  <c r="BH37" i="4" s="1"/>
  <c r="BI20" i="4"/>
  <c r="BH20" i="4" s="1"/>
  <c r="BI21" i="4"/>
  <c r="BH21" i="4" s="1"/>
  <c r="BI27" i="4"/>
  <c r="BH27" i="4" s="1"/>
  <c r="BI28" i="4"/>
  <c r="BH28" i="4" s="1"/>
  <c r="BI19" i="4"/>
  <c r="BH19" i="4" s="1"/>
  <c r="BI26" i="4"/>
  <c r="BH26" i="4" s="1"/>
  <c r="BI7" i="4"/>
  <c r="BH7" i="4" s="1"/>
  <c r="BI32" i="4"/>
  <c r="BH32" i="4" s="1"/>
  <c r="BI9" i="4"/>
  <c r="BH9" i="4" s="1"/>
  <c r="BI22" i="4"/>
  <c r="BH22" i="4" s="1"/>
  <c r="BI42" i="4"/>
  <c r="BH42" i="4" s="1"/>
  <c r="BI15" i="4"/>
  <c r="BH15" i="4" s="1"/>
  <c r="BI8" i="4"/>
  <c r="BH8" i="4" s="1"/>
  <c r="BI44" i="4"/>
  <c r="BH44" i="4" s="1"/>
  <c r="BI39" i="4"/>
  <c r="BH39" i="4" s="1"/>
  <c r="BI24" i="4"/>
  <c r="BH24" i="4" s="1"/>
  <c r="BI16" i="4"/>
  <c r="BH16" i="4" s="1"/>
  <c r="BI6" i="4"/>
  <c r="BH6" i="4" s="1"/>
  <c r="BI31" i="4"/>
  <c r="BH31" i="4" s="1"/>
  <c r="BI48" i="4"/>
  <c r="BH48" i="4" s="1"/>
  <c r="BI49" i="4"/>
  <c r="BH49" i="4" s="1"/>
  <c r="BI45" i="4"/>
  <c r="BH45" i="4" s="1"/>
  <c r="BI18" i="4"/>
  <c r="BH18" i="4" s="1"/>
  <c r="BI46" i="4"/>
  <c r="BH46" i="4" s="1"/>
  <c r="BI43" i="4"/>
  <c r="BH43" i="4" s="1"/>
  <c r="BI25" i="4"/>
  <c r="BH25" i="4" s="1"/>
  <c r="BI5" i="4"/>
  <c r="BH5" i="4" s="1"/>
  <c r="BI29" i="4"/>
  <c r="BH29" i="4" s="1"/>
  <c r="BI51" i="4"/>
  <c r="BH51" i="4" s="1"/>
  <c r="BI30" i="4"/>
  <c r="BH30" i="4" s="1"/>
  <c r="BI50" i="4"/>
  <c r="BH50" i="4" s="1"/>
  <c r="BI38" i="4"/>
  <c r="BH38" i="4" s="1"/>
  <c r="BI23" i="4"/>
  <c r="BH23" i="4" s="1"/>
  <c r="BI47" i="4"/>
  <c r="BH47" i="4" s="1"/>
  <c r="BI36" i="4"/>
  <c r="BH36" i="4" s="1"/>
  <c r="BI14" i="4"/>
  <c r="BH14" i="4" s="1"/>
  <c r="BI10" i="4"/>
  <c r="BH10" i="4" s="1"/>
  <c r="BI4" i="4"/>
  <c r="BH4" i="4" s="1"/>
  <c r="BI41" i="4"/>
  <c r="BH41" i="4" s="1"/>
  <c r="BI40" i="4"/>
  <c r="BH40" i="4" s="1"/>
  <c r="BI33" i="4"/>
  <c r="BH33" i="4" s="1"/>
  <c r="BI17" i="4"/>
  <c r="BH17" i="4" s="1"/>
  <c r="BI12" i="4"/>
  <c r="BH12" i="4" s="1"/>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T69" i="2" l="1"/>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CD65" i="2" s="1"/>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58" i="2" l="1"/>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<sst xmlns="http://schemas.openxmlformats.org/spreadsheetml/2006/main" count="6754" uniqueCount="1516">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</sst>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Hipervínculo" xfId="1" builtinId="8" hidden="1"/>
    <cellStyle name="Hipervínculo 2" xfId="7" xr:uid="{00000000-0005-0000-0000-000007000000}"/>
    <cellStyle name="Hipervínculo visitado" xfId="2" builtinId="9"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6" dataDxfId="5">
  <sortState xmlns:xlrd2="http://schemas.microsoft.com/office/spreadsheetml/2017/richdata2" ref="A2:D13">
    <sortCondition ref="D2:D13"/>
  </sortState>
  <tableColumns count="4">
    <tableColumn id="1" xr3:uid="{00000000-0010-0000-0000-000001000000}" name="Num" dataDxfId="4">
      <calculatedColumnFormula>NOT(ISERROR(VLOOKUP(Equipos!$B2,#REF!,1,FALSE)))</calculatedColumnFormula>
    </tableColumn>
    <tableColumn id="2" xr3:uid="{00000000-0010-0000-0000-000002000000}" name="NombreEquipo" dataDxfId="3">
      <calculatedColumnFormula>+INDEX(Idiomas!$D$202:$D$249,MATCH(T_Equipos[[#This Row],[Num]],Idiomas!$C$202:$C$249,0))</calculatedColumnFormula>
    </tableColumn>
    <tableColumn id="4" xr3:uid="{00000000-0010-0000-0000-000004000000}" name="Grupo" dataDxfId="2"/>
    <tableColumn id="3" xr3:uid="{00000000-0010-0000-0000-000003000000}" name="Rank" dataDxfId="1"/>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tabSelected="1" zoomScaleNormal="100" workbookViewId="0">
      <selection activeCell="AD23" sqref="AD23"/>
    </sheetView>
  </sheetViews>
  <sheetFormatPr baseColWidth="10" defaultColWidth="0" defaultRowHeight="14.4"/>
  <cols>
    <col min="1" max="1" width="3.77734375" style="292" customWidth="1"/>
    <col min="2" max="2" width="15.77734375" style="292" customWidth="1"/>
    <col min="3" max="3" width="26.77734375" style="292" customWidth="1"/>
    <col min="4" max="4" width="5.77734375" style="292" customWidth="1"/>
    <col min="5" max="9" width="11.33203125" style="312" customWidth="1"/>
    <col min="10" max="10" width="5.77734375" style="312" customWidth="1"/>
    <col min="11" max="11" width="26.77734375" style="312" customWidth="1"/>
    <col min="12" max="12" width="15.77734375" style="292" customWidth="1"/>
    <col min="13" max="13" width="10.44140625" style="292" customWidth="1"/>
    <col min="14" max="15" width="10.77734375" style="292" customWidth="1"/>
    <col min="16" max="16" width="12.109375" style="292" customWidth="1"/>
    <col min="17" max="17" width="6.109375" style="292" customWidth="1"/>
    <col min="18" max="31" width="10.77734375" style="292" customWidth="1"/>
    <col min="32" max="34" width="10.77734375" hidden="1" customWidth="1"/>
    <col min="35" max="16384" width="10.77734375" hidden="1"/>
  </cols>
  <sheetData>
    <row r="1" spans="1:5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4.950000000000003" customHeight="1">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19.95" customHeight="1" thickBot="1">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05" customHeight="1" thickBot="1">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19.95" customHeight="1" thickBot="1">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05" customHeight="1" thickBot="1">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19.95" customHeight="1" thickBot="1">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05" customHeight="1" thickBot="1">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19.95" customHeight="1">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05" customHeight="1">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05" customHeight="1">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049999999999997" customHeight="1" thickBot="1">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049999999999997" customHeight="1" thickBot="1">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05" customHeight="1" thickBot="1">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19.95" customHeight="1" thickBot="1">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6" zoomScaleNormal="100" workbookViewId="0">
      <selection activeCell="AD23" sqref="AD23"/>
    </sheetView>
  </sheetViews>
  <sheetFormatPr baseColWidth="10" defaultColWidth="0" defaultRowHeight="14.4"/>
  <cols>
    <col min="1" max="2" width="10.77734375" hidden="1" customWidth="1"/>
    <col min="3" max="3" width="2.109375" hidden="1" customWidth="1"/>
    <col min="4" max="10" width="8.77734375" hidden="1" customWidth="1"/>
    <col min="11" max="11" width="12.77734375" hidden="1" customWidth="1"/>
    <col min="12" max="14" width="8.77734375" hidden="1" customWidth="1"/>
    <col min="15" max="15" width="17" hidden="1" customWidth="1"/>
    <col min="16" max="21" width="8.77734375" hidden="1" customWidth="1"/>
    <col min="22" max="22" width="3.44140625" customWidth="1"/>
    <col min="23" max="23" width="6.6640625" customWidth="1"/>
    <col min="24" max="24" width="11.77734375" customWidth="1"/>
    <col min="25" max="25" width="6.77734375" customWidth="1"/>
    <col min="26" max="26" width="5.109375" customWidth="1"/>
    <col min="27" max="27" width="20.77734375" customWidth="1"/>
    <col min="28" max="28" width="3.33203125" customWidth="1"/>
    <col min="29" max="30" width="5.33203125" customWidth="1"/>
    <col min="31" max="31" width="3.33203125" customWidth="1"/>
    <col min="32" max="32" width="20.77734375" customWidth="1"/>
    <col min="33" max="33" width="3.44140625" customWidth="1"/>
    <col min="34" max="34" width="5.109375" style="187" customWidth="1"/>
    <col min="35" max="35" width="3.33203125" style="187" customWidth="1"/>
    <col min="36" max="36" width="4.33203125" customWidth="1"/>
    <col min="37" max="37" width="3.33203125" customWidth="1"/>
    <col min="38" max="38" width="20.77734375" customWidth="1"/>
    <col min="39" max="39" width="5.77734375" customWidth="1"/>
    <col min="40" max="43" width="4.33203125" customWidth="1"/>
    <col min="44" max="45" width="4.6640625" customWidth="1"/>
    <col min="46" max="46" width="4.77734375" customWidth="1"/>
    <col min="47" max="47" width="3.33203125" style="190" customWidth="1"/>
    <col min="48" max="48" width="18.44140625" style="194" customWidth="1"/>
    <col min="49" max="49" width="3.44140625" style="7" customWidth="1"/>
    <col min="50" max="50" width="3.44140625" style="4" customWidth="1"/>
    <col min="51" max="51" width="19.6640625" style="15" customWidth="1"/>
    <col min="52" max="52" width="15.77734375" style="7" customWidth="1"/>
    <col min="53" max="53" width="3" customWidth="1"/>
    <col min="54" max="54" width="11" hidden="1" customWidth="1"/>
    <col min="55" max="55" width="6" hidden="1" customWidth="1"/>
    <col min="56" max="56" width="17" hidden="1" customWidth="1"/>
    <col min="57" max="57" width="9.33203125" hidden="1" customWidth="1"/>
    <col min="58" max="58" width="2.109375" hidden="1" customWidth="1"/>
    <col min="59" max="59" width="8.33203125" hidden="1" customWidth="1"/>
    <col min="60" max="60" width="2.109375" hidden="1" customWidth="1"/>
    <col min="61" max="61" width="2.44140625" hidden="1" customWidth="1"/>
    <col min="62" max="62" width="8.109375" hidden="1" customWidth="1"/>
    <col min="63" max="63" width="4.77734375" hidden="1" customWidth="1"/>
    <col min="64" max="64" width="5.77734375" hidden="1" customWidth="1"/>
    <col min="65" max="66" width="5.6640625" hidden="1" customWidth="1"/>
    <col min="67" max="69" width="10" hidden="1" customWidth="1"/>
    <col min="70" max="71" width="7.33203125" hidden="1" customWidth="1"/>
    <col min="72" max="100" width="8" hidden="1" customWidth="1"/>
    <col min="101" max="101" width="4.109375" hidden="1" customWidth="1"/>
    <col min="102" max="102" width="7.33203125" hidden="1" customWidth="1"/>
    <col min="104" max="104" width="3.109375" hidden="1" customWidth="1"/>
    <col min="105" max="105" width="8.6640625" hidden="1" customWidth="1"/>
    <col min="106" max="106" width="8" hidden="1" customWidth="1"/>
    <col min="107" max="107" width="15.77734375" hidden="1" customWidth="1"/>
    <col min="108" max="108" width="11" hidden="1" customWidth="1"/>
    <col min="109" max="109" width="2.6640625" hidden="1" customWidth="1"/>
    <col min="110" max="112" width="11" hidden="1" customWidth="1"/>
    <col min="114" max="116" width="11" hidden="1" customWidth="1"/>
    <col min="118" max="118" width="17.77734375" hidden="1" customWidth="1"/>
    <col min="119" max="119" width="10.77734375" hidden="1" customWidth="1"/>
    <col min="120" max="120" width="11" hidden="1" customWidth="1"/>
    <col min="121" max="123" width="10.77734375" hidden="1" customWidth="1"/>
    <col min="125" max="127" width="10.77734375" hidden="1" customWidth="1"/>
    <col min="128" max="16384" width="10.77734375" hidden="1"/>
  </cols>
  <sheetData>
    <row r="1" spans="1:121" ht="30" customHeight="1">
      <c r="A1" s="16"/>
      <c r="B1" s="16"/>
      <c r="C1" s="16"/>
      <c r="D1" s="16"/>
      <c r="E1" s="16"/>
      <c r="F1" s="16"/>
      <c r="G1" s="16"/>
      <c r="H1" s="16"/>
      <c r="I1" s="16"/>
      <c r="J1" s="16"/>
      <c r="K1" s="16"/>
      <c r="L1" s="16"/>
      <c r="M1" s="16"/>
      <c r="N1" s="16"/>
      <c r="O1" s="16"/>
      <c r="P1" s="16"/>
      <c r="Q1" s="16"/>
      <c r="R1" s="16"/>
      <c r="S1" s="16"/>
      <c r="T1" s="16"/>
      <c r="U1" s="16"/>
      <c r="V1" s="281"/>
      <c r="W1" s="631"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050000000000001" customHeight="1" thickBot="1">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05" customHeight="1" thickBot="1">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05" customHeight="1" thickBot="1">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7"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05" customHeight="1">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05" customHeight="1">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7"/>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05" customHeight="1">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7"/>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05"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7"/>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05"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8"/>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05" customHeight="1" thickBot="1">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4</v>
      </c>
      <c r="DL10" s="16">
        <f t="shared" ca="1" si="49"/>
        <v>1</v>
      </c>
      <c r="DM10" s="16" t="str">
        <f t="shared" ca="1" si="50"/>
        <v>1.1</v>
      </c>
      <c r="DN10" s="16">
        <f t="array" aca="1" ref="DN10" ca="1">OFFSET(Horarios!$P$3,DJ10-1,0,DL10,1)</f>
        <v>1</v>
      </c>
      <c r="DO10" s="16"/>
      <c r="DP10" s="16" t="s">
        <v>74</v>
      </c>
      <c r="DQ10" s="16" t="str">
        <f t="shared" ca="1" si="51"/>
        <v>Canadá</v>
      </c>
    </row>
    <row r="11" spans="1:121" ht="16.05"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4</v>
      </c>
      <c r="DL11" s="16">
        <f t="shared" ca="1" si="49"/>
        <v>1</v>
      </c>
      <c r="DM11" s="16" t="str">
        <f t="shared" ca="1" si="50"/>
        <v>1.1</v>
      </c>
      <c r="DN11" s="16">
        <f t="array" aca="1" ref="DN11" ca="1">OFFSET(Horarios!$P$3,DJ11-1,0,DL11,1)</f>
        <v>1</v>
      </c>
      <c r="DO11" s="16"/>
      <c r="DP11" s="16" t="s">
        <v>75</v>
      </c>
      <c r="DQ11" s="16" t="str">
        <f t="shared" ca="1" si="51"/>
        <v>Bosnia y Herzegovina</v>
      </c>
    </row>
    <row r="12" spans="1:121" ht="16.05" customHeight="1" thickBot="1">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(4)</v>
      </c>
      <c r="F12" s="16" t="str">
        <f t="shared" ref="F12:F17" ca="1" si="54">IF(D12="Pendiente","-",INDEX($BT$6:$BT$53,MATCH($AF12,$BD$6:$BD$53,0)))</f>
        <v>P.1 (4)</v>
      </c>
      <c r="G12" s="16"/>
      <c r="H12" s="16" t="str">
        <f t="shared" ref="H12:H17" ca="1" si="55">IF(D12="Pendiente","-",INDEX($BZ$6:$BZ$53,MATCH($AA12,$BD$6:$BD$53,0)))</f>
        <v>P.1 (4)</v>
      </c>
      <c r="I12" s="16" t="str">
        <f t="shared" ref="I12:I17" ca="1" si="56">IF(D12="Pendiente","-",INDEX($BZ$6:$BZ$53,MATCH($AF12,$BD$6:$BD$53,0)))</f>
        <v>P.1 (4)</v>
      </c>
      <c r="J12" s="16"/>
      <c r="K12" s="16" t="str">
        <f t="shared" ref="K12:K17" ca="1" si="57">IF(D12="Pendiente","-",INDEX($CE$6:$CE$53,MATCH($AA12,$BD$6:$BD$53,0)))</f>
        <v>P.1 (4)</v>
      </c>
      <c r="L12" s="16" t="str">
        <f t="shared" ref="L12:L17" ca="1" si="58">IF(D12="Pendiente","-",INDEX($CE$6:$CE$53,MATCH($AF12,$BD$6:$BD$53,0)))</f>
        <v>P.1 (4)</v>
      </c>
      <c r="M12" s="16"/>
      <c r="N12" s="16" t="str">
        <f t="shared" ref="N12:N17" ca="1" si="59">IF(D12="Pendiente","-",INDEX($CH$6:$CH$53,MATCH($AA12,$BD$6:$BD$53,0)))</f>
        <v>P.1 (4)</v>
      </c>
      <c r="O12" s="16" t="str">
        <f t="shared" ref="O12:O17" ca="1" si="60">IF(D12="Pendiente","-",INDEX($CH$6:$CH$53,MATCH($AF12,$BD$6:$BD$53,0)))</f>
        <v>P.1 (4)</v>
      </c>
      <c r="P12" s="16"/>
      <c r="Q12" s="16" t="str">
        <f t="shared" ref="Q12:Q17" ca="1" si="61">IF(D12="Pendiente","-",INDEX($CN$6:$CN$53,MATCH($AA12,$BD$6:$BD$53,0)))</f>
        <v>P.1 (4)</v>
      </c>
      <c r="R12" s="16" t="str">
        <f t="shared" ref="R12:R17" ca="1" si="62">IF(D12="Pendiente","-",INDEX($CN$6:$CN$53,MATCH($AF12,$BD$6:$BD$53,0)))</f>
        <v>P.1 (4)</v>
      </c>
      <c r="S12" s="16"/>
      <c r="T12" s="16" t="str">
        <f t="shared" ref="T12:T17" ca="1" si="63">IF(D12="Pendiente","-",INDEX($CS$6:$CS$53,MATCH($AA12,$BD$6:$BD$53,0)))</f>
        <v>P.1 (4)</v>
      </c>
      <c r="U12" s="16" t="str">
        <f t="shared" ref="U12:U17" ca="1" si="64">IF(D12="Pendiente","-",INDEX($CS$6:$CS$53,MATCH($AF12,$BD$6:$BD$53,0)))</f>
        <v>P.1 (4)</v>
      </c>
      <c r="V12" s="17"/>
      <c r="W12" s="646"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1</v>
      </c>
      <c r="BW12" s="16">
        <f t="shared" ca="1" si="30"/>
        <v>0</v>
      </c>
      <c r="BX12" s="16">
        <f t="shared" ca="1" si="31"/>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1</v>
      </c>
      <c r="CB12" s="16">
        <f t="shared" ca="1" si="33"/>
        <v>1</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1</v>
      </c>
      <c r="CK12" s="16">
        <f t="shared" ca="1" si="38"/>
        <v>0</v>
      </c>
      <c r="CL12" s="16">
        <f t="shared" ca="1" si="39"/>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1</v>
      </c>
      <c r="CP12" s="16">
        <f t="shared" ca="1" si="41"/>
        <v>1</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4</v>
      </c>
      <c r="DL12" s="16">
        <f t="shared" ca="1" si="49"/>
        <v>1</v>
      </c>
      <c r="DM12" s="16" t="str">
        <f t="shared" ca="1" si="50"/>
        <v>1.1</v>
      </c>
      <c r="DN12" s="16">
        <f t="array" aca="1" ref="DN12" ca="1">OFFSET(Horarios!$P$3,DJ12-1,0,DL12,1)</f>
        <v>1</v>
      </c>
      <c r="DO12" s="16"/>
      <c r="DP12" s="16" t="s">
        <v>77</v>
      </c>
      <c r="DQ12" s="16" t="str">
        <f t="shared" ca="1" si="51"/>
        <v>Catar</v>
      </c>
    </row>
    <row r="13" spans="1:121" ht="16.05" customHeight="1">
      <c r="A13" s="16" t="str">
        <f ca="1">+Equipos!B6</f>
        <v>Canadá</v>
      </c>
      <c r="B13" s="16"/>
      <c r="C13" s="16"/>
      <c r="D13" s="16" t="str">
        <f t="shared" si="52"/>
        <v>Empate</v>
      </c>
      <c r="E13" s="16" t="str">
        <f t="shared" ca="1" si="53"/>
        <v>P.1 (4)</v>
      </c>
      <c r="F13" s="16" t="str">
        <f t="shared" ca="1" si="54"/>
        <v>P.1 (4)</v>
      </c>
      <c r="G13" s="16"/>
      <c r="H13" s="16" t="str">
        <f t="shared" ca="1" si="55"/>
        <v>P.1 (4)</v>
      </c>
      <c r="I13" s="16" t="str">
        <f t="shared" ca="1" si="56"/>
        <v>P.1 (4)</v>
      </c>
      <c r="J13" s="16"/>
      <c r="K13" s="16" t="str">
        <f t="shared" ca="1" si="57"/>
        <v>P.1 (4)</v>
      </c>
      <c r="L13" s="16" t="str">
        <f t="shared" ca="1" si="58"/>
        <v>P.1 (4)</v>
      </c>
      <c r="M13" s="16"/>
      <c r="N13" s="16" t="str">
        <f t="shared" ca="1" si="59"/>
        <v>P.1 (4)</v>
      </c>
      <c r="O13" s="16" t="str">
        <f t="shared" ca="1" si="60"/>
        <v>P.1 (4)</v>
      </c>
      <c r="P13" s="16"/>
      <c r="Q13" s="16" t="str">
        <f t="shared" ca="1" si="61"/>
        <v>P.1 (4)</v>
      </c>
      <c r="R13" s="16" t="str">
        <f t="shared" ca="1" si="62"/>
        <v>P.1 (4)</v>
      </c>
      <c r="S13" s="16"/>
      <c r="T13" s="16" t="str">
        <f t="shared" ca="1" si="63"/>
        <v>P.1 (4)</v>
      </c>
      <c r="U13" s="16" t="str">
        <f t="shared" ca="1" si="64"/>
        <v>P.1 (4)</v>
      </c>
      <c r="V13" s="17"/>
      <c r="W13" s="627"/>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1</v>
      </c>
      <c r="BF13" s="16">
        <f t="shared" ca="1" si="17"/>
        <v>1</v>
      </c>
      <c r="BG13" s="16">
        <f t="shared" ca="1" si="18"/>
        <v>0</v>
      </c>
      <c r="BH13" s="16">
        <f t="shared" ca="1" si="19"/>
        <v>1</v>
      </c>
      <c r="BI13" s="16">
        <f t="shared" ca="1" si="20"/>
        <v>0</v>
      </c>
      <c r="BJ13" s="16">
        <f t="shared" ca="1" si="21"/>
        <v>1</v>
      </c>
      <c r="BK13" s="16">
        <f t="shared" ca="1" si="22"/>
        <v>1</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4</v>
      </c>
      <c r="DL13" s="16">
        <f t="shared" ca="1" si="49"/>
        <v>1</v>
      </c>
      <c r="DM13" s="16" t="str">
        <f t="shared" ca="1" si="50"/>
        <v>1.1</v>
      </c>
      <c r="DN13" s="16">
        <f t="array" aca="1" ref="DN13" ca="1">OFFSET(Horarios!$P$3,DJ13-1,0,DL13,1)</f>
        <v>1</v>
      </c>
      <c r="DO13" s="16"/>
      <c r="DP13" s="16" t="s">
        <v>78</v>
      </c>
      <c r="DQ13" s="16" t="str">
        <f t="shared" ca="1" si="51"/>
        <v>Suiza</v>
      </c>
    </row>
    <row r="14" spans="1:121" ht="16.05" customHeight="1">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7"/>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0</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P.1 (2)</v>
      </c>
      <c r="CZ14" s="16">
        <f t="shared" ca="1" si="45"/>
        <v>1</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P.1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1</v>
      </c>
      <c r="DE14" s="16"/>
      <c r="DF14" s="16">
        <f t="shared" ca="1" si="46"/>
        <v>1</v>
      </c>
      <c r="DG14" s="16">
        <f ca="1">IF(DB14="-","-",COUNTIFS(DF$6:DF$53,"&lt;"&amp;DF14,$BC$6:$BC$53,INDEX(T_Equipos[Grupo],MATCH(BD14,T_Equipos[NombreEquipo],0))))</f>
        <v>0</v>
      </c>
      <c r="DH14" s="16">
        <f ca="1">DA14+COUNTIFS(DB$6:DB$53,DB14,DG$6:DG$53,"&lt;"&amp;DG14,$BC$6:$BC$53,INDEX(T_Equipos[Grupo],MATCH(BD14,T_Equipos[NombreEquipo],0)))</f>
        <v>1</v>
      </c>
      <c r="DI14" s="16"/>
      <c r="DJ14" s="16">
        <f t="shared" ca="1" si="47"/>
        <v>1</v>
      </c>
      <c r="DK14" s="16">
        <f t="shared" ca="1" si="48"/>
        <v>2</v>
      </c>
      <c r="DL14" s="16">
        <f t="shared" ca="1" si="49"/>
        <v>1</v>
      </c>
      <c r="DM14" s="16" t="str">
        <f t="shared" ca="1" si="50"/>
        <v>1.1</v>
      </c>
      <c r="DN14" s="16">
        <f t="array" aca="1" ref="DN14" ca="1">OFFSET(Horarios!$P$3,DJ14-1,0,DL14,1)</f>
        <v>1</v>
      </c>
      <c r="DO14" s="16"/>
      <c r="DP14" s="16" t="s">
        <v>79</v>
      </c>
      <c r="DQ14" s="16" t="str">
        <f t="shared" ca="1" si="51"/>
        <v>Brasil</v>
      </c>
    </row>
    <row r="15" spans="1:121" ht="16.05" customHeight="1">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7"/>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0</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P.1 (2)</v>
      </c>
      <c r="CZ15" s="16">
        <f t="shared" ca="1" si="45"/>
        <v>1</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P.1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2</v>
      </c>
      <c r="DE15" s="16"/>
      <c r="DF15" s="16">
        <f t="shared" ca="1" si="46"/>
        <v>2</v>
      </c>
      <c r="DG15" s="16">
        <f ca="1">IF(DB15="-","-",COUNTIFS(DF$6:DF$53,"&lt;"&amp;DF15,$BC$6:$BC$53,INDEX(T_Equipos[Grupo],MATCH(BD15,T_Equipos[NombreEquipo],0))))</f>
        <v>1</v>
      </c>
      <c r="DH15" s="16">
        <f ca="1">DA15+COUNTIFS(DB$6:DB$53,DB15,DG$6:DG$53,"&lt;"&amp;DG15,$BC$6:$BC$53,INDEX(T_Equipos[Grupo],MATCH(BD15,T_Equipos[NombreEquipo],0)))</f>
        <v>2</v>
      </c>
      <c r="DI15" s="16"/>
      <c r="DJ15" s="16">
        <f t="shared" ca="1" si="47"/>
        <v>1</v>
      </c>
      <c r="DK15" s="16">
        <f t="shared" ca="1" si="48"/>
        <v>2</v>
      </c>
      <c r="DL15" s="16">
        <f t="shared" ca="1" si="49"/>
        <v>1</v>
      </c>
      <c r="DM15" s="16" t="str">
        <f t="shared" ca="1" si="50"/>
        <v>1.1</v>
      </c>
      <c r="DN15" s="16">
        <f t="array" aca="1" ref="DN15" ca="1">OFFSET(Horarios!$P$3,DJ15-1,0,DL15,1)</f>
        <v>1</v>
      </c>
      <c r="DO15" s="16"/>
      <c r="DP15" s="16" t="s">
        <v>80</v>
      </c>
      <c r="DQ15" s="16" t="str">
        <f t="shared" ca="1" si="51"/>
        <v>Marruecos</v>
      </c>
    </row>
    <row r="16" spans="1:121" ht="16.05" customHeight="1">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7"/>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1</v>
      </c>
      <c r="AO16" s="39">
        <f t="shared" ca="1" si="67"/>
        <v>0</v>
      </c>
      <c r="AP16" s="39">
        <f t="shared" ca="1" si="67"/>
        <v>1</v>
      </c>
      <c r="AQ16" s="39">
        <f t="shared" ca="1" si="67"/>
        <v>0</v>
      </c>
      <c r="AR16" s="39">
        <f t="shared" ca="1" si="67"/>
        <v>1</v>
      </c>
      <c r="AS16" s="39">
        <f t="shared" ca="1" si="67"/>
        <v>1</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0</v>
      </c>
      <c r="BG16" s="16">
        <f t="shared" ca="1" si="18"/>
        <v>0</v>
      </c>
      <c r="BH16" s="16">
        <f t="shared" ca="1" si="19"/>
        <v>0</v>
      </c>
      <c r="BI16" s="16">
        <f t="shared" ca="1" si="20"/>
        <v>0</v>
      </c>
      <c r="BJ16" s="16">
        <f t="shared" ca="1" si="21"/>
        <v>0</v>
      </c>
      <c r="BK16" s="16">
        <f t="shared" ca="1" si="22"/>
        <v>0</v>
      </c>
      <c r="BL16" s="16">
        <f t="shared" ca="1" si="23"/>
        <v>0</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3</v>
      </c>
      <c r="BT16" s="16" t="str">
        <f ca="1">IF(COUNTIFS($BS$6:$BS$53,BS16,$BC$6:$BC$53,INDEX(T_Equipos[Grupo],MATCH(BD16,T_Equipos[NombreEquipo],0)))=1,"-","P."&amp;BS16&amp;" ("&amp;COUNTIFS($BS$6:$BS$53,BS16,$BC$6:$BC$53,INDEX(T_Equipos[Grupo],MATCH(BD16,T_Equipos[NombreEquipo],0)))&amp;")")</f>
        <v>P.3 (2)</v>
      </c>
      <c r="BU16" s="16">
        <f t="shared" ca="1" si="28"/>
        <v>0</v>
      </c>
      <c r="BV16" s="16">
        <f t="shared" ca="1" si="29"/>
        <v>0</v>
      </c>
      <c r="BW16" s="16">
        <f t="shared" ca="1" si="30"/>
        <v>0</v>
      </c>
      <c r="BX16" s="16">
        <f t="shared" ca="1" si="31"/>
        <v>0</v>
      </c>
      <c r="BY16" s="16">
        <f ca="1">BS16+COUNTIFS($BT$6:$BT$53,BT16,$BX$6:BX$53,"&gt;"&amp;BX16,$BC$6:$BC$53,INDEX(T_Equipos[Grupo],MATCH(BD16,T_Equipos[NombreEquipo],0)))</f>
        <v>3</v>
      </c>
      <c r="BZ16" s="16" t="str">
        <f ca="1">IF(COUNTIFS($BY$6:$BY$53,BY16,$BC$6:$BC$53,INDEX(T_Equipos[Grupo],MATCH(BD16,T_Equipos[NombreEquipo],0)))=1,"-","P."&amp;BY16&amp;" ("&amp;COUNTIFS($BY$6:$BY$53,BY16,$BC$6:$BC$53,INDEX(T_Equipos[Grupo],MATCH(BD16,T_Equipos[NombreEquipo],0)))&amp;")")</f>
        <v>P.3 (2)</v>
      </c>
      <c r="CA16" s="16">
        <f t="shared" ca="1" si="32"/>
        <v>0</v>
      </c>
      <c r="CB16" s="16">
        <f t="shared" ca="1" si="33"/>
        <v>0</v>
      </c>
      <c r="CC16" s="16">
        <f t="shared" ca="1" si="34"/>
        <v>0</v>
      </c>
      <c r="CD16" s="16">
        <f ca="1">BY16+COUNTIFS($BZ$6:$BZ$53,BZ16,$CC$6:CC$53,"&gt;"&amp;CC16,$BC$6:$BC$53,INDEX(T_Equipos[Grupo],MATCH(BD16,T_Equipos[NombreEquipo],0)))</f>
        <v>3</v>
      </c>
      <c r="CE16" s="16" t="str">
        <f ca="1">IF(COUNTIFS($CD$6:$CD$53,CD16,$BC$6:$BC$53,INDEX(T_Equipos[Grupo],MATCH(BD16,T_Equipos[NombreEquipo],0)))=1,"-","P."&amp;CD16&amp;" ("&amp;COUNTIFS($CD$6:$CD$53,CD16,$BC$6:$BC$53,INDEX(T_Equipos[Grupo],MATCH(BD16,T_Equipos[NombreEquipo],0)))&amp;")")</f>
        <v>P.3 (2)</v>
      </c>
      <c r="CF16" s="16">
        <f t="shared" ca="1" si="35"/>
        <v>0</v>
      </c>
      <c r="CG16" s="16">
        <f ca="1">CD16+COUNTIFS($CE$6:$CE$53,CE16,$CF$6:CF$53,"&gt;"&amp;CF16,$BC$6:$BC$53,INDEX(T_Equipos[Grupo],MATCH(BD16,T_Equipos[NombreEquipo],0)))</f>
        <v>3</v>
      </c>
      <c r="CH16" s="16" t="str">
        <f ca="1">IF(COUNTIFS($CG$6:$CG$53,CG16,$BC$6:$BC$53,INDEX(T_Equipos[Grupo],MATCH(BD16,T_Equipos[NombreEquipo],0)))=1,"-","P."&amp;CG16&amp;" ("&amp;COUNTIFS($CG$6:$CG$53,CG16,$BC$6:$BC$53,INDEX(T_Equipos[Grupo],MATCH(BD16,T_Equipos[NombreEquipo],0)))&amp;")")</f>
        <v>P.3 (2)</v>
      </c>
      <c r="CI16" s="16">
        <f t="shared" ca="1" si="36"/>
        <v>0</v>
      </c>
      <c r="CJ16" s="16">
        <f t="shared" ca="1" si="37"/>
        <v>0</v>
      </c>
      <c r="CK16" s="16">
        <f t="shared" ca="1" si="38"/>
        <v>0</v>
      </c>
      <c r="CL16" s="16">
        <f t="shared" ca="1" si="39"/>
        <v>0</v>
      </c>
      <c r="CM16" s="16">
        <f ca="1">CG16+COUNTIFS($CH$6:$CH$53,CH16,$CL$6:CL$53,"&gt;"&amp;CL16,$BC$6:$BC$53,INDEX(T_Equipos[Grupo],MATCH(BD16,T_Equipos[NombreEquipo],0)))</f>
        <v>3</v>
      </c>
      <c r="CN16" s="16" t="str">
        <f ca="1">IF(COUNTIFS($CM$6:$CM$53,CM16,$BC$6:$BC$53,INDEX(T_Equipos[Grupo],MATCH(BD16,T_Equipos[NombreEquipo],0)))=1,"-","P."&amp;CM16&amp;" ("&amp;COUNTIFS($CM$6:$CM$53,CM16,$BC$6:$BC$53,INDEX(T_Equipos[Grupo],MATCH(BD16,T_Equipos[NombreEquipo],0)))&amp;")")</f>
        <v>P.3 (2)</v>
      </c>
      <c r="CO16" s="16">
        <f t="shared" ca="1" si="40"/>
        <v>0</v>
      </c>
      <c r="CP16" s="16">
        <f t="shared" ca="1" si="41"/>
        <v>0</v>
      </c>
      <c r="CQ16" s="16">
        <f t="shared" ca="1" si="42"/>
        <v>0</v>
      </c>
      <c r="CR16" s="16">
        <f ca="1">CM16+COUNTIFS($CN$6:$CN$53,CN16,$CQ$6:CQ$53,"&gt;"&amp;CQ16,$BC$6:$BC$53,INDEX(T_Equipos[Grupo],MATCH(BD16,T_Equipos[NombreEquipo],0)))</f>
        <v>3</v>
      </c>
      <c r="CS16" s="16" t="str">
        <f ca="1">IF(COUNTIFS($CR$6:$CR$53,CR16,$BC$6:$BC$53,INDEX(T_Equipos[Grupo],MATCH(BD16,T_Equipos[NombreEquipo],0)))=1,"-","P."&amp;CR16&amp;" ("&amp;COUNTIFS($CR$6:$CR$53,CR16,$BC$6:$BC$53,INDEX(T_Equipos[Grupo],MATCH(BD16,T_Equipos[NombreEquipo],0)))&amp;")")</f>
        <v>P.3 (2)</v>
      </c>
      <c r="CT16" s="16">
        <f t="shared" ca="1" si="43"/>
        <v>0</v>
      </c>
      <c r="CU16" s="16">
        <f ca="1">CR16+COUNTIFS($CS$6:$CS$53,CS16,$CT$6:CT$53,"&gt;"&amp;CT16,$BC$6:$BC$53,INDEX(T_Equipos[Grupo],MATCH(BD16,T_Equipos[NombreEquipo],0)))</f>
        <v>3</v>
      </c>
      <c r="CV16" s="16" t="str">
        <f ca="1">IF(COUNTIFS($CU$6:$CU$53,CU16,$BC$6:$BC$53,INDEX(T_Equipos[Grupo],MATCH(BD16,T_Equipos[NombreEquipo],0)))=1,"-","P."&amp;CU16&amp;" ("&amp;COUNTIFS($CU$6:$CU$53,CU16,$BC$6:$BC$53,INDEX(T_Equipos[Grupo],MATCH(BD16,T_Equipos[NombreEquipo],0)))&amp;")")</f>
        <v>P.3 (2)</v>
      </c>
      <c r="CW16" s="16">
        <f t="shared" ca="1" si="44"/>
        <v>0</v>
      </c>
      <c r="CX16" s="16">
        <f ca="1">CU16+COUNTIFS($CV$6:$CV$53,CV16,$CW$6:CW$53,"&gt;"&amp;CW16,$BC$6:$BC$53,INDEX(T_Equipos[Grupo],MATCH(BD16,T_Equipos[NombreEquipo],0)))</f>
        <v>3</v>
      </c>
      <c r="CY16" s="16" t="str">
        <f ca="1">IF(COUNTIFS($CX$6:$CX$53,CX16,$BC$6:$BC$53,INDEX(T_Equipos[Grupo],MATCH(BD16,T_Equipos[NombreEquipo],0)))=1,"-","P."&amp;CX16&amp;" ("&amp;COUNTIFS($CX$6:$CX$53,CX16,$BC$6:$BC$53,INDEX(T_Equipos[Grupo],MATCH(BD16,T_Equipos[NombreEquipo],0)))&amp;")")</f>
        <v>P.3 (2)</v>
      </c>
      <c r="CZ16" s="16">
        <f t="shared" ca="1" si="45"/>
        <v>0</v>
      </c>
      <c r="DA16" s="16">
        <f ca="1">CX16+COUNTIFS($CY$6:$CY$53,CY16,$CZ$6:CZ$53,"&gt;"&amp;CZ16,$BC$6:$BC$53,INDEX(T_Equipos[Grupo],MATCH(BD16,T_Equipos[NombreEquipo],0)))</f>
        <v>3</v>
      </c>
      <c r="DB16" s="16" t="str">
        <f ca="1">IF(COUNTIFS($DA$6:$DA$53,DA16,$BC$6:$BC$53,INDEX(T_Equipos[Grupo],MATCH(BD16,T_Equipos[NombreEquipo],0)))=1,"-","P."&amp;DA16&amp;" ("&amp;COUNTIFS($DA$6:$DA$53,DA16,$BC$6:$BC$53,INDEX(T_Equipos[Grupo],MATCH(BD16,T_Equipos[NombreEquipo],0)))&amp;")")</f>
        <v>P.3 (2)</v>
      </c>
      <c r="DC16" s="16">
        <f ca="1">IF(DB16="-","-",COUNTIFS(T_Equipos[Rank],"&lt;"&amp;INDEX(T_Equipos[Rank],MATCH(BD16,T_Equipos[NombreEquipo],0)),$BC$6:$BC$53,INDEX(T_Equipos[Grupo],MATCH(BD16,T_Equipos[NombreEquipo],0)))+1)</f>
        <v>3</v>
      </c>
      <c r="DD16" s="16">
        <f ca="1">DA16+COUNTIFS($DB$6:$DB$53,DB16,$DC$6:DC$53,"&lt;"&amp;DC16,$BC$6:$BC$53,INDEX(T_Equipos[Grupo],MATCH(BD16,T_Equipos[NombreEquipo],0)))</f>
        <v>3</v>
      </c>
      <c r="DE16" s="16"/>
      <c r="DF16" s="16">
        <f t="shared" ca="1" si="46"/>
        <v>3</v>
      </c>
      <c r="DG16" s="16">
        <f ca="1">IF(DB16="-","-",COUNTIFS(DF$6:DF$53,"&lt;"&amp;DF16,$BC$6:$BC$53,INDEX(T_Equipos[Grupo],MATCH(BD16,T_Equipos[NombreEquipo],0))))</f>
        <v>2</v>
      </c>
      <c r="DH16" s="16">
        <f ca="1">DA16+COUNTIFS(DB$6:DB$53,DB16,DG$6:DG$53,"&lt;"&amp;DG16,$BC$6:$BC$53,INDEX(T_Equipos[Grupo],MATCH(BD16,T_Equipos[NombreEquipo],0)))</f>
        <v>3</v>
      </c>
      <c r="DI16" s="16"/>
      <c r="DJ16" s="16">
        <f t="shared" ca="1" si="47"/>
        <v>3</v>
      </c>
      <c r="DK16" s="16">
        <f t="shared" ca="1" si="48"/>
        <v>2</v>
      </c>
      <c r="DL16" s="16">
        <f t="shared" ca="1" si="49"/>
        <v>1</v>
      </c>
      <c r="DM16" s="16" t="str">
        <f t="shared" ca="1" si="50"/>
        <v>3.1</v>
      </c>
      <c r="DN16" s="16">
        <f t="array" aca="1" ref="DN16" ca="1">OFFSET(Horarios!$P$3,DJ16-1,0,DL16,1)</f>
        <v>3</v>
      </c>
      <c r="DO16" s="16"/>
      <c r="DP16" s="16" t="s">
        <v>81</v>
      </c>
      <c r="DQ16" s="16" t="str">
        <f t="shared" ca="1" si="51"/>
        <v>Haití</v>
      </c>
    </row>
    <row r="17" spans="1:121" ht="16.05" customHeight="1" thickBot="1">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8"/>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0</v>
      </c>
      <c r="BF17" s="16">
        <f t="shared" ca="1" si="17"/>
        <v>0</v>
      </c>
      <c r="BG17" s="16">
        <f t="shared" ca="1" si="18"/>
        <v>0</v>
      </c>
      <c r="BH17" s="16">
        <f t="shared" ca="1" si="19"/>
        <v>0</v>
      </c>
      <c r="BI17" s="16">
        <f t="shared" ca="1" si="20"/>
        <v>0</v>
      </c>
      <c r="BJ17" s="16">
        <f t="shared" ca="1" si="21"/>
        <v>0</v>
      </c>
      <c r="BK17" s="16">
        <f t="shared" ca="1" si="22"/>
        <v>0</v>
      </c>
      <c r="BL17" s="16">
        <f t="shared" ca="1" si="23"/>
        <v>0</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0</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P.3 (2)</v>
      </c>
      <c r="BU17" s="16">
        <f t="shared" ca="1" si="28"/>
        <v>0</v>
      </c>
      <c r="BV17" s="16">
        <f t="shared" ca="1" si="29"/>
        <v>0</v>
      </c>
      <c r="BW17" s="16">
        <f t="shared" ca="1" si="30"/>
        <v>0</v>
      </c>
      <c r="BX17" s="16">
        <f t="shared" ca="1" si="31"/>
        <v>0</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P.3 (2)</v>
      </c>
      <c r="CA17" s="16">
        <f t="shared" ca="1" si="32"/>
        <v>0</v>
      </c>
      <c r="CB17" s="16">
        <f t="shared" ca="1" si="33"/>
        <v>0</v>
      </c>
      <c r="CC17" s="16">
        <f t="shared" ca="1" si="34"/>
        <v>0</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P.3 (2)</v>
      </c>
      <c r="CF17" s="16">
        <f t="shared" ca="1" si="35"/>
        <v>0</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P.3 (2)</v>
      </c>
      <c r="CI17" s="16">
        <f t="shared" ca="1" si="36"/>
        <v>0</v>
      </c>
      <c r="CJ17" s="16">
        <f t="shared" ca="1" si="37"/>
        <v>0</v>
      </c>
      <c r="CK17" s="16">
        <f t="shared" ca="1" si="38"/>
        <v>0</v>
      </c>
      <c r="CL17" s="16">
        <f t="shared" ca="1" si="39"/>
        <v>0</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P.3 (2)</v>
      </c>
      <c r="CO17" s="16">
        <f t="shared" ca="1" si="40"/>
        <v>0</v>
      </c>
      <c r="CP17" s="16">
        <f t="shared" ca="1" si="41"/>
        <v>0</v>
      </c>
      <c r="CQ17" s="16">
        <f t="shared" ca="1" si="42"/>
        <v>0</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P.3 (2)</v>
      </c>
      <c r="CT17" s="16">
        <f t="shared" ca="1" si="43"/>
        <v>0</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P.3 (2)</v>
      </c>
      <c r="CW17" s="16">
        <f t="shared" ca="1" si="44"/>
        <v>0</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P.3 (2)</v>
      </c>
      <c r="CZ17" s="16">
        <f t="shared" ca="1" si="45"/>
        <v>0</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P.3 (2)</v>
      </c>
      <c r="DC17" s="16">
        <f ca="1">IF(DB17="-","-",COUNTIFS(T_Equipos[Rank],"&lt;"&amp;INDEX(T_Equipos[Rank],MATCH(BD17,T_Equipos[NombreEquipo],0)),$BC$6:$BC$53,INDEX(T_Equipos[Grupo],MATCH(BD17,T_Equipos[NombreEquipo],0)))+1)</f>
        <v>4</v>
      </c>
      <c r="DD17" s="16">
        <f ca="1">DA17+COUNTIFS($DB$6:$DB$53,DB17,$DC$6:DC$53,"&lt;"&amp;DC17,$BC$6:$BC$53,INDEX(T_Equipos[Grupo],MATCH(BD17,T_Equipos[NombreEquipo],0)))</f>
        <v>4</v>
      </c>
      <c r="DE17" s="16"/>
      <c r="DF17" s="16">
        <f t="shared" ca="1" si="46"/>
        <v>4</v>
      </c>
      <c r="DG17" s="16">
        <f ca="1">IF(DB17="-","-",COUNTIFS(DF$6:DF$53,"&lt;"&amp;DF17,$BC$6:$BC$53,INDEX(T_Equipos[Grupo],MATCH(BD17,T_Equipos[NombreEquipo],0))))</f>
        <v>3</v>
      </c>
      <c r="DH17" s="16">
        <f ca="1">DA17+COUNTIFS(DB$6:DB$53,DB17,DG$6:DG$53,"&lt;"&amp;DG17,$BC$6:$BC$53,INDEX(T_Equipos[Grupo],MATCH(BD17,T_Equipos[NombreEquipo],0)))</f>
        <v>4</v>
      </c>
      <c r="DI17" s="16"/>
      <c r="DJ17" s="16">
        <f t="shared" ca="1" si="47"/>
        <v>3</v>
      </c>
      <c r="DK17" s="16">
        <f t="shared" ca="1" si="48"/>
        <v>2</v>
      </c>
      <c r="DL17" s="16">
        <f t="shared" ca="1" si="49"/>
        <v>1</v>
      </c>
      <c r="DM17" s="16" t="str">
        <f t="shared" ca="1" si="50"/>
        <v>3.1</v>
      </c>
      <c r="DN17" s="16">
        <f t="array" aca="1" ref="DN17" ca="1">OFFSET(Horarios!$P$3,DJ17-1,0,DL17,1)</f>
        <v>3</v>
      </c>
      <c r="DO17" s="16"/>
      <c r="DP17" s="16" t="s">
        <v>82</v>
      </c>
      <c r="DQ17" s="16" t="str">
        <f t="shared" ca="1" si="51"/>
        <v>Escocia</v>
      </c>
    </row>
    <row r="18" spans="1:121" ht="16.05" customHeight="1" thickBot="1">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2</v>
      </c>
      <c r="DL18" s="16">
        <f t="shared" ca="1" si="49"/>
        <v>1</v>
      </c>
      <c r="DM18" s="16" t="str">
        <f t="shared" ca="1" si="50"/>
        <v>1.1</v>
      </c>
      <c r="DN18" s="16">
        <f t="array" aca="1" ref="DN18" ca="1">OFFSET(Horarios!$P$3,DJ18-1,0,DL18,1)</f>
        <v>1</v>
      </c>
      <c r="DO18" s="16"/>
      <c r="DP18" s="16" t="s">
        <v>83</v>
      </c>
      <c r="DQ18" s="16" t="str">
        <f t="shared" ca="1" si="51"/>
        <v>Estados Unidos</v>
      </c>
    </row>
    <row r="19" spans="1:121" ht="16.05"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(3)</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(3)</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(3)</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(3)</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(3)</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(3)</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(3)</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2</v>
      </c>
      <c r="DL19" s="16">
        <f t="shared" ca="1" si="49"/>
        <v>1</v>
      </c>
      <c r="DM19" s="16" t="str">
        <f t="shared" ca="1" si="50"/>
        <v>2.1</v>
      </c>
      <c r="DN19" s="16">
        <f t="array" aca="1" ref="DN19" ca="1">OFFSET(Horarios!$P$3,DJ19-1,0,DL19,1)</f>
        <v>2</v>
      </c>
      <c r="DO19" s="16"/>
      <c r="DP19" s="16" t="s">
        <v>84</v>
      </c>
      <c r="DQ19" s="16" t="str">
        <f t="shared" ca="1" si="51"/>
        <v>Australia</v>
      </c>
    </row>
    <row r="20" spans="1:121" ht="16.05" customHeight="1" thickBot="1">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45"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0</v>
      </c>
      <c r="BG20" s="16">
        <f t="shared" ca="1" si="18"/>
        <v>0</v>
      </c>
      <c r="BH20" s="16">
        <f t="shared" ca="1" si="19"/>
        <v>0</v>
      </c>
      <c r="BI20" s="16">
        <f t="shared" ca="1" si="20"/>
        <v>0</v>
      </c>
      <c r="BJ20" s="16">
        <f t="shared" ca="1" si="21"/>
        <v>0</v>
      </c>
      <c r="BK20" s="16">
        <f t="shared" ca="1" si="22"/>
        <v>0</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(3)</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(3)</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(3)</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(3)</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(3)</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(3)</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(3)</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P.2 (2)</v>
      </c>
      <c r="CZ20" s="16">
        <f t="shared" ca="1" si="45"/>
        <v>0</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P.2 (2)</v>
      </c>
      <c r="DC20" s="16">
        <f ca="1">IF(DB20="-","-",COUNTIFS(T_Equipos[Rank],"&lt;"&amp;INDEX(T_Equipos[Rank],MATCH(BD20,T_Equipos[NombreEquipo],0)),$BC$6:$BC$53,INDEX(T_Equipos[Grupo],MATCH(BD20,T_Equipos[NombreEquipo],0)))+1)</f>
        <v>3</v>
      </c>
      <c r="DD20" s="16">
        <f ca="1">DA20+COUNTIFS($DB$6:$DB$53,DB20,$DC$6:DC$53,"&lt;"&amp;DC20,$BC$6:$BC$53,INDEX(T_Equipos[Grupo],MATCH(BD20,T_Equipos[NombreEquipo],0)))</f>
        <v>2</v>
      </c>
      <c r="DE20" s="16"/>
      <c r="DF20" s="16">
        <f t="shared" ca="1" si="46"/>
        <v>2</v>
      </c>
      <c r="DG20" s="16">
        <f ca="1">IF(DB20="-","-",COUNTIFS(DF$6:DF$53,"&lt;"&amp;DF20,$BC$6:$BC$53,INDEX(T_Equipos[Grupo],MATCH(BD20,T_Equipos[NombreEquipo],0))))</f>
        <v>1</v>
      </c>
      <c r="DH20" s="16">
        <f ca="1">DA20+COUNTIFS(DB$6:DB$53,DB20,DG$6:DG$53,"&lt;"&amp;DG20,$BC$6:$BC$53,INDEX(T_Equipos[Grupo],MATCH(BD20,T_Equipos[NombreEquipo],0)))</f>
        <v>2</v>
      </c>
      <c r="DI20" s="16"/>
      <c r="DJ20" s="16">
        <f t="shared" ca="1" si="47"/>
        <v>2</v>
      </c>
      <c r="DK20" s="16">
        <f t="shared" ca="1" si="48"/>
        <v>2</v>
      </c>
      <c r="DL20" s="16">
        <f t="shared" ca="1" si="49"/>
        <v>1</v>
      </c>
      <c r="DM20" s="16" t="str">
        <f t="shared" ca="1" si="50"/>
        <v>2.1</v>
      </c>
      <c r="DN20" s="16">
        <f t="array" aca="1" ref="DN20" ca="1">OFFSET(Horarios!$P$3,DJ20-1,0,DL20,1)</f>
        <v>2</v>
      </c>
      <c r="DO20" s="16"/>
      <c r="DP20" s="16" t="s">
        <v>86</v>
      </c>
      <c r="DQ20" s="16" t="str">
        <f t="shared" ca="1" si="51"/>
        <v>Turquía</v>
      </c>
    </row>
    <row r="21" spans="1:121" ht="16.05" customHeight="1">
      <c r="A21" s="16" t="str">
        <f ca="1">+Equipos!B10</f>
        <v>Brasil</v>
      </c>
      <c r="B21" s="16"/>
      <c r="C21" s="16"/>
      <c r="D21" s="16" t="str">
        <f t="shared" si="68"/>
        <v>Pendiente</v>
      </c>
      <c r="E21" s="16" t="str">
        <f t="shared" si="69"/>
        <v>-</v>
      </c>
      <c r="F21" s="16" t="str">
        <f t="shared" si="70"/>
        <v>-</v>
      </c>
      <c r="G21" s="16"/>
      <c r="H21" s="16" t="str">
        <f t="shared" si="71"/>
        <v>-</v>
      </c>
      <c r="I21" s="16" t="str">
        <f t="shared" si="72"/>
        <v>-</v>
      </c>
      <c r="J21" s="16"/>
      <c r="K21" s="16" t="str">
        <f t="shared" si="73"/>
        <v>-</v>
      </c>
      <c r="L21" s="16" t="str">
        <f t="shared" si="74"/>
        <v>-</v>
      </c>
      <c r="M21" s="16"/>
      <c r="N21" s="16" t="str">
        <f t="shared" si="75"/>
        <v>-</v>
      </c>
      <c r="O21" s="16" t="str">
        <f t="shared" si="76"/>
        <v>-</v>
      </c>
      <c r="P21" s="16"/>
      <c r="Q21" s="16" t="str">
        <f t="shared" si="77"/>
        <v>-</v>
      </c>
      <c r="R21" s="16" t="str">
        <f t="shared" si="78"/>
        <v>-</v>
      </c>
      <c r="S21" s="16"/>
      <c r="T21" s="16" t="str">
        <f t="shared" si="79"/>
        <v>-</v>
      </c>
      <c r="U21" s="16" t="str">
        <f t="shared" si="80"/>
        <v>-</v>
      </c>
      <c r="V21" s="17"/>
      <c r="W21" s="627"/>
      <c r="X21" s="24">
        <f ca="1">Horarios!C21</f>
        <v>46186.875</v>
      </c>
      <c r="Y21" s="25">
        <f ca="1">Horarios!C21</f>
        <v>46186.875</v>
      </c>
      <c r="Z21" s="26" t="str">
        <f>$Z$4</f>
        <v>J1</v>
      </c>
      <c r="AA21" s="27" t="str">
        <f ca="1">A23</f>
        <v>Haití</v>
      </c>
      <c r="AB21" s="49" t="str">
        <f t="array" aca="1" ref="AB21" ca="1">Ver_flag_local</f>
        <v/>
      </c>
      <c r="AC21" s="50"/>
      <c r="AD21" s="51"/>
      <c r="AE21" s="582" t="str">
        <f t="array" aca="1" ref="AE21" ca="1">Ver_flag_visit</f>
        <v/>
      </c>
      <c r="AF21" s="32" t="str">
        <f ca="1">A24</f>
        <v>Escocia</v>
      </c>
      <c r="AG21" s="316">
        <f t="shared" si="81"/>
        <v>0</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0</v>
      </c>
      <c r="BG21" s="16">
        <f t="shared" ca="1" si="18"/>
        <v>0</v>
      </c>
      <c r="BH21" s="16">
        <f t="shared" ca="1" si="19"/>
        <v>0</v>
      </c>
      <c r="BI21" s="16">
        <f t="shared" ca="1" si="20"/>
        <v>0</v>
      </c>
      <c r="BJ21" s="16">
        <f t="shared" ca="1" si="21"/>
        <v>0</v>
      </c>
      <c r="BK21" s="16">
        <f t="shared" ca="1" si="22"/>
        <v>0</v>
      </c>
      <c r="BL21" s="16">
        <f t="shared" ca="1" si="23"/>
        <v>0</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P.2 (3)</v>
      </c>
      <c r="BU21" s="16">
        <f t="shared" ca="1" si="28"/>
        <v>0</v>
      </c>
      <c r="BV21" s="16">
        <f t="shared" ca="1" si="29"/>
        <v>0</v>
      </c>
      <c r="BW21" s="16">
        <f t="shared" ca="1" si="30"/>
        <v>0</v>
      </c>
      <c r="BX21" s="16">
        <f t="shared" ca="1" si="31"/>
        <v>0</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P.2 (3)</v>
      </c>
      <c r="CA21" s="16">
        <f t="shared" ca="1" si="32"/>
        <v>0</v>
      </c>
      <c r="CB21" s="16">
        <f t="shared" ca="1" si="33"/>
        <v>0</v>
      </c>
      <c r="CC21" s="16">
        <f t="shared" ca="1" si="34"/>
        <v>0</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P.2 (3)</v>
      </c>
      <c r="CF21" s="16">
        <f t="shared" ca="1" si="35"/>
        <v>0</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P.2 (3)</v>
      </c>
      <c r="CI21" s="16">
        <f t="shared" ca="1" si="36"/>
        <v>0</v>
      </c>
      <c r="CJ21" s="16">
        <f t="shared" ca="1" si="37"/>
        <v>0</v>
      </c>
      <c r="CK21" s="16">
        <f t="shared" ca="1" si="38"/>
        <v>0</v>
      </c>
      <c r="CL21" s="16">
        <f t="shared" ca="1" si="39"/>
        <v>0</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P.2 (3)</v>
      </c>
      <c r="CO21" s="16">
        <f t="shared" ca="1" si="40"/>
        <v>0</v>
      </c>
      <c r="CP21" s="16">
        <f t="shared" ca="1" si="41"/>
        <v>0</v>
      </c>
      <c r="CQ21" s="16">
        <f t="shared" ca="1" si="42"/>
        <v>0</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P.2 (3)</v>
      </c>
      <c r="CT21" s="16">
        <f t="shared" ca="1" si="43"/>
        <v>0</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P.2 (3)</v>
      </c>
      <c r="CW21" s="16">
        <f t="shared" ca="1" si="44"/>
        <v>0</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P.2 (2)</v>
      </c>
      <c r="CZ21" s="16">
        <f t="shared" ca="1" si="45"/>
        <v>0</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P.2 (2)</v>
      </c>
      <c r="DC21" s="16">
        <f ca="1">IF(DB21="-","-",COUNTIFS(T_Equipos[Rank],"&lt;"&amp;INDEX(T_Equipos[Rank],MATCH(BD21,T_Equipos[NombreEquipo],0)),$BC$6:$BC$53,INDEX(T_Equipos[Grupo],MATCH(BD21,T_Equipos[NombreEquipo],0)))+1)</f>
        <v>4</v>
      </c>
      <c r="DD21" s="16">
        <f ca="1">DA21+COUNTIFS($DB$6:$DB$53,DB21,$DC$6:DC$53,"&lt;"&amp;DC21,$BC$6:$BC$53,INDEX(T_Equipos[Grupo],MATCH(BD21,T_Equipos[NombreEquipo],0)))</f>
        <v>3</v>
      </c>
      <c r="DE21" s="16"/>
      <c r="DF21" s="16">
        <f t="shared" ca="1" si="46"/>
        <v>3</v>
      </c>
      <c r="DG21" s="16">
        <f ca="1">IF(DB21="-","-",COUNTIFS(DF$6:DF$53,"&lt;"&amp;DF21,$BC$6:$BC$53,INDEX(T_Equipos[Grupo],MATCH(BD21,T_Equipos[NombreEquipo],0))))</f>
        <v>2</v>
      </c>
      <c r="DH21" s="16">
        <f ca="1">DA21+COUNTIFS(DB$6:DB$53,DB21,DG$6:DG$53,"&lt;"&amp;DG21,$BC$6:$BC$53,INDEX(T_Equipos[Grupo],MATCH(BD21,T_Equipos[NombreEquipo],0)))</f>
        <v>3</v>
      </c>
      <c r="DI21" s="16"/>
      <c r="DJ21" s="16">
        <f t="shared" ca="1" si="47"/>
        <v>4</v>
      </c>
      <c r="DK21" s="16">
        <f t="shared" ca="1" si="48"/>
        <v>2</v>
      </c>
      <c r="DL21" s="16">
        <f t="shared" ca="1" si="49"/>
        <v>1</v>
      </c>
      <c r="DM21" s="16" t="str">
        <f t="shared" ca="1" si="50"/>
        <v>4.1</v>
      </c>
      <c r="DN21" s="16">
        <f t="array" aca="1" ref="DN21" ca="1">OFFSET(Horarios!$P$3,DJ21-1,0,DL21,1)</f>
        <v>4</v>
      </c>
      <c r="DO21" s="16"/>
      <c r="DP21" s="16" t="s">
        <v>87</v>
      </c>
      <c r="DQ21" s="16" t="str">
        <f t="shared" ca="1" si="51"/>
        <v>Paraguay</v>
      </c>
    </row>
    <row r="22" spans="1:121" ht="16.05" customHeight="1">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7"/>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1</v>
      </c>
      <c r="AN22" s="36">
        <f t="shared" ca="1" si="83"/>
        <v>1</v>
      </c>
      <c r="AO22" s="36">
        <f t="shared" ca="1" si="83"/>
        <v>0</v>
      </c>
      <c r="AP22" s="36">
        <f t="shared" ca="1" si="83"/>
        <v>1</v>
      </c>
      <c r="AQ22" s="36">
        <f t="shared" ca="1" si="83"/>
        <v>0</v>
      </c>
      <c r="AR22" s="36">
        <f t="shared" ca="1" si="83"/>
        <v>1</v>
      </c>
      <c r="AS22" s="36">
        <f t="shared" ca="1" si="83"/>
        <v>1</v>
      </c>
      <c r="AT22" s="41">
        <f t="shared" ca="1" si="83"/>
        <v>0</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0</v>
      </c>
      <c r="BF22" s="16">
        <f t="shared" ca="1" si="17"/>
        <v>0</v>
      </c>
      <c r="BG22" s="16">
        <f t="shared" ca="1" si="18"/>
        <v>0</v>
      </c>
      <c r="BH22" s="16">
        <f t="shared" ca="1" si="19"/>
        <v>0</v>
      </c>
      <c r="BI22" s="16">
        <f t="shared" ca="1" si="20"/>
        <v>0</v>
      </c>
      <c r="BJ22" s="16">
        <f t="shared" ca="1" si="21"/>
        <v>0</v>
      </c>
      <c r="BK22" s="16">
        <f t="shared" ca="1" si="22"/>
        <v>0</v>
      </c>
      <c r="BL22" s="16">
        <f t="shared" ca="1" si="23"/>
        <v>0</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0</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(4)</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(4)</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(4)</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(4)</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(4)</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(4)</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(4)</v>
      </c>
      <c r="CW22" s="16">
        <f t="shared" ca="1" si="44"/>
        <v>0</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P.1 (4)</v>
      </c>
      <c r="CZ22" s="16">
        <f t="shared" ca="1" si="45"/>
        <v>0</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P.1 (4)</v>
      </c>
      <c r="DC22" s="16">
        <f ca="1">IF(DB22="-","-",COUNTIFS(T_Equipos[Rank],"&lt;"&amp;INDEX(T_Equipos[Rank],MATCH(BD22,T_Equipos[NombreEquipo],0)),$BC$6:$BC$53,INDEX(T_Equipos[Grupo],MATCH(BD22,T_Equipos[NombreEquipo],0)))+1)</f>
        <v>1</v>
      </c>
      <c r="DD22" s="16">
        <f ca="1">DA22+COUNTIFS($DB$6:$DB$53,DB22,$DC$6:DC$53,"&lt;"&amp;DC22,$BC$6:$BC$53,INDEX(T_Equipos[Grupo],MATCH(BD22,T_Equipos[NombreEquipo],0)))</f>
        <v>1</v>
      </c>
      <c r="DE22" s="16"/>
      <c r="DF22" s="16">
        <f t="shared" ca="1" si="46"/>
        <v>1</v>
      </c>
      <c r="DG22" s="16">
        <f ca="1">IF(DB22="-","-",COUNTIFS(DF$6:DF$53,"&lt;"&amp;DF22,$BC$6:$BC$53,INDEX(T_Equipos[Grupo],MATCH(BD22,T_Equipos[NombreEquipo],0))))</f>
        <v>0</v>
      </c>
      <c r="DH22" s="16">
        <f ca="1">DA22+COUNTIFS(DB$6:DB$53,DB22,DG$6:DG$53,"&lt;"&amp;DG22,$BC$6:$BC$53,INDEX(T_Equipos[Grupo],MATCH(BD22,T_Equipos[NombreEquipo],0)))</f>
        <v>1</v>
      </c>
      <c r="DI22" s="16"/>
      <c r="DJ22" s="16">
        <f t="shared" ca="1" si="47"/>
        <v>1</v>
      </c>
      <c r="DK22" s="16">
        <f t="shared" ca="1" si="48"/>
        <v>0</v>
      </c>
      <c r="DL22" s="16">
        <f t="shared" ca="1" si="49"/>
        <v>1</v>
      </c>
      <c r="DM22" s="16" t="str">
        <f t="shared" ca="1" si="50"/>
        <v>1.1</v>
      </c>
      <c r="DN22" s="16">
        <f t="array" aca="1" ref="DN22" ca="1">OFFSET(Horarios!$P$3,DJ22-1,0,DL22,1)</f>
        <v>1</v>
      </c>
      <c r="DO22" s="16"/>
      <c r="DP22" s="16" t="s">
        <v>88</v>
      </c>
      <c r="DQ22" s="16" t="str">
        <f t="shared" ca="1" si="51"/>
        <v>Alemania</v>
      </c>
    </row>
    <row r="23" spans="1:121" ht="16.05" customHeight="1">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7"/>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Marruecos</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0</v>
      </c>
      <c r="BG23" s="16">
        <f t="shared" ca="1" si="18"/>
        <v>0</v>
      </c>
      <c r="BH23" s="16">
        <f t="shared" ca="1" si="19"/>
        <v>0</v>
      </c>
      <c r="BI23" s="16">
        <f t="shared" ca="1" si="20"/>
        <v>0</v>
      </c>
      <c r="BJ23" s="16">
        <f t="shared" ca="1" si="21"/>
        <v>0</v>
      </c>
      <c r="BK23" s="16">
        <f t="shared" ca="1" si="22"/>
        <v>0</v>
      </c>
      <c r="BL23" s="16">
        <f t="shared" ca="1" si="23"/>
        <v>0</v>
      </c>
      <c r="BM23" s="16" t="str">
        <f t="shared" ca="1" si="24"/>
        <v>2E</v>
      </c>
      <c r="BN23" s="16" t="str">
        <f t="shared" ca="1" si="25"/>
        <v>2E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1</v>
      </c>
      <c r="BT23" s="16" t="str">
        <f ca="1">IF(COUNTIFS($BS$6:$BS$53,BS23,$BC$6:$BC$53,INDEX(T_Equipos[Grupo],MATCH(BD23,T_Equipos[NombreEquipo],0)))=1,"-","P."&amp;BS23&amp;" ("&amp;COUNTIFS($BS$6:$BS$53,BS23,$BC$6:$BC$53,INDEX(T_Equipos[Grupo],MATCH(BD23,T_Equipos[NombreEquipo],0)))&amp;")")</f>
        <v>P.1 (4)</v>
      </c>
      <c r="BU23" s="16">
        <f t="shared" ca="1" si="28"/>
        <v>0</v>
      </c>
      <c r="BV23" s="16">
        <f t="shared" ca="1" si="29"/>
        <v>0</v>
      </c>
      <c r="BW23" s="16">
        <f t="shared" ca="1" si="30"/>
        <v>0</v>
      </c>
      <c r="BX23" s="16">
        <f t="shared" ca="1" si="31"/>
        <v>0</v>
      </c>
      <c r="BY23" s="16">
        <f ca="1">BS23+COUNTIFS($BT$6:$BT$53,BT23,$BX$6:BX$53,"&gt;"&amp;BX23,$BC$6:$BC$53,INDEX(T_Equipos[Grupo],MATCH(BD23,T_Equipos[NombreEquipo],0)))</f>
        <v>1</v>
      </c>
      <c r="BZ23" s="16" t="str">
        <f ca="1">IF(COUNTIFS($BY$6:$BY$53,BY23,$BC$6:$BC$53,INDEX(T_Equipos[Grupo],MATCH(BD23,T_Equipos[NombreEquipo],0)))=1,"-","P."&amp;BY23&amp;" ("&amp;COUNTIFS($BY$6:$BY$53,BY23,$BC$6:$BC$53,INDEX(T_Equipos[Grupo],MATCH(BD23,T_Equipos[NombreEquipo],0)))&amp;")")</f>
        <v>P.1 (4)</v>
      </c>
      <c r="CA23" s="16">
        <f t="shared" ca="1" si="32"/>
        <v>0</v>
      </c>
      <c r="CB23" s="16">
        <f t="shared" ca="1" si="33"/>
        <v>0</v>
      </c>
      <c r="CC23" s="16">
        <f t="shared" ca="1" si="34"/>
        <v>0</v>
      </c>
      <c r="CD23" s="16">
        <f ca="1">BY23+COUNTIFS($BZ$6:$BZ$53,BZ23,$CC$6:CC$53,"&gt;"&amp;CC23,$BC$6:$BC$53,INDEX(T_Equipos[Grupo],MATCH(BD23,T_Equipos[NombreEquipo],0)))</f>
        <v>1</v>
      </c>
      <c r="CE23" s="16" t="str">
        <f ca="1">IF(COUNTIFS($CD$6:$CD$53,CD23,$BC$6:$BC$53,INDEX(T_Equipos[Grupo],MATCH(BD23,T_Equipos[NombreEquipo],0)))=1,"-","P."&amp;CD23&amp;" ("&amp;COUNTIFS($CD$6:$CD$53,CD23,$BC$6:$BC$53,INDEX(T_Equipos[Grupo],MATCH(BD23,T_Equipos[NombreEquipo],0)))&amp;")")</f>
        <v>P.1 (4)</v>
      </c>
      <c r="CF23" s="16">
        <f t="shared" ca="1" si="35"/>
        <v>0</v>
      </c>
      <c r="CG23" s="16">
        <f ca="1">CD23+COUNTIFS($CE$6:$CE$53,CE23,$CF$6:CF$53,"&gt;"&amp;CF23,$BC$6:$BC$53,INDEX(T_Equipos[Grupo],MATCH(BD23,T_Equipos[NombreEquipo],0)))</f>
        <v>1</v>
      </c>
      <c r="CH23" s="16" t="str">
        <f ca="1">IF(COUNTIFS($CG$6:$CG$53,CG23,$BC$6:$BC$53,INDEX(T_Equipos[Grupo],MATCH(BD23,T_Equipos[NombreEquipo],0)))=1,"-","P."&amp;CG23&amp;" ("&amp;COUNTIFS($CG$6:$CG$53,CG23,$BC$6:$BC$53,INDEX(T_Equipos[Grupo],MATCH(BD23,T_Equipos[NombreEquipo],0)))&amp;")")</f>
        <v>P.1 (4)</v>
      </c>
      <c r="CI23" s="16">
        <f t="shared" ca="1" si="36"/>
        <v>0</v>
      </c>
      <c r="CJ23" s="16">
        <f t="shared" ca="1" si="37"/>
        <v>0</v>
      </c>
      <c r="CK23" s="16">
        <f t="shared" ca="1" si="38"/>
        <v>0</v>
      </c>
      <c r="CL23" s="16">
        <f t="shared" ca="1" si="39"/>
        <v>0</v>
      </c>
      <c r="CM23" s="16">
        <f ca="1">CG23+COUNTIFS($CH$6:$CH$53,CH23,$CL$6:CL$53,"&gt;"&amp;CL23,$BC$6:$BC$53,INDEX(T_Equipos[Grupo],MATCH(BD23,T_Equipos[NombreEquipo],0)))</f>
        <v>1</v>
      </c>
      <c r="CN23" s="16" t="str">
        <f ca="1">IF(COUNTIFS($CM$6:$CM$53,CM23,$BC$6:$BC$53,INDEX(T_Equipos[Grupo],MATCH(BD23,T_Equipos[NombreEquipo],0)))=1,"-","P."&amp;CM23&amp;" ("&amp;COUNTIFS($CM$6:$CM$53,CM23,$BC$6:$BC$53,INDEX(T_Equipos[Grupo],MATCH(BD23,T_Equipos[NombreEquipo],0)))&amp;")")</f>
        <v>P.1 (4)</v>
      </c>
      <c r="CO23" s="16">
        <f t="shared" ca="1" si="40"/>
        <v>0</v>
      </c>
      <c r="CP23" s="16">
        <f t="shared" ca="1" si="41"/>
        <v>0</v>
      </c>
      <c r="CQ23" s="16">
        <f t="shared" ca="1" si="42"/>
        <v>0</v>
      </c>
      <c r="CR23" s="16">
        <f ca="1">CM23+COUNTIFS($CN$6:$CN$53,CN23,$CQ$6:CQ$53,"&gt;"&amp;CQ23,$BC$6:$BC$53,INDEX(T_Equipos[Grupo],MATCH(BD23,T_Equipos[NombreEquipo],0)))</f>
        <v>1</v>
      </c>
      <c r="CS23" s="16" t="str">
        <f ca="1">IF(COUNTIFS($CR$6:$CR$53,CR23,$BC$6:$BC$53,INDEX(T_Equipos[Grupo],MATCH(BD23,T_Equipos[NombreEquipo],0)))=1,"-","P."&amp;CR23&amp;" ("&amp;COUNTIFS($CR$6:$CR$53,CR23,$BC$6:$BC$53,INDEX(T_Equipos[Grupo],MATCH(BD23,T_Equipos[NombreEquipo],0)))&amp;")")</f>
        <v>P.1 (4)</v>
      </c>
      <c r="CT23" s="16">
        <f t="shared" ca="1" si="43"/>
        <v>0</v>
      </c>
      <c r="CU23" s="16">
        <f ca="1">CR23+COUNTIFS($CS$6:$CS$53,CS23,$CT$6:CT$53,"&gt;"&amp;CT23,$BC$6:$BC$53,INDEX(T_Equipos[Grupo],MATCH(BD23,T_Equipos[NombreEquipo],0)))</f>
        <v>1</v>
      </c>
      <c r="CV23" s="16" t="str">
        <f ca="1">IF(COUNTIFS($CU$6:$CU$53,CU23,$BC$6:$BC$53,INDEX(T_Equipos[Grupo],MATCH(BD23,T_Equipos[NombreEquipo],0)))=1,"-","P."&amp;CU23&amp;" ("&amp;COUNTIFS($CU$6:$CU$53,CU23,$BC$6:$BC$53,INDEX(T_Equipos[Grupo],MATCH(BD23,T_Equipos[NombreEquipo],0)))&amp;")")</f>
        <v>P.1 (4)</v>
      </c>
      <c r="CW23" s="16">
        <f t="shared" ca="1" si="44"/>
        <v>0</v>
      </c>
      <c r="CX23" s="16">
        <f ca="1">CU23+COUNTIFS($CV$6:$CV$53,CV23,$CW$6:CW$53,"&gt;"&amp;CW23,$BC$6:$BC$53,INDEX(T_Equipos[Grupo],MATCH(BD23,T_Equipos[NombreEquipo],0)))</f>
        <v>1</v>
      </c>
      <c r="CY23" s="16" t="str">
        <f ca="1">IF(COUNTIFS($CX$6:$CX$53,CX23,$BC$6:$BC$53,INDEX(T_Equipos[Grupo],MATCH(BD23,T_Equipos[NombreEquipo],0)))=1,"-","P."&amp;CX23&amp;" ("&amp;COUNTIFS($CX$6:$CX$53,CX23,$BC$6:$BC$53,INDEX(T_Equipos[Grupo],MATCH(BD23,T_Equipos[NombreEquipo],0)))&amp;")")</f>
        <v>P.1 (4)</v>
      </c>
      <c r="CZ23" s="16">
        <f t="shared" ca="1" si="45"/>
        <v>0</v>
      </c>
      <c r="DA23" s="16">
        <f ca="1">CX23+COUNTIFS($CY$6:$CY$53,CY23,$CZ$6:CZ$53,"&gt;"&amp;CZ23,$BC$6:$BC$53,INDEX(T_Equipos[Grupo],MATCH(BD23,T_Equipos[NombreEquipo],0)))</f>
        <v>1</v>
      </c>
      <c r="DB23" s="16" t="str">
        <f ca="1">IF(COUNTIFS($DA$6:$DA$53,DA23,$BC$6:$BC$53,INDEX(T_Equipos[Grupo],MATCH(BD23,T_Equipos[NombreEquipo],0)))=1,"-","P."&amp;DA23&amp;" ("&amp;COUNTIFS($DA$6:$DA$53,DA23,$BC$6:$BC$53,INDEX(T_Equipos[Grupo],MATCH(BD23,T_Equipos[NombreEquipo],0)))&amp;")")</f>
        <v>P.1 (4)</v>
      </c>
      <c r="DC23" s="16">
        <f ca="1">IF(DB23="-","-",COUNTIFS(T_Equipos[Rank],"&lt;"&amp;INDEX(T_Equipos[Rank],MATCH(BD23,T_Equipos[NombreEquipo],0)),$BC$6:$BC$53,INDEX(T_Equipos[Grupo],MATCH(BD23,T_Equipos[NombreEquipo],0)))+1)</f>
        <v>2</v>
      </c>
      <c r="DD23" s="16">
        <f ca="1">DA23+COUNTIFS($DB$6:$DB$53,DB23,$DC$6:DC$53,"&lt;"&amp;DC23,$BC$6:$BC$53,INDEX(T_Equipos[Grupo],MATCH(BD23,T_Equipos[NombreEquipo],0)))</f>
        <v>2</v>
      </c>
      <c r="DE23" s="16"/>
      <c r="DF23" s="16">
        <f t="shared" ca="1" si="46"/>
        <v>2</v>
      </c>
      <c r="DG23" s="16">
        <f ca="1">IF(DB23="-","-",COUNTIFS(DF$6:DF$53,"&lt;"&amp;DF23,$BC$6:$BC$53,INDEX(T_Equipos[Grupo],MATCH(BD23,T_Equipos[NombreEquipo],0))))</f>
        <v>1</v>
      </c>
      <c r="DH23" s="16">
        <f ca="1">DA23+COUNTIFS(DB$6:DB$53,DB23,DG$6:DG$53,"&lt;"&amp;DG23,$BC$6:$BC$53,INDEX(T_Equipos[Grupo],MATCH(BD23,T_Equipos[NombreEquipo],0)))</f>
        <v>2</v>
      </c>
      <c r="DI23" s="16"/>
      <c r="DJ23" s="16">
        <f t="shared" ca="1" si="47"/>
        <v>1</v>
      </c>
      <c r="DK23" s="16">
        <f t="shared" ca="1" si="48"/>
        <v>0</v>
      </c>
      <c r="DL23" s="16">
        <f t="shared" ca="1" si="49"/>
        <v>1</v>
      </c>
      <c r="DM23" s="16" t="str">
        <f t="shared" ca="1" si="50"/>
        <v>1.1</v>
      </c>
      <c r="DN23" s="16">
        <f t="array" aca="1" ref="DN23" ca="1">OFFSET(Horarios!$P$3,DJ23-1,0,DL23,1)</f>
        <v>1</v>
      </c>
      <c r="DO23" s="16"/>
      <c r="DP23" s="16" t="s">
        <v>89</v>
      </c>
      <c r="DQ23" s="16" t="str">
        <f t="shared" ca="1" si="51"/>
        <v>Curazao</v>
      </c>
    </row>
    <row r="24" spans="1:121" ht="16.05" customHeight="1">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7"/>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Haití</v>
      </c>
      <c r="AM24" s="38">
        <f t="shared" ca="1" si="83"/>
        <v>0</v>
      </c>
      <c r="AN24" s="39">
        <f t="shared" ca="1" si="83"/>
        <v>0</v>
      </c>
      <c r="AO24" s="39">
        <f t="shared" ca="1" si="83"/>
        <v>0</v>
      </c>
      <c r="AP24" s="39">
        <f t="shared" ca="1" si="83"/>
        <v>0</v>
      </c>
      <c r="AQ24" s="39">
        <f t="shared" ca="1" si="83"/>
        <v>0</v>
      </c>
      <c r="AR24" s="39">
        <f t="shared" ca="1" si="83"/>
        <v>0</v>
      </c>
      <c r="AS24" s="39">
        <f t="shared" ca="1" si="83"/>
        <v>0</v>
      </c>
      <c r="AT24" s="43">
        <f t="shared" ca="1" si="83"/>
        <v>0</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0</v>
      </c>
      <c r="BF24" s="16">
        <f t="shared" ca="1" si="17"/>
        <v>0</v>
      </c>
      <c r="BG24" s="16">
        <f t="shared" ca="1" si="18"/>
        <v>0</v>
      </c>
      <c r="BH24" s="16">
        <f t="shared" ca="1" si="19"/>
        <v>0</v>
      </c>
      <c r="BI24" s="16">
        <f t="shared" ca="1" si="20"/>
        <v>0</v>
      </c>
      <c r="BJ24" s="16">
        <f t="shared" ca="1" si="21"/>
        <v>0</v>
      </c>
      <c r="BK24" s="16">
        <f t="shared" ca="1" si="22"/>
        <v>0</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0</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(4)</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(4)</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(4)</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(4)</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(4)</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(4)</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(4)</v>
      </c>
      <c r="CW24" s="16">
        <f t="shared" ca="1" si="44"/>
        <v>0</v>
      </c>
      <c r="CX24" s="16">
        <f ca="1">CU24+COUNTIFS($CV$6:$CV$53,CV24,$CW$6:CW$53,"&gt;"&amp;CW24,$BC$6:$BC$53,INDEX(T_Equipos[Grupo],MATCH(BD24,T_Equipos[NombreEquipo],0)))</f>
        <v>1</v>
      </c>
      <c r="CY24" s="16" t="str">
        <f ca="1">IF(COUNTIFS($CX$6:$CX$53,CX24,$BC$6:$BC$53,INDEX(T_Equipos[Grupo],MATCH(BD24,T_Equipos[NombreEquipo],0)))=1,"-","P."&amp;CX24&amp;" ("&amp;COUNTIFS($CX$6:$CX$53,CX24,$BC$6:$BC$53,INDEX(T_Equipos[Grupo],MATCH(BD24,T_Equipos[NombreEquipo],0)))&amp;")")</f>
        <v>P.1 (4)</v>
      </c>
      <c r="CZ24" s="16">
        <f t="shared" ca="1" si="45"/>
        <v>0</v>
      </c>
      <c r="DA24" s="16">
        <f ca="1">CX24+COUNTIFS($CY$6:$CY$53,CY24,$CZ$6:CZ$53,"&gt;"&amp;CZ24,$BC$6:$BC$53,INDEX(T_Equipos[Grupo],MATCH(BD24,T_Equipos[NombreEquipo],0)))</f>
        <v>1</v>
      </c>
      <c r="DB24" s="16" t="str">
        <f ca="1">IF(COUNTIFS($DA$6:$DA$53,DA24,$BC$6:$BC$53,INDEX(T_Equipos[Grupo],MATCH(BD24,T_Equipos[NombreEquipo],0)))=1,"-","P."&amp;DA24&amp;" ("&amp;COUNTIFS($DA$6:$DA$53,DA24,$BC$6:$BC$53,INDEX(T_Equipos[Grupo],MATCH(BD24,T_Equipos[NombreEquipo],0)))&amp;")")</f>
        <v>P.1 (4)</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3</v>
      </c>
      <c r="DE24" s="16"/>
      <c r="DF24" s="16">
        <f t="shared" ca="1" si="46"/>
        <v>3</v>
      </c>
      <c r="DG24" s="16">
        <f ca="1">IF(DB24="-","-",COUNTIFS(DF$6:DF$53,"&lt;"&amp;DF24,$BC$6:$BC$53,INDEX(T_Equipos[Grupo],MATCH(BD24,T_Equipos[NombreEquipo],0))))</f>
        <v>2</v>
      </c>
      <c r="DH24" s="16">
        <f ca="1">DA24+COUNTIFS(DB$6:DB$53,DB24,DG$6:DG$53,"&lt;"&amp;DG24,$BC$6:$BC$53,INDEX(T_Equipos[Grupo],MATCH(BD24,T_Equipos[NombreEquipo],0)))</f>
        <v>3</v>
      </c>
      <c r="DI24" s="16"/>
      <c r="DJ24" s="16">
        <f t="shared" ca="1" si="47"/>
        <v>1</v>
      </c>
      <c r="DK24" s="16">
        <f t="shared" ca="1" si="48"/>
        <v>0</v>
      </c>
      <c r="DL24" s="16">
        <f t="shared" ca="1" si="49"/>
        <v>1</v>
      </c>
      <c r="DM24" s="16" t="str">
        <f t="shared" ca="1" si="50"/>
        <v>1.1</v>
      </c>
      <c r="DN24" s="16">
        <f t="array" aca="1" ref="DN24" ca="1">OFFSET(Horarios!$P$3,DJ24-1,0,DL24,1)</f>
        <v>1</v>
      </c>
      <c r="DO24" s="16"/>
      <c r="DP24" s="16" t="s">
        <v>90</v>
      </c>
      <c r="DQ24" s="16" t="str">
        <f t="shared" ca="1" si="51"/>
        <v>Costa de Marfil</v>
      </c>
    </row>
    <row r="25" spans="1:121" ht="16.05" customHeight="1" thickBot="1">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8"/>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Escocia</v>
      </c>
      <c r="AM25" s="46">
        <f t="shared" ca="1" si="83"/>
        <v>0</v>
      </c>
      <c r="AN25" s="47">
        <f t="shared" ca="1" si="83"/>
        <v>0</v>
      </c>
      <c r="AO25" s="47">
        <f t="shared" ca="1" si="83"/>
        <v>0</v>
      </c>
      <c r="AP25" s="47">
        <f t="shared" ca="1" si="83"/>
        <v>0</v>
      </c>
      <c r="AQ25" s="47">
        <f t="shared" ca="1" si="83"/>
        <v>0</v>
      </c>
      <c r="AR25" s="47">
        <f t="shared" ca="1" si="83"/>
        <v>0</v>
      </c>
      <c r="AS25" s="47">
        <f t="shared" ca="1" si="83"/>
        <v>0</v>
      </c>
      <c r="AT25" s="48">
        <f t="shared" ca="1" si="83"/>
        <v>0</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0</v>
      </c>
      <c r="BG25" s="16">
        <f t="shared" ca="1" si="18"/>
        <v>0</v>
      </c>
      <c r="BH25" s="16">
        <f t="shared" ca="1" si="19"/>
        <v>0</v>
      </c>
      <c r="BI25" s="16">
        <f t="shared" ca="1" si="20"/>
        <v>0</v>
      </c>
      <c r="BJ25" s="16">
        <f t="shared" ca="1" si="21"/>
        <v>0</v>
      </c>
      <c r="BK25" s="16">
        <f t="shared" ca="1" si="22"/>
        <v>0</v>
      </c>
      <c r="BL25" s="16">
        <f t="shared" ca="1" si="23"/>
        <v>0</v>
      </c>
      <c r="BM25" s="16" t="str">
        <f t="shared" ca="1" si="24"/>
        <v>4E</v>
      </c>
      <c r="BN25" s="16" t="str">
        <f t="shared" ca="1" si="25"/>
        <v>4E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(4)</v>
      </c>
      <c r="BU25" s="16">
        <f t="shared" ca="1" si="28"/>
        <v>0</v>
      </c>
      <c r="BV25" s="16">
        <f t="shared" ca="1" si="29"/>
        <v>0</v>
      </c>
      <c r="BW25" s="16">
        <f t="shared" ca="1" si="30"/>
        <v>0</v>
      </c>
      <c r="BX25" s="16">
        <f t="shared" ca="1" si="31"/>
        <v>0</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(4)</v>
      </c>
      <c r="CA25" s="16">
        <f t="shared" ca="1" si="32"/>
        <v>0</v>
      </c>
      <c r="CB25" s="16">
        <f t="shared" ca="1" si="33"/>
        <v>0</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(4)</v>
      </c>
      <c r="CF25" s="16">
        <f t="shared" ca="1" si="35"/>
        <v>0</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(4)</v>
      </c>
      <c r="CI25" s="16">
        <f t="shared" ca="1" si="36"/>
        <v>0</v>
      </c>
      <c r="CJ25" s="16">
        <f t="shared" ca="1" si="37"/>
        <v>0</v>
      </c>
      <c r="CK25" s="16">
        <f t="shared" ca="1" si="38"/>
        <v>0</v>
      </c>
      <c r="CL25" s="16">
        <f t="shared" ca="1" si="39"/>
        <v>0</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(4)</v>
      </c>
      <c r="CO25" s="16">
        <f t="shared" ca="1" si="40"/>
        <v>0</v>
      </c>
      <c r="CP25" s="16">
        <f t="shared" ca="1" si="41"/>
        <v>0</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(4)</v>
      </c>
      <c r="CT25" s="16">
        <f t="shared" ca="1" si="43"/>
        <v>0</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(4)</v>
      </c>
      <c r="CW25" s="16">
        <f t="shared" ca="1" si="44"/>
        <v>0</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P.1 (4)</v>
      </c>
      <c r="CZ25" s="16">
        <f t="shared" ca="1" si="45"/>
        <v>0</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P.1 (4)</v>
      </c>
      <c r="DC25" s="16">
        <f ca="1">IF(DB25="-","-",COUNTIFS(T_Equipos[Rank],"&lt;"&amp;INDEX(T_Equipos[Rank],MATCH(BD25,T_Equipos[NombreEquipo],0)),$BC$6:$BC$53,INDEX(T_Equipos[Grupo],MATCH(BD25,T_Equipos[NombreEquipo],0)))+1)</f>
        <v>4</v>
      </c>
      <c r="DD25" s="16">
        <f ca="1">DA25+COUNTIFS($DB$6:$DB$53,DB25,$DC$6:DC$53,"&lt;"&amp;DC25,$BC$6:$BC$53,INDEX(T_Equipos[Grupo],MATCH(BD25,T_Equipos[NombreEquipo],0)))</f>
        <v>4</v>
      </c>
      <c r="DE25" s="16"/>
      <c r="DF25" s="16">
        <f t="shared" ca="1" si="46"/>
        <v>4</v>
      </c>
      <c r="DG25" s="16">
        <f ca="1">IF(DB25="-","-",COUNTIFS(DF$6:DF$53,"&lt;"&amp;DF25,$BC$6:$BC$53,INDEX(T_Equipos[Grupo],MATCH(BD25,T_Equipos[NombreEquipo],0))))</f>
        <v>3</v>
      </c>
      <c r="DH25" s="16">
        <f ca="1">DA25+COUNTIFS(DB$6:DB$53,DB25,DG$6:DG$53,"&lt;"&amp;DG25,$BC$6:$BC$53,INDEX(T_Equipos[Grupo],MATCH(BD25,T_Equipos[NombreEquipo],0)))</f>
        <v>4</v>
      </c>
      <c r="DI25" s="16"/>
      <c r="DJ25" s="16">
        <f t="shared" ca="1" si="47"/>
        <v>1</v>
      </c>
      <c r="DK25" s="16">
        <f t="shared" ca="1" si="48"/>
        <v>0</v>
      </c>
      <c r="DL25" s="16">
        <f t="shared" ca="1" si="49"/>
        <v>1</v>
      </c>
      <c r="DM25" s="16" t="str">
        <f t="shared" ca="1" si="50"/>
        <v>1.1</v>
      </c>
      <c r="DN25" s="16">
        <f t="array" aca="1" ref="DN25" ca="1">OFFSET(Horarios!$P$3,DJ25-1,0,DL25,1)</f>
        <v>1</v>
      </c>
      <c r="DO25" s="16"/>
      <c r="DP25" s="16" t="s">
        <v>91</v>
      </c>
      <c r="DQ25" s="16" t="str">
        <f t="shared" ca="1" si="51"/>
        <v>Ecuador</v>
      </c>
    </row>
    <row r="26" spans="1:121" ht="16.05" customHeight="1" thickBot="1">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0</v>
      </c>
      <c r="BF26" s="16">
        <f t="shared" ca="1" si="17"/>
        <v>0</v>
      </c>
      <c r="BG26" s="16">
        <f t="shared" ca="1" si="18"/>
        <v>0</v>
      </c>
      <c r="BH26" s="16">
        <f t="shared" ca="1" si="19"/>
        <v>0</v>
      </c>
      <c r="BI26" s="16">
        <f t="shared" ca="1" si="20"/>
        <v>0</v>
      </c>
      <c r="BJ26" s="16">
        <f t="shared" ca="1" si="21"/>
        <v>0</v>
      </c>
      <c r="BK26" s="16">
        <f t="shared" ca="1" si="22"/>
        <v>0</v>
      </c>
      <c r="BL26" s="16">
        <f t="shared" ca="1" si="23"/>
        <v>0</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0</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(4)</v>
      </c>
      <c r="BU26" s="16">
        <f t="shared" ca="1" si="28"/>
        <v>0</v>
      </c>
      <c r="BV26" s="16">
        <f t="shared" ca="1" si="29"/>
        <v>0</v>
      </c>
      <c r="BW26" s="16">
        <f t="shared" ca="1" si="30"/>
        <v>0</v>
      </c>
      <c r="BX26" s="16">
        <f t="shared" ca="1" si="31"/>
        <v>0</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(4)</v>
      </c>
      <c r="CA26" s="16">
        <f t="shared" ca="1" si="32"/>
        <v>0</v>
      </c>
      <c r="CB26" s="16">
        <f t="shared" ca="1" si="33"/>
        <v>0</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(4)</v>
      </c>
      <c r="CF26" s="16">
        <f t="shared" ca="1" si="35"/>
        <v>0</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(4)</v>
      </c>
      <c r="CI26" s="16">
        <f t="shared" ca="1" si="36"/>
        <v>0</v>
      </c>
      <c r="CJ26" s="16">
        <f t="shared" ca="1" si="37"/>
        <v>0</v>
      </c>
      <c r="CK26" s="16">
        <f t="shared" ca="1" si="38"/>
        <v>0</v>
      </c>
      <c r="CL26" s="16">
        <f t="shared" ca="1" si="39"/>
        <v>0</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(4)</v>
      </c>
      <c r="CO26" s="16">
        <f t="shared" ca="1" si="40"/>
        <v>0</v>
      </c>
      <c r="CP26" s="16">
        <f t="shared" ca="1" si="41"/>
        <v>0</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(4)</v>
      </c>
      <c r="CT26" s="16">
        <f t="shared" ca="1" si="43"/>
        <v>0</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(4)</v>
      </c>
      <c r="CW26" s="16">
        <f t="shared" ca="1" si="44"/>
        <v>0</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(4)</v>
      </c>
      <c r="CZ26" s="16">
        <f t="shared" ca="1" si="45"/>
        <v>0</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(4)</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0</v>
      </c>
      <c r="DL26" s="16">
        <f t="shared" ca="1" si="49"/>
        <v>1</v>
      </c>
      <c r="DM26" s="16" t="str">
        <f t="shared" ca="1" si="50"/>
        <v>1.1</v>
      </c>
      <c r="DN26" s="16">
        <f t="array" aca="1" ref="DN26" ca="1">OFFSET(Horarios!$P$3,DJ26-1,0,DL26,1)</f>
        <v>1</v>
      </c>
      <c r="DO26" s="16"/>
      <c r="DP26" s="16" t="s">
        <v>92</v>
      </c>
      <c r="DQ26" s="16" t="str">
        <f t="shared" ca="1" si="51"/>
        <v>Países Bajos</v>
      </c>
    </row>
    <row r="27" spans="1:121" ht="16.05"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0</v>
      </c>
      <c r="BF27" s="16">
        <f t="shared" ca="1" si="17"/>
        <v>0</v>
      </c>
      <c r="BG27" s="16">
        <f t="shared" ca="1" si="18"/>
        <v>0</v>
      </c>
      <c r="BH27" s="16">
        <f t="shared" ca="1" si="19"/>
        <v>0</v>
      </c>
      <c r="BI27" s="16">
        <f t="shared" ca="1" si="20"/>
        <v>0</v>
      </c>
      <c r="BJ27" s="16">
        <f t="shared" ca="1" si="21"/>
        <v>0</v>
      </c>
      <c r="BK27" s="16">
        <f t="shared" ca="1" si="22"/>
        <v>0</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0</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(4)</v>
      </c>
      <c r="BU27" s="16">
        <f t="shared" ca="1" si="28"/>
        <v>0</v>
      </c>
      <c r="BV27" s="16">
        <f t="shared" ca="1" si="29"/>
        <v>0</v>
      </c>
      <c r="BW27" s="16">
        <f t="shared" ca="1" si="30"/>
        <v>0</v>
      </c>
      <c r="BX27" s="16">
        <f t="shared" ca="1" si="31"/>
        <v>0</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(4)</v>
      </c>
      <c r="CA27" s="16">
        <f t="shared" ca="1" si="32"/>
        <v>0</v>
      </c>
      <c r="CB27" s="16">
        <f t="shared" ca="1" si="33"/>
        <v>0</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(4)</v>
      </c>
      <c r="CF27" s="16">
        <f t="shared" ca="1" si="35"/>
        <v>0</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(4)</v>
      </c>
      <c r="CI27" s="16">
        <f t="shared" ca="1" si="36"/>
        <v>0</v>
      </c>
      <c r="CJ27" s="16">
        <f t="shared" ca="1" si="37"/>
        <v>0</v>
      </c>
      <c r="CK27" s="16">
        <f t="shared" ca="1" si="38"/>
        <v>0</v>
      </c>
      <c r="CL27" s="16">
        <f t="shared" ca="1" si="39"/>
        <v>0</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(4)</v>
      </c>
      <c r="CO27" s="16">
        <f t="shared" ca="1" si="40"/>
        <v>0</v>
      </c>
      <c r="CP27" s="16">
        <f t="shared" ca="1" si="41"/>
        <v>0</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(4)</v>
      </c>
      <c r="CT27" s="16">
        <f t="shared" ca="1" si="43"/>
        <v>0</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(4)</v>
      </c>
      <c r="CW27" s="16">
        <f t="shared" ca="1" si="44"/>
        <v>0</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(4)</v>
      </c>
      <c r="CZ27" s="16">
        <f t="shared" ca="1" si="45"/>
        <v>0</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(4)</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0</v>
      </c>
      <c r="DL27" s="16">
        <f t="shared" ca="1" si="49"/>
        <v>1</v>
      </c>
      <c r="DM27" s="16" t="str">
        <f t="shared" ca="1" si="50"/>
        <v>1.1</v>
      </c>
      <c r="DN27" s="16">
        <f t="array" aca="1" ref="DN27" ca="1">OFFSET(Horarios!$P$3,DJ27-1,0,DL27,1)</f>
        <v>1</v>
      </c>
      <c r="DO27" s="16"/>
      <c r="DP27" s="16" t="s">
        <v>93</v>
      </c>
      <c r="DQ27" s="16" t="str">
        <f t="shared" ca="1" si="51"/>
        <v>Japón</v>
      </c>
    </row>
    <row r="28" spans="1:121" ht="16.05" customHeight="1" thickBot="1">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(3)</v>
      </c>
      <c r="G28" s="16"/>
      <c r="H28" s="16" t="str">
        <f t="shared" ref="H28:H33" ca="1" si="87">IF(D28="Pendiente","-",INDEX($BZ$6:$BZ$53,MATCH($AA28,$BD$6:$BD$53,0)))</f>
        <v>-</v>
      </c>
      <c r="I28" s="16" t="str">
        <f t="shared" ref="I28:I33" ca="1" si="88">IF(D28="Pendiente","-",INDEX($BZ$6:$BZ$53,MATCH($AF28,$BD$6:$BD$53,0)))</f>
        <v>P.2 (3)</v>
      </c>
      <c r="J28" s="16"/>
      <c r="K28" s="16" t="str">
        <f t="shared" ref="K28:K33" ca="1" si="89">IF(D28="Pendiente","-",INDEX($CE$6:$CE$53,MATCH($AA28,$BD$6:$BD$53,0)))</f>
        <v>-</v>
      </c>
      <c r="L28" s="16" t="str">
        <f t="shared" ref="L28:L33" ca="1" si="90">IF(D28="Pendiente","-",INDEX($CE$6:$CE$53,MATCH($AF28,$BD$6:$BD$53,0)))</f>
        <v>P.2 (3)</v>
      </c>
      <c r="M28" s="16"/>
      <c r="N28" s="16" t="str">
        <f t="shared" ref="N28:N33" ca="1" si="91">IF(D28="Pendiente","-",INDEX($CH$6:$CH$53,MATCH($AA28,$BD$6:$BD$53,0)))</f>
        <v>-</v>
      </c>
      <c r="O28" s="16" t="str">
        <f t="shared" ref="O28:O33" ca="1" si="92">IF(D28="Pendiente","-",INDEX($CH$6:$CH$53,MATCH($AF28,$BD$6:$BD$53,0)))</f>
        <v>P.2 (3)</v>
      </c>
      <c r="P28" s="16"/>
      <c r="Q28" s="16" t="str">
        <f t="shared" ref="Q28:Q33" ca="1" si="93">IF(D28="Pendiente","-",INDEX($CN$6:$CN$53,MATCH($AA28,$BD$6:$BD$53,0)))</f>
        <v>-</v>
      </c>
      <c r="R28" s="16" t="str">
        <f t="shared" ref="R28:R33" ca="1" si="94">IF(D28="Pendiente","-",INDEX($CN$6:$CN$53,MATCH($AF28,$BD$6:$BD$53,0)))</f>
        <v>P.2 (3)</v>
      </c>
      <c r="S28" s="16"/>
      <c r="T28" s="16" t="str">
        <f t="shared" ref="T28:T33" ca="1" si="95">IF(D28="Pendiente","-",INDEX($CS$6:$CS$53,MATCH($AA28,$BD$6:$BD$53,0)))</f>
        <v>-</v>
      </c>
      <c r="U28" s="16" t="str">
        <f t="shared" ref="U28:U33" ca="1" si="96">IF(D28="Pendiente","-",INDEX($CS$6:$CS$53,MATCH($AF28,$BD$6:$BD$53,0)))</f>
        <v>P.2 (3)</v>
      </c>
      <c r="V28" s="17"/>
      <c r="W28" s="636"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0</v>
      </c>
      <c r="BF28" s="16">
        <f t="shared" ca="1" si="17"/>
        <v>0</v>
      </c>
      <c r="BG28" s="16">
        <f t="shared" ca="1" si="18"/>
        <v>0</v>
      </c>
      <c r="BH28" s="16">
        <f t="shared" ca="1" si="19"/>
        <v>0</v>
      </c>
      <c r="BI28" s="16">
        <f t="shared" ca="1" si="20"/>
        <v>0</v>
      </c>
      <c r="BJ28" s="16">
        <f t="shared" ca="1" si="21"/>
        <v>0</v>
      </c>
      <c r="BK28" s="16">
        <f t="shared" ca="1" si="22"/>
        <v>0</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0</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P.1 (4)</v>
      </c>
      <c r="BU28" s="16">
        <f t="shared" ca="1" si="28"/>
        <v>0</v>
      </c>
      <c r="BV28" s="16">
        <f t="shared" ca="1" si="29"/>
        <v>0</v>
      </c>
      <c r="BW28" s="16">
        <f t="shared" ca="1" si="30"/>
        <v>0</v>
      </c>
      <c r="BX28" s="16">
        <f t="shared" ca="1" si="31"/>
        <v>0</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P.1 (4)</v>
      </c>
      <c r="CA28" s="16">
        <f t="shared" ca="1" si="32"/>
        <v>0</v>
      </c>
      <c r="CB28" s="16">
        <f t="shared" ca="1" si="33"/>
        <v>0</v>
      </c>
      <c r="CC28" s="16">
        <f t="shared" ca="1" si="34"/>
        <v>0</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P.1 (4)</v>
      </c>
      <c r="CF28" s="16">
        <f t="shared" ca="1" si="35"/>
        <v>0</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P.1 (4)</v>
      </c>
      <c r="CI28" s="16">
        <f t="shared" ca="1" si="36"/>
        <v>0</v>
      </c>
      <c r="CJ28" s="16">
        <f t="shared" ca="1" si="37"/>
        <v>0</v>
      </c>
      <c r="CK28" s="16">
        <f t="shared" ca="1" si="38"/>
        <v>0</v>
      </c>
      <c r="CL28" s="16">
        <f t="shared" ca="1" si="39"/>
        <v>0</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P.1 (4)</v>
      </c>
      <c r="CO28" s="16">
        <f t="shared" ca="1" si="40"/>
        <v>0</v>
      </c>
      <c r="CP28" s="16">
        <f t="shared" ca="1" si="41"/>
        <v>0</v>
      </c>
      <c r="CQ28" s="16">
        <f t="shared" ca="1" si="42"/>
        <v>0</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P.1 (4)</v>
      </c>
      <c r="CT28" s="16">
        <f t="shared" ca="1" si="43"/>
        <v>0</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P.1 (4)</v>
      </c>
      <c r="CW28" s="16">
        <f t="shared" ca="1" si="44"/>
        <v>0</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P.1 (4)</v>
      </c>
      <c r="CZ28" s="16">
        <f t="shared" ca="1" si="45"/>
        <v>0</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P.1 (4)</v>
      </c>
      <c r="DC28" s="16">
        <f ca="1">IF(DB28="-","-",COUNTIFS(T_Equipos[Rank],"&lt;"&amp;INDEX(T_Equipos[Rank],MATCH(BD28,T_Equipos[NombreEquipo],0)),$BC$6:$BC$53,INDEX(T_Equipos[Grupo],MATCH(BD28,T_Equipos[NombreEquipo],0)))+1)</f>
        <v>3</v>
      </c>
      <c r="DD28" s="16">
        <f ca="1">DA28+COUNTIFS($DB$6:$DB$53,DB28,$DC$6:DC$53,"&lt;"&amp;DC28,$BC$6:$BC$53,INDEX(T_Equipos[Grupo],MATCH(BD28,T_Equipos[NombreEquipo],0)))</f>
        <v>3</v>
      </c>
      <c r="DE28" s="16"/>
      <c r="DF28" s="16">
        <f t="shared" ca="1" si="46"/>
        <v>3</v>
      </c>
      <c r="DG28" s="16">
        <f ca="1">IF(DB28="-","-",COUNTIFS(DF$6:DF$53,"&lt;"&amp;DF28,$BC$6:$BC$53,INDEX(T_Equipos[Grupo],MATCH(BD28,T_Equipos[NombreEquipo],0))))</f>
        <v>2</v>
      </c>
      <c r="DH28" s="16">
        <f ca="1">DA28+COUNTIFS(DB$6:DB$53,DB28,DG$6:DG$53,"&lt;"&amp;DG28,$BC$6:$BC$53,INDEX(T_Equipos[Grupo],MATCH(BD28,T_Equipos[NombreEquipo],0)))</f>
        <v>3</v>
      </c>
      <c r="DI28" s="16"/>
      <c r="DJ28" s="16">
        <f t="shared" ca="1" si="47"/>
        <v>1</v>
      </c>
      <c r="DK28" s="16">
        <f t="shared" ca="1" si="48"/>
        <v>0</v>
      </c>
      <c r="DL28" s="16">
        <f t="shared" ca="1" si="49"/>
        <v>1</v>
      </c>
      <c r="DM28" s="16" t="str">
        <f t="shared" ca="1" si="50"/>
        <v>1.1</v>
      </c>
      <c r="DN28" s="16">
        <f t="array" aca="1" ref="DN28" ca="1">OFFSET(Horarios!$P$3,DJ28-1,0,DL28,1)</f>
        <v>1</v>
      </c>
      <c r="DO28" s="16"/>
      <c r="DP28" s="16" t="s">
        <v>95</v>
      </c>
      <c r="DQ28" s="16" t="str">
        <f t="shared" ca="1" si="51"/>
        <v>Suecia</v>
      </c>
    </row>
    <row r="29" spans="1:121" ht="16.05" customHeight="1">
      <c r="A29" s="16" t="str">
        <f ca="1">+Equipos!B14</f>
        <v>Estados Unidos</v>
      </c>
      <c r="B29" s="16"/>
      <c r="C29" s="16"/>
      <c r="D29" s="16" t="str">
        <f t="shared" si="84"/>
        <v>Pendiente</v>
      </c>
      <c r="E29" s="16" t="str">
        <f t="shared" si="85"/>
        <v>-</v>
      </c>
      <c r="F29" s="16" t="str">
        <f t="shared" si="86"/>
        <v>-</v>
      </c>
      <c r="G29" s="16"/>
      <c r="H29" s="16" t="str">
        <f t="shared" si="87"/>
        <v>-</v>
      </c>
      <c r="I29" s="16" t="str">
        <f t="shared" si="88"/>
        <v>-</v>
      </c>
      <c r="J29" s="16"/>
      <c r="K29" s="16" t="str">
        <f t="shared" si="89"/>
        <v>-</v>
      </c>
      <c r="L29" s="16" t="str">
        <f t="shared" si="90"/>
        <v>-</v>
      </c>
      <c r="M29" s="16"/>
      <c r="N29" s="16" t="str">
        <f t="shared" si="91"/>
        <v>-</v>
      </c>
      <c r="O29" s="16" t="str">
        <f t="shared" si="92"/>
        <v>-</v>
      </c>
      <c r="P29" s="16"/>
      <c r="Q29" s="16" t="str">
        <f t="shared" si="93"/>
        <v>-</v>
      </c>
      <c r="R29" s="16" t="str">
        <f t="shared" si="94"/>
        <v>-</v>
      </c>
      <c r="S29" s="16"/>
      <c r="T29" s="16" t="str">
        <f t="shared" si="95"/>
        <v>-</v>
      </c>
      <c r="U29" s="16" t="str">
        <f t="shared" si="96"/>
        <v>-</v>
      </c>
      <c r="V29" s="17"/>
      <c r="W29" s="627"/>
      <c r="X29" s="24">
        <f ca="1">Horarios!C29</f>
        <v>46187</v>
      </c>
      <c r="Y29" s="25">
        <f ca="1">Horarios!C29</f>
        <v>46187</v>
      </c>
      <c r="Z29" s="26" t="str">
        <f>$Z$4</f>
        <v>J1</v>
      </c>
      <c r="AA29" s="27" t="str">
        <f ca="1">A31</f>
        <v>Australia</v>
      </c>
      <c r="AB29" s="49" t="str">
        <f t="array" aca="1" ref="AB29" ca="1">Ver_flag_local</f>
        <v/>
      </c>
      <c r="AC29" s="50"/>
      <c r="AD29" s="51"/>
      <c r="AE29" s="582" t="str">
        <f t="array" aca="1" ref="AE29" ca="1">Ver_flag_visit</f>
        <v/>
      </c>
      <c r="AF29" s="32" t="str">
        <f ca="1">A32</f>
        <v>Turquía</v>
      </c>
      <c r="AG29" s="316">
        <f t="shared" si="97"/>
        <v>0</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0</v>
      </c>
      <c r="BG29" s="16">
        <f t="shared" ca="1" si="18"/>
        <v>0</v>
      </c>
      <c r="BH29" s="16">
        <f t="shared" ca="1" si="19"/>
        <v>0</v>
      </c>
      <c r="BI29" s="16">
        <f t="shared" ca="1" si="20"/>
        <v>0</v>
      </c>
      <c r="BJ29" s="16">
        <f t="shared" ca="1" si="21"/>
        <v>0</v>
      </c>
      <c r="BK29" s="16">
        <f t="shared" ca="1" si="22"/>
        <v>0</v>
      </c>
      <c r="BL29" s="16">
        <f t="shared" ca="1" si="23"/>
        <v>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1</v>
      </c>
      <c r="BT29" s="16" t="str">
        <f ca="1">IF(COUNTIFS($BS$6:$BS$53,BS29,$BC$6:$BC$53,INDEX(T_Equipos[Grupo],MATCH(BD29,T_Equipos[NombreEquipo],0)))=1,"-","P."&amp;BS29&amp;" ("&amp;COUNTIFS($BS$6:$BS$53,BS29,$BC$6:$BC$53,INDEX(T_Equipos[Grupo],MATCH(BD29,T_Equipos[NombreEquipo],0)))&amp;")")</f>
        <v>P.1 (4)</v>
      </c>
      <c r="BU29" s="16">
        <f t="shared" ca="1" si="28"/>
        <v>0</v>
      </c>
      <c r="BV29" s="16">
        <f t="shared" ca="1" si="29"/>
        <v>0</v>
      </c>
      <c r="BW29" s="16">
        <f t="shared" ca="1" si="30"/>
        <v>0</v>
      </c>
      <c r="BX29" s="16">
        <f t="shared" ca="1" si="31"/>
        <v>0</v>
      </c>
      <c r="BY29" s="16">
        <f ca="1">BS29+COUNTIFS($BT$6:$BT$53,BT29,$BX$6:BX$53,"&gt;"&amp;BX29,$BC$6:$BC$53,INDEX(T_Equipos[Grupo],MATCH(BD29,T_Equipos[NombreEquipo],0)))</f>
        <v>1</v>
      </c>
      <c r="BZ29" s="16" t="str">
        <f ca="1">IF(COUNTIFS($BY$6:$BY$53,BY29,$BC$6:$BC$53,INDEX(T_Equipos[Grupo],MATCH(BD29,T_Equipos[NombreEquipo],0)))=1,"-","P."&amp;BY29&amp;" ("&amp;COUNTIFS($BY$6:$BY$53,BY29,$BC$6:$BC$53,INDEX(T_Equipos[Grupo],MATCH(BD29,T_Equipos[NombreEquipo],0)))&amp;")")</f>
        <v>P.1 (4)</v>
      </c>
      <c r="CA29" s="16">
        <f t="shared" ca="1" si="32"/>
        <v>0</v>
      </c>
      <c r="CB29" s="16">
        <f t="shared" ca="1" si="33"/>
        <v>0</v>
      </c>
      <c r="CC29" s="16">
        <f t="shared" ca="1" si="34"/>
        <v>0</v>
      </c>
      <c r="CD29" s="16">
        <f ca="1">BY29+COUNTIFS($BZ$6:$BZ$53,BZ29,$CC$6:CC$53,"&gt;"&amp;CC29,$BC$6:$BC$53,INDEX(T_Equipos[Grupo],MATCH(BD29,T_Equipos[NombreEquipo],0)))</f>
        <v>1</v>
      </c>
      <c r="CE29" s="16" t="str">
        <f ca="1">IF(COUNTIFS($CD$6:$CD$53,CD29,$BC$6:$BC$53,INDEX(T_Equipos[Grupo],MATCH(BD29,T_Equipos[NombreEquipo],0)))=1,"-","P."&amp;CD29&amp;" ("&amp;COUNTIFS($CD$6:$CD$53,CD29,$BC$6:$BC$53,INDEX(T_Equipos[Grupo],MATCH(BD29,T_Equipos[NombreEquipo],0)))&amp;")")</f>
        <v>P.1 (4)</v>
      </c>
      <c r="CF29" s="16">
        <f t="shared" ca="1" si="35"/>
        <v>0</v>
      </c>
      <c r="CG29" s="16">
        <f ca="1">CD29+COUNTIFS($CE$6:$CE$53,CE29,$CF$6:CF$53,"&gt;"&amp;CF29,$BC$6:$BC$53,INDEX(T_Equipos[Grupo],MATCH(BD29,T_Equipos[NombreEquipo],0)))</f>
        <v>1</v>
      </c>
      <c r="CH29" s="16" t="str">
        <f ca="1">IF(COUNTIFS($CG$6:$CG$53,CG29,$BC$6:$BC$53,INDEX(T_Equipos[Grupo],MATCH(BD29,T_Equipos[NombreEquipo],0)))=1,"-","P."&amp;CG29&amp;" ("&amp;COUNTIFS($CG$6:$CG$53,CG29,$BC$6:$BC$53,INDEX(T_Equipos[Grupo],MATCH(BD29,T_Equipos[NombreEquipo],0)))&amp;")")</f>
        <v>P.1 (4)</v>
      </c>
      <c r="CI29" s="16">
        <f t="shared" ca="1" si="36"/>
        <v>0</v>
      </c>
      <c r="CJ29" s="16">
        <f t="shared" ca="1" si="37"/>
        <v>0</v>
      </c>
      <c r="CK29" s="16">
        <f t="shared" ca="1" si="38"/>
        <v>0</v>
      </c>
      <c r="CL29" s="16">
        <f t="shared" ca="1" si="39"/>
        <v>0</v>
      </c>
      <c r="CM29" s="16">
        <f ca="1">CG29+COUNTIFS($CH$6:$CH$53,CH29,$CL$6:CL$53,"&gt;"&amp;CL29,$BC$6:$BC$53,INDEX(T_Equipos[Grupo],MATCH(BD29,T_Equipos[NombreEquipo],0)))</f>
        <v>1</v>
      </c>
      <c r="CN29" s="16" t="str">
        <f ca="1">IF(COUNTIFS($CM$6:$CM$53,CM29,$BC$6:$BC$53,INDEX(T_Equipos[Grupo],MATCH(BD29,T_Equipos[NombreEquipo],0)))=1,"-","P."&amp;CM29&amp;" ("&amp;COUNTIFS($CM$6:$CM$53,CM29,$BC$6:$BC$53,INDEX(T_Equipos[Grupo],MATCH(BD29,T_Equipos[NombreEquipo],0)))&amp;")")</f>
        <v>P.1 (4)</v>
      </c>
      <c r="CO29" s="16">
        <f t="shared" ca="1" si="40"/>
        <v>0</v>
      </c>
      <c r="CP29" s="16">
        <f t="shared" ca="1" si="41"/>
        <v>0</v>
      </c>
      <c r="CQ29" s="16">
        <f t="shared" ca="1" si="42"/>
        <v>0</v>
      </c>
      <c r="CR29" s="16">
        <f ca="1">CM29+COUNTIFS($CN$6:$CN$53,CN29,$CQ$6:CQ$53,"&gt;"&amp;CQ29,$BC$6:$BC$53,INDEX(T_Equipos[Grupo],MATCH(BD29,T_Equipos[NombreEquipo],0)))</f>
        <v>1</v>
      </c>
      <c r="CS29" s="16" t="str">
        <f ca="1">IF(COUNTIFS($CR$6:$CR$53,CR29,$BC$6:$BC$53,INDEX(T_Equipos[Grupo],MATCH(BD29,T_Equipos[NombreEquipo],0)))=1,"-","P."&amp;CR29&amp;" ("&amp;COUNTIFS($CR$6:$CR$53,CR29,$BC$6:$BC$53,INDEX(T_Equipos[Grupo],MATCH(BD29,T_Equipos[NombreEquipo],0)))&amp;")")</f>
        <v>P.1 (4)</v>
      </c>
      <c r="CT29" s="16">
        <f t="shared" ca="1" si="43"/>
        <v>0</v>
      </c>
      <c r="CU29" s="16">
        <f ca="1">CR29+COUNTIFS($CS$6:$CS$53,CS29,$CT$6:CT$53,"&gt;"&amp;CT29,$BC$6:$BC$53,INDEX(T_Equipos[Grupo],MATCH(BD29,T_Equipos[NombreEquipo],0)))</f>
        <v>1</v>
      </c>
      <c r="CV29" s="16" t="str">
        <f ca="1">IF(COUNTIFS($CU$6:$CU$53,CU29,$BC$6:$BC$53,INDEX(T_Equipos[Grupo],MATCH(BD29,T_Equipos[NombreEquipo],0)))=1,"-","P."&amp;CU29&amp;" ("&amp;COUNTIFS($CU$6:$CU$53,CU29,$BC$6:$BC$53,INDEX(T_Equipos[Grupo],MATCH(BD29,T_Equipos[NombreEquipo],0)))&amp;")")</f>
        <v>P.1 (4)</v>
      </c>
      <c r="CW29" s="16">
        <f t="shared" ca="1" si="44"/>
        <v>0</v>
      </c>
      <c r="CX29" s="16">
        <f ca="1">CU29+COUNTIFS($CV$6:$CV$53,CV29,$CW$6:CW$53,"&gt;"&amp;CW29,$BC$6:$BC$53,INDEX(T_Equipos[Grupo],MATCH(BD29,T_Equipos[NombreEquipo],0)))</f>
        <v>1</v>
      </c>
      <c r="CY29" s="16" t="str">
        <f ca="1">IF(COUNTIFS($CX$6:$CX$53,CX29,$BC$6:$BC$53,INDEX(T_Equipos[Grupo],MATCH(BD29,T_Equipos[NombreEquipo],0)))=1,"-","P."&amp;CX29&amp;" ("&amp;COUNTIFS($CX$6:$CX$53,CX29,$BC$6:$BC$53,INDEX(T_Equipos[Grupo],MATCH(BD29,T_Equipos[NombreEquipo],0)))&amp;")")</f>
        <v>P.1 (4)</v>
      </c>
      <c r="CZ29" s="16">
        <f t="shared" ca="1" si="45"/>
        <v>0</v>
      </c>
      <c r="DA29" s="16">
        <f ca="1">CX29+COUNTIFS($CY$6:$CY$53,CY29,$CZ$6:CZ$53,"&gt;"&amp;CZ29,$BC$6:$BC$53,INDEX(T_Equipos[Grupo],MATCH(BD29,T_Equipos[NombreEquipo],0)))</f>
        <v>1</v>
      </c>
      <c r="DB29" s="16" t="str">
        <f ca="1">IF(COUNTIFS($DA$6:$DA$53,DA29,$BC$6:$BC$53,INDEX(T_Equipos[Grupo],MATCH(BD29,T_Equipos[NombreEquipo],0)))=1,"-","P."&amp;DA29&amp;" ("&amp;COUNTIFS($DA$6:$DA$53,DA29,$BC$6:$BC$53,INDEX(T_Equipos[Grupo],MATCH(BD29,T_Equipos[NombreEquipo],0)))&amp;")")</f>
        <v>P.1 (4)</v>
      </c>
      <c r="DC29" s="16">
        <f ca="1">IF(DB29="-","-",COUNTIFS(T_Equipos[Rank],"&lt;"&amp;INDEX(T_Equipos[Rank],MATCH(BD29,T_Equipos[NombreEquipo],0)),$BC$6:$BC$53,INDEX(T_Equipos[Grupo],MATCH(BD29,T_Equipos[NombreEquipo],0)))+1)</f>
        <v>4</v>
      </c>
      <c r="DD29" s="16">
        <f ca="1">DA29+COUNTIFS($DB$6:$DB$53,DB29,$DC$6:DC$53,"&lt;"&amp;DC29,$BC$6:$BC$53,INDEX(T_Equipos[Grupo],MATCH(BD29,T_Equipos[NombreEquipo],0)))</f>
        <v>4</v>
      </c>
      <c r="DE29" s="16"/>
      <c r="DF29" s="16">
        <f t="shared" ca="1" si="46"/>
        <v>4</v>
      </c>
      <c r="DG29" s="16">
        <f ca="1">IF(DB29="-","-",COUNTIFS(DF$6:DF$53,"&lt;"&amp;DF29,$BC$6:$BC$53,INDEX(T_Equipos[Grupo],MATCH(BD29,T_Equipos[NombreEquipo],0))))</f>
        <v>3</v>
      </c>
      <c r="DH29" s="16">
        <f ca="1">DA29+COUNTIFS(DB$6:DB$53,DB29,DG$6:DG$53,"&lt;"&amp;DG29,$BC$6:$BC$53,INDEX(T_Equipos[Grupo],MATCH(BD29,T_Equipos[NombreEquipo],0)))</f>
        <v>4</v>
      </c>
      <c r="DI29" s="16"/>
      <c r="DJ29" s="16">
        <f t="shared" ca="1" si="47"/>
        <v>1</v>
      </c>
      <c r="DK29" s="16">
        <f t="shared" ca="1" si="48"/>
        <v>0</v>
      </c>
      <c r="DL29" s="16">
        <f t="shared" ca="1" si="49"/>
        <v>1</v>
      </c>
      <c r="DM29" s="16" t="str">
        <f t="shared" ca="1" si="50"/>
        <v>1.1</v>
      </c>
      <c r="DN29" s="16">
        <f t="array" aca="1" ref="DN29" ca="1">OFFSET(Horarios!$P$3,DJ29-1,0,DL29,1)</f>
        <v>1</v>
      </c>
      <c r="DO29" s="16"/>
      <c r="DP29" s="16" t="s">
        <v>96</v>
      </c>
      <c r="DQ29" s="16" t="str">
        <f t="shared" ca="1" si="51"/>
        <v>Túnez</v>
      </c>
    </row>
    <row r="30" spans="1:121" ht="16.05" customHeight="1">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7"/>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0</v>
      </c>
      <c r="BF30" s="16">
        <f t="shared" ca="1" si="17"/>
        <v>0</v>
      </c>
      <c r="BG30" s="16">
        <f t="shared" ca="1" si="18"/>
        <v>0</v>
      </c>
      <c r="BH30" s="16">
        <f t="shared" ca="1" si="19"/>
        <v>0</v>
      </c>
      <c r="BI30" s="16">
        <f t="shared" ca="1" si="20"/>
        <v>0</v>
      </c>
      <c r="BJ30" s="16">
        <f t="shared" ca="1" si="21"/>
        <v>0</v>
      </c>
      <c r="BK30" s="16">
        <f t="shared" ca="1" si="22"/>
        <v>0</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0</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0</v>
      </c>
      <c r="BW30" s="16">
        <f t="shared" ca="1" si="30"/>
        <v>0</v>
      </c>
      <c r="BX30" s="16">
        <f t="shared" ca="1" si="31"/>
        <v>0</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(4)</v>
      </c>
      <c r="CI30" s="16">
        <f t="shared" ca="1" si="36"/>
        <v>0</v>
      </c>
      <c r="CJ30" s="16">
        <f t="shared" ca="1" si="37"/>
        <v>0</v>
      </c>
      <c r="CK30" s="16">
        <f t="shared" ca="1" si="38"/>
        <v>0</v>
      </c>
      <c r="CL30" s="16">
        <f t="shared" ca="1" si="39"/>
        <v>0</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(4)</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(4)</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(4)</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(4)</v>
      </c>
      <c r="CZ30" s="16">
        <f t="shared" ca="1" si="45"/>
        <v>0</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(4)</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0</v>
      </c>
      <c r="DL30" s="16">
        <f t="shared" ca="1" si="49"/>
        <v>1</v>
      </c>
      <c r="DM30" s="16" t="str">
        <f t="shared" ca="1" si="50"/>
        <v>1.1</v>
      </c>
      <c r="DN30" s="16">
        <f t="array" aca="1" ref="DN30" ca="1">OFFSET(Horarios!$P$3,DJ30-1,0,DL30,1)</f>
        <v>1</v>
      </c>
      <c r="DO30" s="16"/>
      <c r="DP30" s="16" t="s">
        <v>97</v>
      </c>
      <c r="DQ30" s="16" t="str">
        <f t="shared" ca="1" si="51"/>
        <v>Bélgica</v>
      </c>
    </row>
    <row r="31" spans="1:121" ht="16.05" customHeight="1">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7"/>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0</v>
      </c>
      <c r="AN31" s="39">
        <f t="shared" ca="1" si="99"/>
        <v>0</v>
      </c>
      <c r="AO31" s="39">
        <f t="shared" ca="1" si="99"/>
        <v>0</v>
      </c>
      <c r="AP31" s="39">
        <f t="shared" ca="1" si="99"/>
        <v>0</v>
      </c>
      <c r="AQ31" s="39">
        <f t="shared" ca="1" si="99"/>
        <v>0</v>
      </c>
      <c r="AR31" s="39">
        <f t="shared" ca="1" si="99"/>
        <v>0</v>
      </c>
      <c r="AS31" s="39">
        <f t="shared" ca="1" si="99"/>
        <v>0</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0</v>
      </c>
      <c r="BF31" s="16">
        <f t="shared" ca="1" si="17"/>
        <v>0</v>
      </c>
      <c r="BG31" s="16">
        <f t="shared" ca="1" si="18"/>
        <v>0</v>
      </c>
      <c r="BH31" s="16">
        <f t="shared" ca="1" si="19"/>
        <v>0</v>
      </c>
      <c r="BI31" s="16">
        <f t="shared" ca="1" si="20"/>
        <v>0</v>
      </c>
      <c r="BJ31" s="16">
        <f t="shared" ca="1" si="21"/>
        <v>0</v>
      </c>
      <c r="BK31" s="16">
        <f t="shared" ca="1" si="22"/>
        <v>0</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0</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0</v>
      </c>
      <c r="BW31" s="16">
        <f t="shared" ca="1" si="30"/>
        <v>0</v>
      </c>
      <c r="BX31" s="16">
        <f t="shared" ca="1" si="31"/>
        <v>0</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0</v>
      </c>
      <c r="CB31" s="16">
        <f t="shared" ca="1" si="33"/>
        <v>0</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0</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(4)</v>
      </c>
      <c r="CI31" s="16">
        <f t="shared" ca="1" si="36"/>
        <v>0</v>
      </c>
      <c r="CJ31" s="16">
        <f t="shared" ca="1" si="37"/>
        <v>0</v>
      </c>
      <c r="CK31" s="16">
        <f t="shared" ca="1" si="38"/>
        <v>0</v>
      </c>
      <c r="CL31" s="16">
        <f t="shared" ca="1" si="39"/>
        <v>0</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(4)</v>
      </c>
      <c r="CO31" s="16">
        <f t="shared" ca="1" si="40"/>
        <v>0</v>
      </c>
      <c r="CP31" s="16">
        <f t="shared" ca="1" si="41"/>
        <v>0</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(4)</v>
      </c>
      <c r="CT31" s="16">
        <f t="shared" ca="1" si="43"/>
        <v>0</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(4)</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(4)</v>
      </c>
      <c r="CZ31" s="16">
        <f t="shared" ca="1" si="45"/>
        <v>0</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(4)</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0</v>
      </c>
      <c r="DL31" s="16">
        <f t="shared" ca="1" si="49"/>
        <v>1</v>
      </c>
      <c r="DM31" s="16" t="str">
        <f t="shared" ca="1" si="50"/>
        <v>1.1</v>
      </c>
      <c r="DN31" s="16">
        <f t="array" aca="1" ref="DN31" ca="1">OFFSET(Horarios!$P$3,DJ31-1,0,DL31,1)</f>
        <v>1</v>
      </c>
      <c r="DO31" s="16"/>
      <c r="DP31" s="16" t="s">
        <v>98</v>
      </c>
      <c r="DQ31" s="16" t="str">
        <f t="shared" ca="1" si="51"/>
        <v>Egipto</v>
      </c>
    </row>
    <row r="32" spans="1:121" ht="16.05" customHeight="1">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7"/>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0</v>
      </c>
      <c r="AO32" s="39">
        <f t="shared" ca="1" si="99"/>
        <v>0</v>
      </c>
      <c r="AP32" s="39">
        <f t="shared" ca="1" si="99"/>
        <v>0</v>
      </c>
      <c r="AQ32" s="39">
        <f t="shared" ca="1" si="99"/>
        <v>0</v>
      </c>
      <c r="AR32" s="39">
        <f t="shared" ca="1" si="99"/>
        <v>0</v>
      </c>
      <c r="AS32" s="39">
        <f t="shared" ca="1" si="99"/>
        <v>0</v>
      </c>
      <c r="AT32" s="43">
        <f t="shared" ca="1" si="99"/>
        <v>0</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0</v>
      </c>
      <c r="BW32" s="16">
        <f t="shared" ca="1" si="30"/>
        <v>0</v>
      </c>
      <c r="BX32" s="16">
        <f t="shared" ca="1" si="31"/>
        <v>0</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(4)</v>
      </c>
      <c r="CI32" s="16">
        <f t="shared" ca="1" si="36"/>
        <v>0</v>
      </c>
      <c r="CJ32" s="16">
        <f t="shared" ca="1" si="37"/>
        <v>0</v>
      </c>
      <c r="CK32" s="16">
        <f t="shared" ca="1" si="38"/>
        <v>0</v>
      </c>
      <c r="CL32" s="16">
        <f t="shared" ca="1" si="39"/>
        <v>0</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(4)</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(4)</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(4)</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(4)</v>
      </c>
      <c r="CZ32" s="16">
        <f t="shared" ca="1" si="45"/>
        <v>0</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(4)</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1</v>
      </c>
      <c r="DK32" s="16">
        <f t="shared" ca="1" si="48"/>
        <v>0</v>
      </c>
      <c r="DL32" s="16">
        <f t="shared" ca="1" si="49"/>
        <v>1</v>
      </c>
      <c r="DM32" s="16" t="str">
        <f t="shared" ca="1" si="50"/>
        <v>1.1</v>
      </c>
      <c r="DN32" s="16">
        <f t="array" aca="1" ref="DN32" ca="1">OFFSET(Horarios!$P$3,DJ32-1,0,DL32,1)</f>
        <v>1</v>
      </c>
      <c r="DO32" s="16"/>
      <c r="DP32" s="16" t="s">
        <v>99</v>
      </c>
      <c r="DQ32" s="16" t="str">
        <f t="shared" ca="1" si="51"/>
        <v>Irán</v>
      </c>
    </row>
    <row r="33" spans="1:121" ht="16.05" customHeight="1" thickBot="1">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8"/>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0</v>
      </c>
      <c r="BW33" s="16">
        <f t="shared" ca="1" si="30"/>
        <v>0</v>
      </c>
      <c r="BX33" s="16">
        <f t="shared" ca="1" si="31"/>
        <v>0</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0</v>
      </c>
      <c r="CB33" s="16">
        <f t="shared" ca="1" si="33"/>
        <v>0</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0</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(4)</v>
      </c>
      <c r="CI33" s="16">
        <f t="shared" ca="1" si="36"/>
        <v>0</v>
      </c>
      <c r="CJ33" s="16">
        <f t="shared" ca="1" si="37"/>
        <v>0</v>
      </c>
      <c r="CK33" s="16">
        <f t="shared" ca="1" si="38"/>
        <v>0</v>
      </c>
      <c r="CL33" s="16">
        <f t="shared" ca="1" si="39"/>
        <v>0</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(4)</v>
      </c>
      <c r="CO33" s="16">
        <f t="shared" ca="1" si="40"/>
        <v>0</v>
      </c>
      <c r="CP33" s="16">
        <f t="shared" ca="1" si="41"/>
        <v>0</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(4)</v>
      </c>
      <c r="CT33" s="16">
        <f t="shared" ca="1" si="43"/>
        <v>0</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(4)</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(4)</v>
      </c>
      <c r="CZ33" s="16">
        <f t="shared" ca="1" si="45"/>
        <v>0</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(4)</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1</v>
      </c>
      <c r="DK33" s="16">
        <f t="shared" ca="1" si="48"/>
        <v>0</v>
      </c>
      <c r="DL33" s="16">
        <f t="shared" ca="1" si="49"/>
        <v>1</v>
      </c>
      <c r="DM33" s="16" t="str">
        <f t="shared" ca="1" si="50"/>
        <v>1.1</v>
      </c>
      <c r="DN33" s="16">
        <f t="array" aca="1" ref="DN33" ca="1">OFFSET(Horarios!$P$3,DJ33-1,0,DL33,1)</f>
        <v>1</v>
      </c>
      <c r="DO33" s="16"/>
      <c r="DP33" s="16" t="s">
        <v>100</v>
      </c>
      <c r="DQ33" s="16" t="str">
        <f t="shared" ca="1" si="51"/>
        <v>Nueva Zelanda</v>
      </c>
    </row>
    <row r="34" spans="1:121" ht="16.05" customHeight="1" thickBot="1">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0</v>
      </c>
      <c r="BF34" s="16">
        <f t="shared" ca="1" si="17"/>
        <v>0</v>
      </c>
      <c r="BG34" s="16">
        <f t="shared" ca="1" si="18"/>
        <v>0</v>
      </c>
      <c r="BH34" s="16">
        <f t="shared" ca="1" si="19"/>
        <v>0</v>
      </c>
      <c r="BI34" s="16">
        <f t="shared" ca="1" si="20"/>
        <v>0</v>
      </c>
      <c r="BJ34" s="16">
        <f t="shared" ca="1" si="21"/>
        <v>0</v>
      </c>
      <c r="BK34" s="16">
        <f t="shared" ca="1" si="22"/>
        <v>0</v>
      </c>
      <c r="BL34" s="16">
        <f t="shared" ca="1" si="23"/>
        <v>0</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0</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0</v>
      </c>
      <c r="BW34" s="16">
        <f t="shared" ca="1" si="30"/>
        <v>0</v>
      </c>
      <c r="BX34" s="16">
        <f t="shared" ca="1" si="31"/>
        <v>0</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(4)</v>
      </c>
      <c r="CI34" s="16">
        <f t="shared" ca="1" si="36"/>
        <v>0</v>
      </c>
      <c r="CJ34" s="16">
        <f t="shared" ca="1" si="37"/>
        <v>0</v>
      </c>
      <c r="CK34" s="16">
        <f t="shared" ca="1" si="38"/>
        <v>0</v>
      </c>
      <c r="CL34" s="16">
        <f t="shared" ca="1" si="39"/>
        <v>0</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(4)</v>
      </c>
      <c r="CO34" s="16">
        <f t="shared" ca="1" si="40"/>
        <v>0</v>
      </c>
      <c r="CP34" s="16">
        <f t="shared" ca="1" si="41"/>
        <v>0</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(4)</v>
      </c>
      <c r="CT34" s="16">
        <f t="shared" ca="1" si="43"/>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(4)</v>
      </c>
      <c r="CW34" s="16">
        <f t="shared" ca="1" si="44"/>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(4)</v>
      </c>
      <c r="CZ34" s="16">
        <f t="shared" ca="1" si="45"/>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(4)</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0</v>
      </c>
      <c r="DL34" s="16">
        <f t="shared" ca="1" si="49"/>
        <v>1</v>
      </c>
      <c r="DM34" s="16" t="str">
        <f t="shared" ca="1" si="50"/>
        <v>1.1</v>
      </c>
      <c r="DN34" s="16">
        <f t="array" aca="1" ref="DN34" ca="1">OFFSET(Horarios!$P$3,DJ34-1,0,DL34,1)</f>
        <v>1</v>
      </c>
      <c r="DO34" s="16"/>
      <c r="DP34" s="16" t="s">
        <v>101</v>
      </c>
      <c r="DQ34" s="16" t="str">
        <f t="shared" ca="1" si="51"/>
        <v>España</v>
      </c>
    </row>
    <row r="35" spans="1:121" ht="16.05"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0</v>
      </c>
      <c r="BG35" s="16">
        <f t="shared" ca="1" si="18"/>
        <v>0</v>
      </c>
      <c r="BH35" s="16">
        <f t="shared" ca="1" si="19"/>
        <v>0</v>
      </c>
      <c r="BI35" s="16">
        <f t="shared" ca="1" si="20"/>
        <v>0</v>
      </c>
      <c r="BJ35" s="16">
        <f t="shared" ca="1" si="21"/>
        <v>0</v>
      </c>
      <c r="BK35" s="16">
        <f t="shared" ca="1" si="22"/>
        <v>0</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0</v>
      </c>
      <c r="BW35" s="16">
        <f t="shared" ca="1" si="30"/>
        <v>0</v>
      </c>
      <c r="BX35" s="16">
        <f t="shared" ca="1" si="31"/>
        <v>0</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(4)</v>
      </c>
      <c r="CI35" s="16">
        <f t="shared" ca="1" si="36"/>
        <v>0</v>
      </c>
      <c r="CJ35" s="16">
        <f t="shared" ca="1" si="37"/>
        <v>0</v>
      </c>
      <c r="CK35" s="16">
        <f t="shared" ca="1" si="38"/>
        <v>0</v>
      </c>
      <c r="CL35" s="16">
        <f t="shared" ca="1" si="39"/>
        <v>0</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(4)</v>
      </c>
      <c r="CO35" s="16">
        <f t="shared" ca="1" si="40"/>
        <v>0</v>
      </c>
      <c r="CP35" s="16">
        <f t="shared" ca="1" si="41"/>
        <v>0</v>
      </c>
      <c r="CQ35" s="16">
        <f t="shared" ca="1" si="42"/>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(4)</v>
      </c>
      <c r="CT35" s="16">
        <f t="shared" ca="1" si="43"/>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(4)</v>
      </c>
      <c r="CW35" s="16">
        <f t="shared" ca="1" si="44"/>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(4)</v>
      </c>
      <c r="CZ35" s="16">
        <f t="shared" ca="1" si="45"/>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(4)</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46"/>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47"/>
        <v>1</v>
      </c>
      <c r="DK35" s="16">
        <f t="shared" ca="1" si="48"/>
        <v>0</v>
      </c>
      <c r="DL35" s="16">
        <f t="shared" ca="1" si="49"/>
        <v>1</v>
      </c>
      <c r="DM35" s="16" t="str">
        <f t="shared" ca="1" si="50"/>
        <v>1.1</v>
      </c>
      <c r="DN35" s="16">
        <f t="array" aca="1" ref="DN35" ca="1">OFFSET(Horarios!$P$3,DJ35-1,0,DL35,1)</f>
        <v>1</v>
      </c>
      <c r="DO35" s="16"/>
      <c r="DP35" s="16" t="s">
        <v>102</v>
      </c>
      <c r="DQ35" s="16" t="str">
        <f t="shared" ca="1" si="51"/>
        <v>Cabo Verde</v>
      </c>
    </row>
    <row r="36" spans="1:121" ht="16.05" customHeight="1" thickBot="1">
      <c r="A36" s="16" t="s">
        <v>15</v>
      </c>
      <c r="B36" s="16" t="s">
        <v>103</v>
      </c>
      <c r="C36" s="16">
        <f>COUNTIF(Equipos!$C$2:$C$49,WORLDCUP!B36)</f>
        <v>4</v>
      </c>
      <c r="D36" s="16" t="str">
        <f t="shared" ref="D36:D41" si="100">IF(OR(AC36="",AD36=""),"Pendiente",IF(AC36&gt;AD36,"Local",IF(AC36&lt;AD36,"Visitante","Empate")))</f>
        <v>Pendiente</v>
      </c>
      <c r="E36" s="16" t="str">
        <f t="shared" ref="E36:E41" si="101">IF(D36="Pendiente","-",INDEX($BT$6:$BT$53,MATCH($AA36,$BD$6:$BD$53,0)))</f>
        <v>-</v>
      </c>
      <c r="F36" s="16" t="str">
        <f t="shared" ref="F36:F41" si="102">IF(D36="Pendiente","-",INDEX($BT$6:$BT$53,MATCH($AF36,$BD$6:$BD$53,0)))</f>
        <v>-</v>
      </c>
      <c r="G36" s="16"/>
      <c r="H36" s="16" t="str">
        <f t="shared" ref="H36:H41" si="103">IF(D36="Pendiente","-",INDEX($BZ$6:$BZ$53,MATCH($AA36,$BD$6:$BD$53,0)))</f>
        <v>-</v>
      </c>
      <c r="I36" s="16" t="str">
        <f t="shared" ref="I36:I41" si="104">IF(D36="Pendiente","-",INDEX($BZ$6:$BZ$53,MATCH($AF36,$BD$6:$BD$53,0)))</f>
        <v>-</v>
      </c>
      <c r="J36" s="16"/>
      <c r="K36" s="16" t="str">
        <f t="shared" ref="K36:K41" si="105">IF(D36="Pendiente","-",INDEX($CE$6:$CE$53,MATCH($AA36,$BD$6:$BD$53,0)))</f>
        <v>-</v>
      </c>
      <c r="L36" s="16" t="str">
        <f t="shared" ref="L36:L41" si="106">IF(D36="Pendiente","-",INDEX($CE$6:$CE$53,MATCH($AF36,$BD$6:$BD$53,0)))</f>
        <v>-</v>
      </c>
      <c r="M36" s="16"/>
      <c r="N36" s="16" t="str">
        <f t="shared" ref="N36:N41" si="107">IF(D36="Pendiente","-",INDEX($CH$6:$CH$53,MATCH($AA36,$BD$6:$BD$53,0)))</f>
        <v>-</v>
      </c>
      <c r="O36" s="16" t="str">
        <f t="shared" ref="O36:O41" si="108">IF(D36="Pendiente","-",INDEX($CH$6:$CH$53,MATCH($AF36,$BD$6:$BD$53,0)))</f>
        <v>-</v>
      </c>
      <c r="P36" s="16"/>
      <c r="Q36" s="16" t="str">
        <f t="shared" ref="Q36:Q41" si="109">IF(D36="Pendiente","-",INDEX($CN$6:$CN$53,MATCH($AA36,$BD$6:$BD$53,0)))</f>
        <v>-</v>
      </c>
      <c r="R36" s="16" t="str">
        <f t="shared" ref="R36:R41" si="110">IF(D36="Pendiente","-",INDEX($CN$6:$CN$53,MATCH($AF36,$BD$6:$BD$53,0)))</f>
        <v>-</v>
      </c>
      <c r="S36" s="16"/>
      <c r="T36" s="16" t="str">
        <f t="shared" ref="T36:T41" si="111">IF(D36="Pendiente","-",INDEX($CS$6:$CS$53,MATCH($AA36,$BD$6:$BD$53,0)))</f>
        <v>-</v>
      </c>
      <c r="U36" s="16" t="str">
        <f t="shared" ref="U36:U41" si="112">IF(D36="Pendiente","-",INDEX($CS$6:$CS$53,MATCH($AF36,$BD$6:$BD$53,0)))</f>
        <v>-</v>
      </c>
      <c r="V36" s="17"/>
      <c r="W36" s="640" t="s">
        <v>103</v>
      </c>
      <c r="X36" s="24">
        <f ca="1">Horarios!C36</f>
        <v>46187.541666666657</v>
      </c>
      <c r="Y36" s="25">
        <f ca="1">Horarios!C36</f>
        <v>46187.541666666657</v>
      </c>
      <c r="Z36" s="26" t="str">
        <f>$Z$4</f>
        <v>J1</v>
      </c>
      <c r="AA36" s="27" t="str">
        <f ca="1">A37</f>
        <v>Alemania</v>
      </c>
      <c r="AB36" s="49" t="str">
        <f t="array" aca="1" ref="AB36" ca="1">Ver_flag_local</f>
        <v/>
      </c>
      <c r="AC36" s="50"/>
      <c r="AD36" s="51"/>
      <c r="AE36" s="582" t="str">
        <f t="array" aca="1" ref="AE36" ca="1">Ver_flag_visit</f>
        <v/>
      </c>
      <c r="AF36" s="32" t="str">
        <f ca="1">A38</f>
        <v>Curazao</v>
      </c>
      <c r="AG36" s="316">
        <f t="shared" ref="AG36:AG41" si="113">IF(NOT(OR(ISBLANK(AC36),ISBLANK(AD36))),1,0)</f>
        <v>0</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0</v>
      </c>
      <c r="BG36" s="16">
        <f t="shared" ca="1" si="18"/>
        <v>0</v>
      </c>
      <c r="BH36" s="16">
        <f t="shared" ca="1" si="19"/>
        <v>0</v>
      </c>
      <c r="BI36" s="16">
        <f t="shared" ca="1" si="20"/>
        <v>0</v>
      </c>
      <c r="BJ36" s="16">
        <f t="shared" ca="1" si="21"/>
        <v>0</v>
      </c>
      <c r="BK36" s="16">
        <f t="shared" ca="1" si="22"/>
        <v>0</v>
      </c>
      <c r="BL36" s="16">
        <f t="shared" ca="1" si="23"/>
        <v>0</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0</v>
      </c>
      <c r="BW36" s="16">
        <f t="shared" ca="1" si="30"/>
        <v>0</v>
      </c>
      <c r="BX36" s="16">
        <f t="shared" ca="1" si="31"/>
        <v>0</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0</v>
      </c>
      <c r="CB36" s="16">
        <f t="shared" ca="1" si="33"/>
        <v>0</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0</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(4)</v>
      </c>
      <c r="CI36" s="16">
        <f t="shared" ca="1" si="36"/>
        <v>0</v>
      </c>
      <c r="CJ36" s="16">
        <f t="shared" ca="1" si="37"/>
        <v>0</v>
      </c>
      <c r="CK36" s="16">
        <f t="shared" ca="1" si="38"/>
        <v>0</v>
      </c>
      <c r="CL36" s="16">
        <f t="shared" ca="1" si="39"/>
        <v>0</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(4)</v>
      </c>
      <c r="CO36" s="16">
        <f t="shared" ca="1" si="40"/>
        <v>0</v>
      </c>
      <c r="CP36" s="16">
        <f t="shared" ca="1" si="41"/>
        <v>0</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(4)</v>
      </c>
      <c r="CT36" s="16">
        <f t="shared" ca="1" si="43"/>
        <v>0</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(4)</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(4)</v>
      </c>
      <c r="CZ36" s="16">
        <f t="shared" ca="1" si="45"/>
        <v>0</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(4)</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46"/>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47"/>
        <v>1</v>
      </c>
      <c r="DK36" s="16">
        <f t="shared" ca="1" si="48"/>
        <v>0</v>
      </c>
      <c r="DL36" s="16">
        <f t="shared" ca="1" si="49"/>
        <v>1</v>
      </c>
      <c r="DM36" s="16" t="str">
        <f t="shared" ca="1" si="50"/>
        <v>1.1</v>
      </c>
      <c r="DN36" s="16">
        <f t="array" aca="1" ref="DN36" ca="1">OFFSET(Horarios!$P$3,DJ36-1,0,DL36,1)</f>
        <v>1</v>
      </c>
      <c r="DO36" s="16"/>
      <c r="DP36" s="16" t="s">
        <v>104</v>
      </c>
      <c r="DQ36" s="16" t="str">
        <f t="shared" ca="1" si="51"/>
        <v>Arabia Saudita</v>
      </c>
    </row>
    <row r="37" spans="1:121" ht="16.05" customHeight="1">
      <c r="A37" s="16" t="str">
        <f ca="1">+Equipos!B18</f>
        <v>Alemania</v>
      </c>
      <c r="B37" s="16"/>
      <c r="C37" s="16"/>
      <c r="D37" s="16" t="str">
        <f t="shared" si="100"/>
        <v>Pendiente</v>
      </c>
      <c r="E37" s="16" t="str">
        <f t="shared" si="101"/>
        <v>-</v>
      </c>
      <c r="F37" s="16" t="str">
        <f t="shared" si="102"/>
        <v>-</v>
      </c>
      <c r="G37" s="16"/>
      <c r="H37" s="16" t="str">
        <f t="shared" si="103"/>
        <v>-</v>
      </c>
      <c r="I37" s="16" t="str">
        <f t="shared" si="104"/>
        <v>-</v>
      </c>
      <c r="J37" s="16"/>
      <c r="K37" s="16" t="str">
        <f t="shared" si="105"/>
        <v>-</v>
      </c>
      <c r="L37" s="16" t="str">
        <f t="shared" si="106"/>
        <v>-</v>
      </c>
      <c r="M37" s="16"/>
      <c r="N37" s="16" t="str">
        <f t="shared" si="107"/>
        <v>-</v>
      </c>
      <c r="O37" s="16" t="str">
        <f t="shared" si="108"/>
        <v>-</v>
      </c>
      <c r="P37" s="16"/>
      <c r="Q37" s="16" t="str">
        <f t="shared" si="109"/>
        <v>-</v>
      </c>
      <c r="R37" s="16" t="str">
        <f t="shared" si="110"/>
        <v>-</v>
      </c>
      <c r="S37" s="16"/>
      <c r="T37" s="16" t="str">
        <f t="shared" si="111"/>
        <v>-</v>
      </c>
      <c r="U37" s="16" t="str">
        <f t="shared"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c r="AD37" s="51"/>
      <c r="AE37" s="582" t="str">
        <f t="array" aca="1" ref="AE37" ca="1">Ver_flag_visit</f>
        <v/>
      </c>
      <c r="AF37" s="32" t="str">
        <f ca="1">A40</f>
        <v>Ecuador</v>
      </c>
      <c r="AG37" s="316">
        <f t="shared" si="113"/>
        <v>0</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17"/>
        <v>0</v>
      </c>
      <c r="BG37" s="16">
        <f t="shared" ca="1" si="18"/>
        <v>0</v>
      </c>
      <c r="BH37" s="16">
        <f t="shared" ca="1" si="19"/>
        <v>0</v>
      </c>
      <c r="BI37" s="16">
        <f t="shared" ca="1" si="20"/>
        <v>0</v>
      </c>
      <c r="BJ37" s="16">
        <f t="shared" ca="1" si="21"/>
        <v>0</v>
      </c>
      <c r="BK37" s="16">
        <f t="shared" ca="1" si="22"/>
        <v>0</v>
      </c>
      <c r="BL37" s="16">
        <f t="shared" ca="1" si="23"/>
        <v>0</v>
      </c>
      <c r="BM37" s="16" t="str">
        <f t="shared" ca="1" si="24"/>
        <v>4H</v>
      </c>
      <c r="BN37" s="16" t="str">
        <f t="shared" ca="1" si="25"/>
        <v>4H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0</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0</v>
      </c>
      <c r="BW37" s="16">
        <f t="shared" ca="1" si="30"/>
        <v>0</v>
      </c>
      <c r="BX37" s="16">
        <f t="shared" ca="1" si="31"/>
        <v>0</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0</v>
      </c>
      <c r="CB37" s="16">
        <f t="shared" ca="1" si="33"/>
        <v>0</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0</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(4)</v>
      </c>
      <c r="CI37" s="16">
        <f t="shared" ca="1" si="36"/>
        <v>0</v>
      </c>
      <c r="CJ37" s="16">
        <f t="shared" ca="1" si="37"/>
        <v>0</v>
      </c>
      <c r="CK37" s="16">
        <f t="shared" ca="1" si="38"/>
        <v>0</v>
      </c>
      <c r="CL37" s="16">
        <f t="shared" ca="1" si="39"/>
        <v>0</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(4)</v>
      </c>
      <c r="CO37" s="16">
        <f t="shared" ca="1" si="40"/>
        <v>0</v>
      </c>
      <c r="CP37" s="16">
        <f t="shared" ca="1" si="41"/>
        <v>0</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(4)</v>
      </c>
      <c r="CT37" s="16">
        <f t="shared" ca="1" si="43"/>
        <v>0</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(4)</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(4)</v>
      </c>
      <c r="CZ37" s="16">
        <f t="shared" ca="1" si="45"/>
        <v>0</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(4)</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46"/>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47"/>
        <v>1</v>
      </c>
      <c r="DK37" s="16">
        <f t="shared" ca="1" si="48"/>
        <v>0</v>
      </c>
      <c r="DL37" s="16">
        <f t="shared" ca="1" si="49"/>
        <v>1</v>
      </c>
      <c r="DM37" s="16" t="str">
        <f t="shared" ca="1" si="50"/>
        <v>1.1</v>
      </c>
      <c r="DN37" s="16">
        <f t="array" aca="1" ref="DN37" ca="1">OFFSET(Horarios!$P$3,DJ37-1,0,DL37,1)</f>
        <v>1</v>
      </c>
      <c r="DO37" s="16"/>
      <c r="DP37" s="16" t="s">
        <v>105</v>
      </c>
      <c r="DQ37" s="16" t="str">
        <f t="shared" ca="1" si="51"/>
        <v>Uruguay</v>
      </c>
    </row>
    <row r="38" spans="1:121" ht="16.05" customHeight="1">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7"/>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0</v>
      </c>
      <c r="AN38" s="36">
        <f t="shared" ca="1" si="115"/>
        <v>0</v>
      </c>
      <c r="AO38" s="36">
        <f t="shared" ca="1" si="115"/>
        <v>0</v>
      </c>
      <c r="AP38" s="36">
        <f t="shared" ca="1" si="115"/>
        <v>0</v>
      </c>
      <c r="AQ38" s="36">
        <f t="shared" ca="1" si="115"/>
        <v>0</v>
      </c>
      <c r="AR38" s="36">
        <f t="shared" ca="1" si="115"/>
        <v>0</v>
      </c>
      <c r="AS38" s="36">
        <f t="shared" ca="1" si="115"/>
        <v>0</v>
      </c>
      <c r="AT38" s="41">
        <f t="shared" ca="1" si="115"/>
        <v>0</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05" customHeight="1">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7"/>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Curazao</v>
      </c>
      <c r="AM39" s="38">
        <f t="shared" ca="1" si="115"/>
        <v>0</v>
      </c>
      <c r="AN39" s="39">
        <f t="shared" ca="1" si="115"/>
        <v>0</v>
      </c>
      <c r="AO39" s="39">
        <f t="shared" ca="1" si="115"/>
        <v>0</v>
      </c>
      <c r="AP39" s="39">
        <f t="shared" ca="1" si="115"/>
        <v>0</v>
      </c>
      <c r="AQ39" s="39">
        <f t="shared" ca="1" si="115"/>
        <v>0</v>
      </c>
      <c r="AR39" s="39">
        <f t="shared" ca="1" si="115"/>
        <v>0</v>
      </c>
      <c r="AS39" s="39">
        <f t="shared" ca="1" si="115"/>
        <v>0</v>
      </c>
      <c r="AT39" s="43">
        <f t="shared" ca="1" si="115"/>
        <v>0</v>
      </c>
      <c r="AU39" s="323">
        <f ca="1">INDEX($DL$6:$DL$53,MATCH(AI39,$DP$6:$DP$53,0))</f>
        <v>1</v>
      </c>
      <c r="AV39" s="182" t="str">
        <f ca="1">INDEX($BD$6:$BD$53,MATCH(AI39,$BM$6:$BM$53,0))</f>
        <v>Curazao</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05" customHeight="1">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7"/>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Costa de Marfil</v>
      </c>
      <c r="AM40" s="38">
        <f t="shared" ca="1" si="115"/>
        <v>0</v>
      </c>
      <c r="AN40" s="39">
        <f t="shared" ca="1" si="115"/>
        <v>0</v>
      </c>
      <c r="AO40" s="39">
        <f t="shared" ca="1" si="115"/>
        <v>0</v>
      </c>
      <c r="AP40" s="39">
        <f t="shared" ca="1" si="115"/>
        <v>0</v>
      </c>
      <c r="AQ40" s="39">
        <f t="shared" ca="1" si="115"/>
        <v>0</v>
      </c>
      <c r="AR40" s="39">
        <f t="shared" ca="1" si="115"/>
        <v>0</v>
      </c>
      <c r="AS40" s="39">
        <f t="shared" ca="1" si="115"/>
        <v>0</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05" customHeight="1" thickBot="1">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8"/>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Ecuador</v>
      </c>
      <c r="AM41" s="46">
        <f t="shared" ca="1" si="115"/>
        <v>0</v>
      </c>
      <c r="AN41" s="47">
        <f t="shared" ca="1" si="115"/>
        <v>0</v>
      </c>
      <c r="AO41" s="47">
        <f t="shared" ca="1" si="115"/>
        <v>0</v>
      </c>
      <c r="AP41" s="47">
        <f t="shared" ca="1" si="115"/>
        <v>0</v>
      </c>
      <c r="AQ41" s="47">
        <f t="shared" ca="1" si="115"/>
        <v>0</v>
      </c>
      <c r="AR41" s="47">
        <f t="shared" ca="1" si="115"/>
        <v>0</v>
      </c>
      <c r="AS41" s="47">
        <f t="shared" ca="1" si="115"/>
        <v>0</v>
      </c>
      <c r="AT41" s="48">
        <f t="shared" ca="1" si="115"/>
        <v>0</v>
      </c>
      <c r="AU41" s="323">
        <f ca="1">INDEX($DL$6:$DL$53,MATCH(AI41,$DP$6:$DP$53,0))</f>
        <v>1</v>
      </c>
      <c r="AV41" s="182" t="str">
        <f ca="1">INDEX($BD$6:$BD$53,MATCH(AI41,$BM$6:$BM$53,0))</f>
        <v>Ecuador</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05" customHeight="1" thickBot="1">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05"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05" customHeight="1" thickBot="1">
      <c r="A44" s="16" t="s">
        <v>15</v>
      </c>
      <c r="B44" s="16" t="s">
        <v>112</v>
      </c>
      <c r="C44" s="16">
        <f>COUNTIF(Equipos!$C$2:$C$49,WORLDCUP!B44)</f>
        <v>4</v>
      </c>
      <c r="D44" s="16" t="str">
        <f t="shared" ref="D44:D49" si="116">IF(OR(AC44="",AD44=""),"Pendiente",IF(AC44&gt;AD44,"Local",IF(AC44&lt;AD44,"Visitante","Empate")))</f>
        <v>Pendiente</v>
      </c>
      <c r="E44" s="16" t="str">
        <f t="shared" ref="E44:E49" si="117">IF(D44="Pendiente","-",INDEX($BT$6:$BT$53,MATCH($AA44,$BD$6:$BD$53,0)))</f>
        <v>-</v>
      </c>
      <c r="F44" s="16" t="str">
        <f t="shared" ref="F44:F49" si="118">IF(D44="Pendiente","-",INDEX($BT$6:$BT$53,MATCH($AF44,$BD$6:$BD$53,0)))</f>
        <v>-</v>
      </c>
      <c r="G44" s="16"/>
      <c r="H44" s="16" t="str">
        <f t="shared" ref="H44:H49" si="119">IF(D44="Pendiente","-",INDEX($BZ$6:$BZ$53,MATCH($AA44,$BD$6:$BD$53,0)))</f>
        <v>-</v>
      </c>
      <c r="I44" s="16" t="str">
        <f t="shared" ref="I44:I49" si="120">IF(D44="Pendiente","-",INDEX($BZ$6:$BZ$53,MATCH($AF44,$BD$6:$BD$53,0)))</f>
        <v>-</v>
      </c>
      <c r="J44" s="16"/>
      <c r="K44" s="16" t="str">
        <f t="shared" ref="K44:K49" si="121">IF(D44="Pendiente","-",INDEX($CE$6:$CE$53,MATCH($AA44,$BD$6:$BD$53,0)))</f>
        <v>-</v>
      </c>
      <c r="L44" s="16" t="str">
        <f t="shared" ref="L44:L49" si="122">IF(D44="Pendiente","-",INDEX($CE$6:$CE$53,MATCH($AF44,$BD$6:$BD$53,0)))</f>
        <v>-</v>
      </c>
      <c r="M44" s="16"/>
      <c r="N44" s="16" t="str">
        <f t="shared" ref="N44:N49" si="123">IF(D44="Pendiente","-",INDEX($CH$6:$CH$53,MATCH($AA44,$BD$6:$BD$53,0)))</f>
        <v>-</v>
      </c>
      <c r="O44" s="16" t="str">
        <f t="shared" ref="O44:O49" si="124">IF(D44="Pendiente","-",INDEX($CH$6:$CH$53,MATCH($AF44,$BD$6:$BD$53,0)))</f>
        <v>-</v>
      </c>
      <c r="P44" s="16"/>
      <c r="Q44" s="16" t="str">
        <f t="shared" ref="Q44:Q49" si="125">IF(D44="Pendiente","-",INDEX($CN$6:$CN$53,MATCH($AA44,$BD$6:$BD$53,0)))</f>
        <v>-</v>
      </c>
      <c r="R44" s="16" t="str">
        <f t="shared" ref="R44:R49" si="126">IF(D44="Pendiente","-",INDEX($CN$6:$CN$53,MATCH($AF44,$BD$6:$BD$53,0)))</f>
        <v>-</v>
      </c>
      <c r="S44" s="16"/>
      <c r="T44" s="16" t="str">
        <f t="shared" ref="T44:T49" si="127">IF(D44="Pendiente","-",INDEX($CS$6:$CS$53,MATCH($AA44,$BD$6:$BD$53,0)))</f>
        <v>-</v>
      </c>
      <c r="U44" s="16" t="str">
        <f t="shared" ref="U44:U49" si="128">IF(D44="Pendiente","-",INDEX($CS$6:$CS$53,MATCH($AF44,$BD$6:$BD$53,0)))</f>
        <v>-</v>
      </c>
      <c r="V44" s="17"/>
      <c r="W44" s="643" t="s">
        <v>112</v>
      </c>
      <c r="X44" s="24">
        <f ca="1">Horarios!C44</f>
        <v>46187.666666666657</v>
      </c>
      <c r="Y44" s="25">
        <f ca="1">Horarios!C44</f>
        <v>46187.666666666657</v>
      </c>
      <c r="Z44" s="26" t="str">
        <f>$Z$4</f>
        <v>J1</v>
      </c>
      <c r="AA44" s="27" t="str">
        <f ca="1">A45</f>
        <v>Países Bajos</v>
      </c>
      <c r="AB44" s="49" t="str">
        <f t="array" aca="1" ref="AB44" ca="1">Ver_flag_local</f>
        <v/>
      </c>
      <c r="AC44" s="50"/>
      <c r="AD44" s="51"/>
      <c r="AE44" s="582" t="str">
        <f t="array" aca="1" ref="AE44" ca="1">Ver_flag_visit</f>
        <v/>
      </c>
      <c r="AF44" s="32" t="str">
        <f ca="1">A46</f>
        <v>Japón</v>
      </c>
      <c r="AG44" s="316">
        <f t="shared" ref="AG44:AG49" si="129">IF(NOT(OR(ISBLANK(AC44),ISBLANK(AD44))),1,0)</f>
        <v>0</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05" customHeight="1">
      <c r="A45" s="16" t="str">
        <f ca="1">+Equipos!B22</f>
        <v>Países Bajos</v>
      </c>
      <c r="B45" s="16"/>
      <c r="C45" s="16"/>
      <c r="D45" s="16" t="str">
        <f t="shared" si="116"/>
        <v>Pendiente</v>
      </c>
      <c r="E45" s="16" t="str">
        <f t="shared" si="117"/>
        <v>-</v>
      </c>
      <c r="F45" s="16" t="str">
        <f t="shared" si="118"/>
        <v>-</v>
      </c>
      <c r="G45" s="16"/>
      <c r="H45" s="16" t="str">
        <f t="shared" si="119"/>
        <v>-</v>
      </c>
      <c r="I45" s="16" t="str">
        <f t="shared" si="120"/>
        <v>-</v>
      </c>
      <c r="J45" s="16"/>
      <c r="K45" s="16" t="str">
        <f t="shared" si="121"/>
        <v>-</v>
      </c>
      <c r="L45" s="16" t="str">
        <f t="shared" si="122"/>
        <v>-</v>
      </c>
      <c r="M45" s="16"/>
      <c r="N45" s="16" t="str">
        <f t="shared" si="123"/>
        <v>-</v>
      </c>
      <c r="O45" s="16" t="str">
        <f t="shared" si="124"/>
        <v>-</v>
      </c>
      <c r="P45" s="16"/>
      <c r="Q45" s="16" t="str">
        <f t="shared" si="125"/>
        <v>-</v>
      </c>
      <c r="R45" s="16" t="str">
        <f t="shared" si="126"/>
        <v>-</v>
      </c>
      <c r="S45" s="16"/>
      <c r="T45" s="16" t="str">
        <f t="shared" si="127"/>
        <v>-</v>
      </c>
      <c r="U45" s="16" t="str">
        <f t="shared" si="128"/>
        <v>-</v>
      </c>
      <c r="V45" s="17"/>
      <c r="W45" s="627"/>
      <c r="X45" s="24">
        <f ca="1">Horarios!C45</f>
        <v>46187.916666666657</v>
      </c>
      <c r="Y45" s="25">
        <f ca="1">Horarios!C45</f>
        <v>46187.916666666657</v>
      </c>
      <c r="Z45" s="26" t="str">
        <f>$Z$4</f>
        <v>J1</v>
      </c>
      <c r="AA45" s="27" t="str">
        <f ca="1">A47</f>
        <v>Suecia</v>
      </c>
      <c r="AB45" s="49" t="str">
        <f t="array" aca="1" ref="AB45" ca="1">Ver_flag_local</f>
        <v/>
      </c>
      <c r="AC45" s="50"/>
      <c r="AD45" s="51"/>
      <c r="AE45" s="582" t="str">
        <f t="array" aca="1" ref="AE45" ca="1">Ver_flag_visit</f>
        <v/>
      </c>
      <c r="AF45" s="32" t="str">
        <f ca="1">A48</f>
        <v>Túnez</v>
      </c>
      <c r="AG45" s="316">
        <f t="shared" si="129"/>
        <v>0</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05" customHeight="1">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0</v>
      </c>
      <c r="AN46" s="36">
        <f t="shared" ca="1" si="131"/>
        <v>0</v>
      </c>
      <c r="AO46" s="36">
        <f t="shared" ca="1" si="131"/>
        <v>0</v>
      </c>
      <c r="AP46" s="36">
        <f t="shared" ca="1" si="131"/>
        <v>0</v>
      </c>
      <c r="AQ46" s="36">
        <f t="shared" ca="1" si="131"/>
        <v>0</v>
      </c>
      <c r="AR46" s="36">
        <f t="shared" ca="1" si="131"/>
        <v>0</v>
      </c>
      <c r="AS46" s="36">
        <f t="shared" ca="1" si="131"/>
        <v>0</v>
      </c>
      <c r="AT46" s="41">
        <f t="shared" ca="1" si="131"/>
        <v>0</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05" customHeight="1">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7"/>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Japón</v>
      </c>
      <c r="AM47" s="38">
        <f t="shared" ca="1" si="131"/>
        <v>0</v>
      </c>
      <c r="AN47" s="39">
        <f t="shared" ca="1" si="131"/>
        <v>0</v>
      </c>
      <c r="AO47" s="39">
        <f t="shared" ca="1" si="131"/>
        <v>0</v>
      </c>
      <c r="AP47" s="39">
        <f t="shared" ca="1" si="131"/>
        <v>0</v>
      </c>
      <c r="AQ47" s="39">
        <f t="shared" ca="1" si="131"/>
        <v>0</v>
      </c>
      <c r="AR47" s="39">
        <f t="shared" ca="1" si="131"/>
        <v>0</v>
      </c>
      <c r="AS47" s="39">
        <f t="shared" ca="1" si="131"/>
        <v>0</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05" customHeight="1">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7"/>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0</v>
      </c>
      <c r="AN48" s="39">
        <f t="shared" ca="1" si="131"/>
        <v>0</v>
      </c>
      <c r="AO48" s="39">
        <f t="shared" ca="1" si="131"/>
        <v>0</v>
      </c>
      <c r="AP48" s="39">
        <f t="shared" ca="1" si="131"/>
        <v>0</v>
      </c>
      <c r="AQ48" s="39">
        <f t="shared" ca="1" si="131"/>
        <v>0</v>
      </c>
      <c r="AR48" s="39">
        <f t="shared" ca="1" si="131"/>
        <v>0</v>
      </c>
      <c r="AS48" s="39">
        <f t="shared" ca="1" si="131"/>
        <v>0</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05" customHeight="1" thickBot="1">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8"/>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0</v>
      </c>
      <c r="AO49" s="47">
        <f t="shared" ca="1" si="131"/>
        <v>0</v>
      </c>
      <c r="AP49" s="47">
        <f t="shared" ca="1" si="131"/>
        <v>0</v>
      </c>
      <c r="AQ49" s="47">
        <f t="shared" ca="1" si="131"/>
        <v>0</v>
      </c>
      <c r="AR49" s="47">
        <f t="shared" ca="1" si="131"/>
        <v>0</v>
      </c>
      <c r="AS49" s="47">
        <f t="shared" ca="1" si="131"/>
        <v>0</v>
      </c>
      <c r="AT49" s="48">
        <f t="shared" ca="1" si="131"/>
        <v>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05" customHeight="1" thickBot="1">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05"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05" customHeight="1" thickBot="1">
      <c r="A52" s="16" t="s">
        <v>15</v>
      </c>
      <c r="B52" s="16" t="s">
        <v>121</v>
      </c>
      <c r="C52" s="16">
        <f>COUNTIF(Equipos!$C$2:$C$49,WORLDCUP!B52)</f>
        <v>4</v>
      </c>
      <c r="D52" s="16" t="str">
        <f t="shared" ref="D52:D57" si="132">IF(OR(AC52="",AD52=""),"Pendiente",IF(AC52&gt;AD52,"Local",IF(AC52&lt;AD52,"Visitante","Empate")))</f>
        <v>Pendiente</v>
      </c>
      <c r="E52" s="16" t="str">
        <f t="shared" ref="E52:E57" si="133">IF(D52="Pendiente","-",INDEX($BT$6:$BT$53,MATCH($AA52,$BD$6:$BD$53,0)))</f>
        <v>-</v>
      </c>
      <c r="F52" s="16" t="str">
        <f t="shared" ref="F52:F57" si="134">IF(D52="Pendiente","-",INDEX($BT$6:$BT$53,MATCH($AF52,$BD$6:$BD$53,0)))</f>
        <v>-</v>
      </c>
      <c r="G52" s="16"/>
      <c r="H52" s="16" t="str">
        <f t="shared" ref="H52:H57" si="135">IF(D52="Pendiente","-",INDEX($BZ$6:$BZ$53,MATCH($AA52,$BD$6:$BD$53,0)))</f>
        <v>-</v>
      </c>
      <c r="I52" s="16" t="str">
        <f t="shared" ref="I52:I57" si="136">IF(D52="Pendiente","-",INDEX($BZ$6:$BZ$53,MATCH($AF52,$BD$6:$BD$53,0)))</f>
        <v>-</v>
      </c>
      <c r="J52" s="16"/>
      <c r="K52" s="16" t="str">
        <f t="shared" ref="K52:K57" si="137">IF(D52="Pendiente","-",INDEX($CE$6:$CE$53,MATCH($AA52,$BD$6:$BD$53,0)))</f>
        <v>-</v>
      </c>
      <c r="L52" s="16" t="str">
        <f t="shared" ref="L52:L57" si="138">IF(D52="Pendiente","-",INDEX($CE$6:$CE$53,MATCH($AF52,$BD$6:$BD$53,0)))</f>
        <v>-</v>
      </c>
      <c r="M52" s="16"/>
      <c r="N52" s="16" t="str">
        <f t="shared" ref="N52:N57" si="139">IF(D52="Pendiente","-",INDEX($CH$6:$CH$53,MATCH($AA52,$BD$6:$BD$53,0)))</f>
        <v>-</v>
      </c>
      <c r="O52" s="16" t="str">
        <f t="shared" ref="O52:O57" si="140">IF(D52="Pendiente","-",INDEX($CH$6:$CH$53,MATCH($AF52,$BD$6:$BD$53,0)))</f>
        <v>-</v>
      </c>
      <c r="P52" s="16"/>
      <c r="Q52" s="16" t="str">
        <f t="shared" ref="Q52:Q57" si="141">IF(D52="Pendiente","-",INDEX($CN$6:$CN$53,MATCH($AA52,$BD$6:$BD$53,0)))</f>
        <v>-</v>
      </c>
      <c r="R52" s="16" t="str">
        <f t="shared" ref="R52:R57" si="142">IF(D52="Pendiente","-",INDEX($CN$6:$CN$53,MATCH($AF52,$BD$6:$BD$53,0)))</f>
        <v>-</v>
      </c>
      <c r="S52" s="16"/>
      <c r="T52" s="16" t="str">
        <f t="shared" ref="T52:T57" si="143">IF(D52="Pendiente","-",INDEX($CS$6:$CS$53,MATCH($AA52,$BD$6:$BD$53,0)))</f>
        <v>-</v>
      </c>
      <c r="U52" s="16" t="str">
        <f t="shared" ref="U52:U57" si="144">IF(D52="Pendiente","-",INDEX($CS$6:$CS$53,MATCH($AF52,$BD$6:$BD$53,0)))</f>
        <v>-</v>
      </c>
      <c r="V52" s="17"/>
      <c r="W52" s="638" t="s">
        <v>121</v>
      </c>
      <c r="X52" s="24">
        <f ca="1">Horarios!C52</f>
        <v>46188.625</v>
      </c>
      <c r="Y52" s="25">
        <f ca="1">Horarios!C52</f>
        <v>46188.625</v>
      </c>
      <c r="Z52" s="26" t="str">
        <f>$Z$4</f>
        <v>J1</v>
      </c>
      <c r="AA52" s="27" t="str">
        <f ca="1">A53</f>
        <v>Bélgica</v>
      </c>
      <c r="AB52" s="49" t="str">
        <f t="array" aca="1" ref="AB52" ca="1">Ver_flag_local</f>
        <v/>
      </c>
      <c r="AC52" s="50"/>
      <c r="AD52" s="51"/>
      <c r="AE52" s="582" t="str">
        <f t="array" aca="1" ref="AE52" ca="1">Ver_flag_visit</f>
        <v/>
      </c>
      <c r="AF52" s="32" t="str">
        <f ca="1">A54</f>
        <v>Egipto</v>
      </c>
      <c r="AG52" s="316">
        <f t="shared" ref="AG52:AG57" si="145">IF(NOT(OR(ISBLANK(AC52),ISBLANK(AD52))),1,0)</f>
        <v>0</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05" customHeight="1">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7"/>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05" customHeight="1">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7"/>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0</v>
      </c>
      <c r="AN54" s="36">
        <f t="shared" ca="1" si="147"/>
        <v>0</v>
      </c>
      <c r="AO54" s="36">
        <f t="shared" ca="1" si="147"/>
        <v>0</v>
      </c>
      <c r="AP54" s="36">
        <f t="shared" ca="1" si="147"/>
        <v>0</v>
      </c>
      <c r="AQ54" s="36">
        <f t="shared" ca="1" si="147"/>
        <v>0</v>
      </c>
      <c r="AR54" s="36">
        <f t="shared" ca="1" si="147"/>
        <v>0</v>
      </c>
      <c r="AS54" s="36">
        <f t="shared" ca="1" si="147"/>
        <v>0</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05" customHeight="1">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7"/>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0</v>
      </c>
      <c r="AN55" s="39">
        <f t="shared" ca="1" si="147"/>
        <v>0</v>
      </c>
      <c r="AO55" s="39">
        <f t="shared" ca="1" si="147"/>
        <v>0</v>
      </c>
      <c r="AP55" s="39">
        <f t="shared" ca="1" si="147"/>
        <v>0</v>
      </c>
      <c r="AQ55" s="39">
        <f t="shared" ca="1" si="147"/>
        <v>0</v>
      </c>
      <c r="AR55" s="39">
        <f t="shared" ca="1" si="147"/>
        <v>0</v>
      </c>
      <c r="AS55" s="39">
        <f t="shared" ca="1" si="147"/>
        <v>0</v>
      </c>
      <c r="AT55" s="43">
        <f t="shared" ca="1" si="147"/>
        <v>0</v>
      </c>
      <c r="AU55" s="323">
        <f ca="1">INDEX($DL$6:$DL$53,MATCH(AI55,$DP$6:$DP$53,0))</f>
        <v>1</v>
      </c>
      <c r="AV55" s="182" t="str">
        <f ca="1">INDEX($BD$6:$BD$53,MATCH(AI55,$BM$6:$BM$53,0))</f>
        <v>Egipto</v>
      </c>
      <c r="AW55" s="210"/>
      <c r="AX55" s="171"/>
      <c r="AY55" s="203" t="str">
        <f ca="1">+A54</f>
        <v>Egipto</v>
      </c>
      <c r="AZ55" s="204"/>
      <c r="BA55" s="176"/>
    </row>
    <row r="56" spans="1:121" ht="16.05" customHeight="1">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7"/>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05" customHeight="1" thickBot="1">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05" customHeight="1" thickBot="1">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12</v>
      </c>
      <c r="BN58" s="16">
        <f t="shared" ref="BN58:BN69" ca="1" si="153">CF58</f>
        <v>12</v>
      </c>
      <c r="BO58" s="16" t="str">
        <f t="shared" ref="BO58:BO69" si="154">"4"&amp;BC58</f>
        <v>4A</v>
      </c>
      <c r="BP58" s="16"/>
      <c r="BQ58" s="16"/>
      <c r="BR58" s="16">
        <f t="shared" ref="BR58:BR69" ca="1" si="155">+BE58</f>
        <v>0</v>
      </c>
      <c r="BS58" s="16">
        <f t="shared" ref="BS58:BS69" ca="1" si="156">COUNTIFS(BR$58:BR$69,"&gt;"&amp;BR58)+1</f>
        <v>2</v>
      </c>
      <c r="BT58" s="16" t="str">
        <f t="shared" ref="BT58:BT69" ca="1" si="157">IF(COUNTIF(BS$58:BS$69,BS58)=1,"-","Pos. "&amp;BS58&amp;" ("&amp;COUNTIF(BS$58:BS$69,BS58)&amp;")")</f>
        <v>Pos. 2 (11)</v>
      </c>
      <c r="BU58" s="16">
        <f t="shared" ref="BU58:BU69" ca="1" si="158">IF(BT58="-","-",BL58)</f>
        <v>-1</v>
      </c>
      <c r="BV58" s="16">
        <f t="shared" ref="BV58:BV69" ca="1" si="159">BS58+COUNTIFS(BT$58:BT$69,BT58,BU$58:BU$69,"&gt;"&amp;BU58)</f>
        <v>12</v>
      </c>
      <c r="BW58" s="16" t="str">
        <f t="shared" ref="BW58:BW69" ca="1" si="160">IF(COUNTIF(BV$58:BV$69,BV58)=1,"-","Pos. "&amp;BV58&amp;" ("&amp;COUNTIF(BV$58:BV$69,BV58)&amp;")")</f>
        <v>-</v>
      </c>
      <c r="BX58" s="16" t="str">
        <f t="shared" ref="BX58:BX69" ca="1" si="161">IF(BW58="-","-",BJ58)</f>
        <v>-</v>
      </c>
      <c r="BY58" s="16">
        <f t="shared" ref="BY58:BY69" ca="1" si="162">BV58+COUNTIFS(BW$58:BW$69,BW58,BX$58:BX$69,"&gt;"&amp;BX58)</f>
        <v>12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12</v>
      </c>
      <c r="CC58" s="16"/>
      <c r="CD58" s="16">
        <f t="shared" ref="CD58:CD69" ca="1" si="166">IF(OR(INDEX($AW$102:$AW$113,MATCH($BD58,$AV$102:$AV$113,0))="",BZ58="-"),CB58,INDEX($AW$102:$AW$113,MATCH($BD58,$AV$102:$AV$113,0))+CB58/1000)</f>
        <v>12</v>
      </c>
      <c r="CE58" s="16" t="str">
        <f t="shared" ref="CE58:CE69" ca="1" si="167">IF(BZ58="-","-",COUNTIF(CD$58:CD$69,"&lt;"&amp;CD58))</f>
        <v>-</v>
      </c>
      <c r="CF58" s="16">
        <f t="shared" ref="CF58:CF69" ca="1" si="168">BY58+COUNTIFS(BZ$58:BZ$69,BZ58,CE$58:CE$69,"&lt;"&amp;CE58)</f>
        <v>12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Catar</v>
      </c>
    </row>
    <row r="59" spans="1:121" ht="16.05"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1</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1</v>
      </c>
      <c r="BL59" s="16">
        <f t="shared" ca="1" si="151"/>
        <v>0</v>
      </c>
      <c r="BM59" s="16">
        <f t="shared" ca="1" si="152"/>
        <v>1</v>
      </c>
      <c r="BN59" s="16">
        <f t="shared" ca="1" si="153"/>
        <v>1</v>
      </c>
      <c r="BO59" s="16" t="str">
        <f t="shared" si="154"/>
        <v>4B</v>
      </c>
      <c r="BP59" s="16"/>
      <c r="BQ59" s="16"/>
      <c r="BR59" s="16">
        <f t="shared" ca="1" si="155"/>
        <v>1</v>
      </c>
      <c r="BS59" s="16">
        <f t="shared" ca="1" si="156"/>
        <v>1</v>
      </c>
      <c r="BT59" s="16" t="str">
        <f t="shared" ca="1" si="157"/>
        <v>-</v>
      </c>
      <c r="BU59" s="16" t="str">
        <f t="shared" ca="1" si="158"/>
        <v>-</v>
      </c>
      <c r="BV59" s="16">
        <f t="shared" ca="1" si="159"/>
        <v>1</v>
      </c>
      <c r="BW59" s="16" t="str">
        <f t="shared" ca="1" si="160"/>
        <v>-</v>
      </c>
      <c r="BX59" s="16" t="str">
        <f t="shared" ca="1" si="161"/>
        <v>-</v>
      </c>
      <c r="BY59" s="16">
        <f t="shared" ca="1" si="162"/>
        <v>1</v>
      </c>
      <c r="BZ59" s="16" t="str">
        <f t="shared" ca="1" si="163"/>
        <v>-</v>
      </c>
      <c r="CA59" s="16" t="str">
        <f t="shared" ca="1" si="164"/>
        <v>-</v>
      </c>
      <c r="CB59" s="16">
        <f t="shared" ca="1" si="165"/>
        <v>1</v>
      </c>
      <c r="CC59" s="16"/>
      <c r="CD59" s="16">
        <f t="shared" ca="1" si="166"/>
        <v>1</v>
      </c>
      <c r="CE59" s="16" t="str">
        <f t="shared" ca="1" si="167"/>
        <v>-</v>
      </c>
      <c r="CF59" s="16">
        <f t="shared" ca="1" si="168"/>
        <v>1</v>
      </c>
      <c r="DJ59" s="16">
        <f t="shared" ca="1" si="169"/>
        <v>2</v>
      </c>
      <c r="DK59" s="16"/>
      <c r="DL59" s="16">
        <f t="shared" ca="1" si="170"/>
        <v>1</v>
      </c>
      <c r="DM59" s="16" t="str">
        <f t="shared" ca="1" si="171"/>
        <v>2.1</v>
      </c>
      <c r="DN59" s="16">
        <f t="array" aca="1" ref="DN59" ca="1">OFFSET(Horarios!$P$3,DJ59-1,0,DL59,1)</f>
        <v>2</v>
      </c>
      <c r="DO59" s="16"/>
      <c r="DP59" s="16">
        <v>2</v>
      </c>
      <c r="DQ59" s="16" t="str">
        <f t="shared" ca="1" si="172"/>
        <v>Arabia Saudita</v>
      </c>
    </row>
    <row r="60" spans="1:121" ht="16.05" customHeight="1" thickBot="1">
      <c r="A60" s="16" t="s">
        <v>15</v>
      </c>
      <c r="B60" s="16" t="s">
        <v>126</v>
      </c>
      <c r="C60" s="16">
        <f>COUNTIF(Equipos!$C$2:$C$49,WORLDCUP!B60)</f>
        <v>4</v>
      </c>
      <c r="D60" s="16" t="str">
        <f t="shared" ref="D60:D65" si="179">IF(OR(AC60="",AD60=""),"Pendiente",IF(AC60&gt;AD60,"Local",IF(AC60&lt;AD60,"Visitante","Empate")))</f>
        <v>Pendiente</v>
      </c>
      <c r="E60" s="16" t="str">
        <f t="shared" ref="E60:E65" si="180">IF(D60="Pendiente","-",INDEX($BT$6:$BT$53,MATCH($AA60,$BD$6:$BD$53,0)))</f>
        <v>-</v>
      </c>
      <c r="F60" s="16" t="str">
        <f t="shared" ref="F60:F65" si="181">IF(D60="Pendiente","-",INDEX($BT$6:$BT$53,MATCH($AF60,$BD$6:$BD$53,0)))</f>
        <v>-</v>
      </c>
      <c r="G60" s="16"/>
      <c r="H60" s="16" t="str">
        <f t="shared" ref="H60:H65" si="182">IF(D60="Pendiente","-",INDEX($BZ$6:$BZ$53,MATCH($AA60,$BD$6:$BD$53,0)))</f>
        <v>-</v>
      </c>
      <c r="I60" s="16" t="str">
        <f t="shared" ref="I60:I65" si="183">IF(D60="Pendiente","-",INDEX($BZ$6:$BZ$53,MATCH($AF60,$BD$6:$BD$53,0)))</f>
        <v>-</v>
      </c>
      <c r="J60" s="16"/>
      <c r="K60" s="16" t="str">
        <f t="shared" ref="K60:K65" si="184">IF(D60="Pendiente","-",INDEX($CE$6:$CE$53,MATCH($AA60,$BD$6:$BD$53,0)))</f>
        <v>-</v>
      </c>
      <c r="L60" s="16" t="str">
        <f t="shared" ref="L60:L65" si="185">IF(D60="Pendiente","-",INDEX($CE$6:$CE$53,MATCH($AF60,$BD$6:$BD$53,0)))</f>
        <v>-</v>
      </c>
      <c r="M60" s="16"/>
      <c r="N60" s="16" t="str">
        <f t="shared" ref="N60:N65" si="186">IF(D60="Pendiente","-",INDEX($CH$6:$CH$53,MATCH($AA60,$BD$6:$BD$53,0)))</f>
        <v>-</v>
      </c>
      <c r="O60" s="16" t="str">
        <f t="shared" ref="O60:O65" si="187">IF(D60="Pendiente","-",INDEX($CH$6:$CH$53,MATCH($AF60,$BD$6:$BD$53,0)))</f>
        <v>-</v>
      </c>
      <c r="P60" s="16"/>
      <c r="Q60" s="16" t="str">
        <f t="shared" ref="Q60:Q65" si="188">IF(D60="Pendiente","-",INDEX($CN$6:$CN$53,MATCH($AA60,$BD$6:$BD$53,0)))</f>
        <v>-</v>
      </c>
      <c r="R60" s="16" t="str">
        <f t="shared" ref="R60:R65" si="189">IF(D60="Pendiente","-",INDEX($CN$6:$CN$53,MATCH($AF60,$BD$6:$BD$53,0)))</f>
        <v>-</v>
      </c>
      <c r="S60" s="16"/>
      <c r="T60" s="16" t="str">
        <f t="shared" ref="T60:T65" si="190">IF(D60="Pendiente","-",INDEX($CS$6:$CS$53,MATCH($AA60,$BD$6:$BD$53,0)))</f>
        <v>-</v>
      </c>
      <c r="U60" s="16" t="str">
        <f t="shared" ref="U60:U65" si="191">IF(D60="Pendiente","-",INDEX($CS$6:$CS$53,MATCH($AF60,$BD$6:$BD$53,0)))</f>
        <v>-</v>
      </c>
      <c r="V60" s="17"/>
      <c r="W60" s="641" t="s">
        <v>126</v>
      </c>
      <c r="X60" s="24">
        <f ca="1">Horarios!C60</f>
        <v>46188.5</v>
      </c>
      <c r="Y60" s="25">
        <f ca="1">Horarios!C60</f>
        <v>46188.5</v>
      </c>
      <c r="Z60" s="26" t="str">
        <f>$Z$4</f>
        <v>J1</v>
      </c>
      <c r="AA60" s="27" t="str">
        <f ca="1">A61</f>
        <v>España</v>
      </c>
      <c r="AB60" s="49" t="str">
        <f t="array" aca="1" ref="AB60" ca="1">Ver_flag_local</f>
        <v/>
      </c>
      <c r="AC60" s="50"/>
      <c r="AD60" s="51"/>
      <c r="AE60" s="582" t="str">
        <f t="array" aca="1" ref="AE60" ca="1">Ver_flag_visit</f>
        <v/>
      </c>
      <c r="AF60" s="32" t="str">
        <f ca="1">A62</f>
        <v>Cabo Verde</v>
      </c>
      <c r="AG60" s="316">
        <f t="shared" ref="AG60:AG65" si="192">IF(NOT(OR(ISBLANK(AC60),ISBLANK(AD60))),1,0)</f>
        <v>0</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Haití</v>
      </c>
      <c r="BE60" s="16">
        <f t="shared" ref="BE60:BE69" ca="1" si="193">CHOOSE($BB$57,
(BG60*3 + BH60)+IF($AZ$3="No",0,INDEX($AZ$6:$AZ$97,MATCH(BD60,$AY$6:$AY$97,0))),
(BG60*3 + BH60)+IF($AZ$3="No",0,INDEX($AZ$6:$AZ$97,MATCH(BD60,$AY$6:$AY$97,0))),
IFERROR((BG60*3 + BH60+IF($AZ$3="No",0,INDEX($AZ$6:$AZ$97,MATCH(BD60,$AY$6:$AY$97,0)))) / BF60, 0)
)</f>
        <v>0</v>
      </c>
      <c r="BF60" s="16">
        <f t="shared" ca="1" si="150"/>
        <v>0</v>
      </c>
      <c r="BG60" s="16">
        <f t="shared" ca="1" si="174"/>
        <v>0</v>
      </c>
      <c r="BH60" s="16">
        <f t="shared" ca="1" si="175"/>
        <v>0</v>
      </c>
      <c r="BI60" s="16">
        <f t="shared" ca="1" si="176"/>
        <v>0</v>
      </c>
      <c r="BJ60" s="16">
        <f t="shared" ca="1" si="177"/>
        <v>0</v>
      </c>
      <c r="BK60" s="16">
        <f t="shared" ca="1" si="178"/>
        <v>0</v>
      </c>
      <c r="BL60" s="16">
        <f t="shared" ca="1" si="151"/>
        <v>0</v>
      </c>
      <c r="BM60" s="16">
        <f t="shared" ca="1" si="152"/>
        <v>6</v>
      </c>
      <c r="BN60" s="16">
        <f t="shared" ca="1" si="153"/>
        <v>6</v>
      </c>
      <c r="BO60" s="16" t="str">
        <f t="shared" si="154"/>
        <v>4C</v>
      </c>
      <c r="BP60" s="16"/>
      <c r="BQ60" s="16"/>
      <c r="BR60" s="16">
        <f t="shared" ca="1" si="155"/>
        <v>0</v>
      </c>
      <c r="BS60" s="16">
        <f t="shared" ca="1" si="156"/>
        <v>2</v>
      </c>
      <c r="BT60" s="16" t="str">
        <f t="shared" ca="1" si="157"/>
        <v>Pos. 2 (11)</v>
      </c>
      <c r="BU60" s="16">
        <f t="shared" ca="1" si="158"/>
        <v>0</v>
      </c>
      <c r="BV60" s="16">
        <f t="shared" ca="1" si="159"/>
        <v>2</v>
      </c>
      <c r="BW60" s="16" t="str">
        <f t="shared" ca="1" si="160"/>
        <v>Pos. 2 (10)</v>
      </c>
      <c r="BX60" s="16">
        <f t="shared" ca="1" si="161"/>
        <v>0</v>
      </c>
      <c r="BY60" s="16">
        <f t="shared" ca="1" si="162"/>
        <v>2</v>
      </c>
      <c r="BZ60" s="16" t="str">
        <f t="shared" ca="1" si="163"/>
        <v>Pos. 2 (10)</v>
      </c>
      <c r="CA60" s="16">
        <f t="shared" ca="1" si="164"/>
        <v>6</v>
      </c>
      <c r="CB60" s="16">
        <f t="shared" ca="1" si="165"/>
        <v>6</v>
      </c>
      <c r="CC60" s="16"/>
      <c r="CD60" s="16">
        <f t="shared" ca="1" si="166"/>
        <v>6</v>
      </c>
      <c r="CE60" s="16">
        <f t="shared" ca="1" si="167"/>
        <v>5</v>
      </c>
      <c r="CF60" s="16">
        <f t="shared" ca="1" si="168"/>
        <v>6</v>
      </c>
      <c r="DJ60" s="16">
        <f t="shared" ca="1" si="169"/>
        <v>2</v>
      </c>
      <c r="DK60" s="16"/>
      <c r="DL60" s="16">
        <f t="shared" ca="1" si="170"/>
        <v>1</v>
      </c>
      <c r="DM60" s="16" t="str">
        <f t="shared" ca="1" si="171"/>
        <v>2.1</v>
      </c>
      <c r="DN60" s="16">
        <f t="array" aca="1" ref="DN60" ca="1">OFFSET(Horarios!$P$3,DJ60-1,0,DL60,1)</f>
        <v>2</v>
      </c>
      <c r="DO60" s="16"/>
      <c r="DP60" s="16">
        <v>3</v>
      </c>
      <c r="DQ60" s="16" t="str">
        <f t="shared" ca="1" si="172"/>
        <v>Austria</v>
      </c>
    </row>
    <row r="61" spans="1:121" ht="16.05" customHeight="1">
      <c r="A61" s="16" t="str">
        <f ca="1">+Equipos!B30</f>
        <v>España</v>
      </c>
      <c r="B61" s="16"/>
      <c r="C61" s="16"/>
      <c r="D61" s="16" t="str">
        <f t="shared" si="179"/>
        <v>Pendiente</v>
      </c>
      <c r="E61" s="16" t="str">
        <f t="shared" si="180"/>
        <v>-</v>
      </c>
      <c r="F61" s="16" t="str">
        <f t="shared" si="181"/>
        <v>-</v>
      </c>
      <c r="G61" s="16"/>
      <c r="H61" s="16" t="str">
        <f t="shared" si="182"/>
        <v>-</v>
      </c>
      <c r="I61" s="16" t="str">
        <f t="shared" si="183"/>
        <v>-</v>
      </c>
      <c r="J61" s="16"/>
      <c r="K61" s="16" t="str">
        <f t="shared" si="184"/>
        <v>-</v>
      </c>
      <c r="L61" s="16" t="str">
        <f t="shared" si="185"/>
        <v>-</v>
      </c>
      <c r="M61" s="16"/>
      <c r="N61" s="16" t="str">
        <f t="shared" si="186"/>
        <v>-</v>
      </c>
      <c r="O61" s="16" t="str">
        <f t="shared" si="187"/>
        <v>-</v>
      </c>
      <c r="P61" s="16"/>
      <c r="Q61" s="16" t="str">
        <f t="shared" si="188"/>
        <v>-</v>
      </c>
      <c r="R61" s="16" t="str">
        <f t="shared" si="189"/>
        <v>-</v>
      </c>
      <c r="S61" s="16"/>
      <c r="T61" s="16" t="str">
        <f t="shared" si="190"/>
        <v>-</v>
      </c>
      <c r="U61" s="16" t="str">
        <f t="shared" si="191"/>
        <v>-</v>
      </c>
      <c r="V61" s="17"/>
      <c r="W61" s="627"/>
      <c r="X61" s="24">
        <f ca="1">Horarios!C61</f>
        <v>46188.75</v>
      </c>
      <c r="Y61" s="25">
        <f ca="1">Horarios!C61</f>
        <v>46188.75</v>
      </c>
      <c r="Z61" s="26" t="str">
        <f>$Z$4</f>
        <v>J1</v>
      </c>
      <c r="AA61" s="27" t="str">
        <f ca="1">A63</f>
        <v>Arabia Saudita</v>
      </c>
      <c r="AB61" s="49" t="str">
        <f t="array" aca="1" ref="AB61" ca="1">Ver_flag_local</f>
        <v/>
      </c>
      <c r="AC61" s="50"/>
      <c r="AD61" s="51"/>
      <c r="AE61" s="582" t="str">
        <f t="array" aca="1" ref="AE61" ca="1">Ver_flag_visit</f>
        <v/>
      </c>
      <c r="AF61" s="32" t="str">
        <f ca="1">A64</f>
        <v>Uruguay</v>
      </c>
      <c r="AG61" s="316">
        <f t="shared" si="192"/>
        <v>0</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0</v>
      </c>
      <c r="BG61" s="16">
        <f t="shared" ca="1" si="174"/>
        <v>0</v>
      </c>
      <c r="BH61" s="16">
        <f t="shared" ca="1" si="175"/>
        <v>0</v>
      </c>
      <c r="BI61" s="16">
        <f t="shared" ca="1" si="176"/>
        <v>0</v>
      </c>
      <c r="BJ61" s="16">
        <f t="shared" ca="1" si="177"/>
        <v>0</v>
      </c>
      <c r="BK61" s="16">
        <f t="shared" ca="1" si="178"/>
        <v>0</v>
      </c>
      <c r="BL61" s="16">
        <f t="shared" ca="1" si="151"/>
        <v>0</v>
      </c>
      <c r="BM61" s="16">
        <f t="shared" ca="1" si="152"/>
        <v>10</v>
      </c>
      <c r="BN61" s="16">
        <f t="shared" ca="1" si="153"/>
        <v>10</v>
      </c>
      <c r="BO61" s="16" t="str">
        <f t="shared" si="154"/>
        <v>4D</v>
      </c>
      <c r="BP61" s="16"/>
      <c r="BQ61" s="16"/>
      <c r="BR61" s="16">
        <f t="shared" ca="1" si="155"/>
        <v>0</v>
      </c>
      <c r="BS61" s="16">
        <f t="shared" ca="1" si="156"/>
        <v>2</v>
      </c>
      <c r="BT61" s="16" t="str">
        <f t="shared" ca="1" si="157"/>
        <v>Pos. 2 (11)</v>
      </c>
      <c r="BU61" s="16">
        <f t="shared" ca="1" si="158"/>
        <v>0</v>
      </c>
      <c r="BV61" s="16">
        <f t="shared" ca="1" si="159"/>
        <v>2</v>
      </c>
      <c r="BW61" s="16" t="str">
        <f t="shared" ca="1" si="160"/>
        <v>Pos. 2 (10)</v>
      </c>
      <c r="BX61" s="16">
        <f t="shared" ca="1" si="161"/>
        <v>0</v>
      </c>
      <c r="BY61" s="16">
        <f t="shared" ca="1" si="162"/>
        <v>2</v>
      </c>
      <c r="BZ61" s="16" t="str">
        <f t="shared" ca="1" si="163"/>
        <v>Pos. 2 (10)</v>
      </c>
      <c r="CA61" s="16">
        <f t="shared" ca="1" si="164"/>
        <v>1</v>
      </c>
      <c r="CB61" s="16">
        <f t="shared" ca="1" si="165"/>
        <v>10</v>
      </c>
      <c r="CC61" s="16"/>
      <c r="CD61" s="16">
        <f t="shared" ca="1" si="166"/>
        <v>10</v>
      </c>
      <c r="CE61" s="16">
        <f t="shared" ca="1" si="167"/>
        <v>9</v>
      </c>
      <c r="CF61" s="16">
        <f t="shared" ca="1" si="168"/>
        <v>10</v>
      </c>
      <c r="DJ61" s="16">
        <f t="shared" ca="1" si="169"/>
        <v>2</v>
      </c>
      <c r="DK61" s="16"/>
      <c r="DL61" s="16">
        <f t="shared" ca="1" si="170"/>
        <v>1</v>
      </c>
      <c r="DM61" s="16" t="str">
        <f t="shared" ca="1" si="171"/>
        <v>2.1</v>
      </c>
      <c r="DN61" s="16">
        <f t="array" aca="1" ref="DN61" ca="1">OFFSET(Horarios!$P$3,DJ61-1,0,DL61,1)</f>
        <v>2</v>
      </c>
      <c r="DO61" s="16"/>
      <c r="DP61" s="16">
        <v>4</v>
      </c>
      <c r="DQ61" s="16" t="str">
        <f t="shared" ca="1" si="172"/>
        <v>Costa de Marfil</v>
      </c>
    </row>
    <row r="62" spans="1:121" ht="16.05" customHeight="1">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7"/>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0</v>
      </c>
      <c r="AN62" s="36">
        <f t="shared" ca="1" si="195"/>
        <v>0</v>
      </c>
      <c r="AO62" s="36">
        <f t="shared" ca="1" si="195"/>
        <v>0</v>
      </c>
      <c r="AP62" s="36">
        <f t="shared" ca="1" si="195"/>
        <v>0</v>
      </c>
      <c r="AQ62" s="36">
        <f t="shared" ca="1" si="195"/>
        <v>0</v>
      </c>
      <c r="AR62" s="36">
        <f t="shared" ca="1" si="195"/>
        <v>0</v>
      </c>
      <c r="AS62" s="36">
        <f t="shared" ca="1" si="195"/>
        <v>0</v>
      </c>
      <c r="AT62" s="41">
        <f t="shared" ca="1" si="195"/>
        <v>0</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0</v>
      </c>
      <c r="BF62" s="16">
        <f t="shared" ca="1" si="150"/>
        <v>0</v>
      </c>
      <c r="BG62" s="16">
        <f t="shared" ca="1" si="174"/>
        <v>0</v>
      </c>
      <c r="BH62" s="16">
        <f t="shared" ca="1" si="175"/>
        <v>0</v>
      </c>
      <c r="BI62" s="16">
        <f t="shared" ca="1" si="176"/>
        <v>0</v>
      </c>
      <c r="BJ62" s="16">
        <f t="shared" ca="1" si="177"/>
        <v>0</v>
      </c>
      <c r="BK62" s="16">
        <f t="shared" ca="1" si="178"/>
        <v>0</v>
      </c>
      <c r="BL62" s="16">
        <f t="shared" ca="1" si="151"/>
        <v>0</v>
      </c>
      <c r="BM62" s="16">
        <f t="shared" ca="1" si="152"/>
        <v>4</v>
      </c>
      <c r="BN62" s="16">
        <f t="shared" ca="1" si="153"/>
        <v>4</v>
      </c>
      <c r="BO62" s="16" t="str">
        <f t="shared" si="154"/>
        <v>4E</v>
      </c>
      <c r="BP62" s="16"/>
      <c r="BQ62" s="16"/>
      <c r="BR62" s="16">
        <f t="shared" ca="1" si="155"/>
        <v>0</v>
      </c>
      <c r="BS62" s="16">
        <f t="shared" ca="1" si="156"/>
        <v>2</v>
      </c>
      <c r="BT62" s="16" t="str">
        <f t="shared" ca="1" si="157"/>
        <v>Pos. 2 (11)</v>
      </c>
      <c r="BU62" s="16">
        <f t="shared" ca="1" si="158"/>
        <v>0</v>
      </c>
      <c r="BV62" s="16">
        <f t="shared" ca="1" si="159"/>
        <v>2</v>
      </c>
      <c r="BW62" s="16" t="str">
        <f t="shared" ca="1" si="160"/>
        <v>Pos. 2 (10)</v>
      </c>
      <c r="BX62" s="16">
        <f t="shared" ca="1" si="161"/>
        <v>0</v>
      </c>
      <c r="BY62" s="16">
        <f t="shared" ca="1" si="162"/>
        <v>2</v>
      </c>
      <c r="BZ62" s="16" t="str">
        <f t="shared" ca="1" si="163"/>
        <v>Pos. 2 (10)</v>
      </c>
      <c r="CA62" s="16">
        <f t="shared" ca="1" si="164"/>
        <v>8</v>
      </c>
      <c r="CB62" s="16">
        <f t="shared" ca="1" si="165"/>
        <v>4</v>
      </c>
      <c r="CC62" s="16"/>
      <c r="CD62" s="16">
        <f t="shared" ca="1" si="166"/>
        <v>4</v>
      </c>
      <c r="CE62" s="16">
        <f t="shared" ca="1" si="167"/>
        <v>3</v>
      </c>
      <c r="CF62" s="16">
        <f t="shared" ca="1" si="168"/>
        <v>4</v>
      </c>
      <c r="DJ62" s="16">
        <f t="shared" ca="1" si="169"/>
        <v>2</v>
      </c>
      <c r="DK62" s="16"/>
      <c r="DL62" s="16">
        <f t="shared" ca="1" si="170"/>
        <v>1</v>
      </c>
      <c r="DM62" s="16" t="str">
        <f t="shared" ca="1" si="171"/>
        <v>2.1</v>
      </c>
      <c r="DN62" s="16">
        <f t="array" aca="1" ref="DN62" ca="1">OFFSET(Horarios!$P$3,DJ62-1,0,DL62,1)</f>
        <v>2</v>
      </c>
      <c r="DO62" s="16"/>
      <c r="DP62" s="16">
        <v>5</v>
      </c>
      <c r="DQ62" s="16" t="str">
        <f t="shared" ca="1" si="172"/>
        <v>Ghana</v>
      </c>
    </row>
    <row r="63" spans="1:121" ht="16.05" customHeight="1">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7"/>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Cabo Verde</v>
      </c>
      <c r="AM63" s="38">
        <f t="shared" ca="1" si="195"/>
        <v>0</v>
      </c>
      <c r="AN63" s="39">
        <f t="shared" ca="1" si="195"/>
        <v>0</v>
      </c>
      <c r="AO63" s="39">
        <f t="shared" ca="1" si="195"/>
        <v>0</v>
      </c>
      <c r="AP63" s="39">
        <f t="shared" ca="1" si="195"/>
        <v>0</v>
      </c>
      <c r="AQ63" s="39">
        <f t="shared" ca="1" si="195"/>
        <v>0</v>
      </c>
      <c r="AR63" s="39">
        <f t="shared" ca="1" si="195"/>
        <v>0</v>
      </c>
      <c r="AS63" s="39">
        <f t="shared" ca="1" si="195"/>
        <v>0</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0</v>
      </c>
      <c r="BF63" s="16">
        <f t="shared" ca="1" si="150"/>
        <v>0</v>
      </c>
      <c r="BG63" s="16">
        <f t="shared" ca="1" si="174"/>
        <v>0</v>
      </c>
      <c r="BH63" s="16">
        <f t="shared" ca="1" si="175"/>
        <v>0</v>
      </c>
      <c r="BI63" s="16">
        <f t="shared" ca="1" si="176"/>
        <v>0</v>
      </c>
      <c r="BJ63" s="16">
        <f t="shared" ca="1" si="177"/>
        <v>0</v>
      </c>
      <c r="BK63" s="16">
        <f t="shared" ca="1" si="178"/>
        <v>0</v>
      </c>
      <c r="BL63" s="16">
        <f t="shared" ca="1" si="151"/>
        <v>0</v>
      </c>
      <c r="BM63" s="16">
        <f t="shared" ca="1" si="152"/>
        <v>9</v>
      </c>
      <c r="BN63" s="16">
        <f t="shared" ca="1" si="153"/>
        <v>9</v>
      </c>
      <c r="BO63" s="16" t="str">
        <f t="shared" si="154"/>
        <v>4F</v>
      </c>
      <c r="BP63" s="16"/>
      <c r="BQ63" s="16"/>
      <c r="BR63" s="16">
        <f t="shared" ca="1" si="155"/>
        <v>0</v>
      </c>
      <c r="BS63" s="16">
        <f t="shared" ca="1" si="156"/>
        <v>2</v>
      </c>
      <c r="BT63" s="16" t="str">
        <f t="shared" ca="1" si="157"/>
        <v>Pos. 2 (11)</v>
      </c>
      <c r="BU63" s="16">
        <f t="shared" ca="1" si="158"/>
        <v>0</v>
      </c>
      <c r="BV63" s="16">
        <f t="shared" ca="1" si="159"/>
        <v>2</v>
      </c>
      <c r="BW63" s="16" t="str">
        <f t="shared" ca="1" si="160"/>
        <v>Pos. 2 (10)</v>
      </c>
      <c r="BX63" s="16">
        <f t="shared" ca="1" si="161"/>
        <v>0</v>
      </c>
      <c r="BY63" s="16">
        <f t="shared" ca="1" si="162"/>
        <v>2</v>
      </c>
      <c r="BZ63" s="16" t="str">
        <f t="shared" ca="1" si="163"/>
        <v>Pos. 2 (10)</v>
      </c>
      <c r="CA63" s="16">
        <f t="shared" ca="1" si="164"/>
        <v>2</v>
      </c>
      <c r="CB63" s="16">
        <f t="shared" ca="1" si="165"/>
        <v>9</v>
      </c>
      <c r="CC63" s="16"/>
      <c r="CD63" s="16">
        <f t="shared" ca="1" si="166"/>
        <v>9</v>
      </c>
      <c r="CE63" s="16">
        <f t="shared" ca="1" si="167"/>
        <v>8</v>
      </c>
      <c r="CF63" s="16">
        <f t="shared" ca="1" si="168"/>
        <v>9</v>
      </c>
      <c r="DJ63" s="16">
        <f t="shared" ca="1" si="169"/>
        <v>2</v>
      </c>
      <c r="DK63" s="16"/>
      <c r="DL63" s="16">
        <f t="shared" ca="1" si="170"/>
        <v>1</v>
      </c>
      <c r="DM63" s="16" t="str">
        <f t="shared" ca="1" si="171"/>
        <v>2.1</v>
      </c>
      <c r="DN63" s="16">
        <f t="array" aca="1" ref="DN63" ca="1">OFFSET(Horarios!$P$3,DJ63-1,0,DL63,1)</f>
        <v>2</v>
      </c>
      <c r="DO63" s="16"/>
      <c r="DP63" s="16">
        <v>6</v>
      </c>
      <c r="DQ63" s="16" t="str">
        <f t="shared" ca="1" si="172"/>
        <v>Haití</v>
      </c>
    </row>
    <row r="64" spans="1:121" ht="16.05" customHeight="1">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0</v>
      </c>
      <c r="AN64" s="39">
        <f t="shared" ca="1" si="195"/>
        <v>0</v>
      </c>
      <c r="AO64" s="39">
        <f t="shared" ca="1" si="195"/>
        <v>0</v>
      </c>
      <c r="AP64" s="39">
        <f t="shared" ca="1" si="195"/>
        <v>0</v>
      </c>
      <c r="AQ64" s="39">
        <f t="shared" ca="1" si="195"/>
        <v>0</v>
      </c>
      <c r="AR64" s="39">
        <f t="shared" ca="1" si="195"/>
        <v>0</v>
      </c>
      <c r="AS64" s="39">
        <f t="shared" ca="1" si="195"/>
        <v>0</v>
      </c>
      <c r="AT64" s="43">
        <f t="shared" ca="1" si="195"/>
        <v>0</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8</v>
      </c>
      <c r="BN64" s="16">
        <f t="shared" ca="1" si="153"/>
        <v>8</v>
      </c>
      <c r="BO64" s="16" t="str">
        <f t="shared" si="154"/>
        <v>4G</v>
      </c>
      <c r="BP64" s="16"/>
      <c r="BQ64" s="16"/>
      <c r="BR64" s="16">
        <f t="shared" ca="1" si="155"/>
        <v>0</v>
      </c>
      <c r="BS64" s="16">
        <f t="shared" ca="1" si="156"/>
        <v>2</v>
      </c>
      <c r="BT64" s="16" t="str">
        <f t="shared" ca="1" si="157"/>
        <v>Pos. 2 (11)</v>
      </c>
      <c r="BU64" s="16">
        <f t="shared" ca="1" si="158"/>
        <v>0</v>
      </c>
      <c r="BV64" s="16">
        <f t="shared" ca="1" si="159"/>
        <v>2</v>
      </c>
      <c r="BW64" s="16" t="str">
        <f t="shared" ca="1" si="160"/>
        <v>Pos. 2 (10)</v>
      </c>
      <c r="BX64" s="16">
        <f t="shared" ca="1" si="161"/>
        <v>0</v>
      </c>
      <c r="BY64" s="16">
        <f t="shared" ca="1" si="162"/>
        <v>2</v>
      </c>
      <c r="BZ64" s="16" t="str">
        <f t="shared" ca="1" si="163"/>
        <v>Pos. 2 (10)</v>
      </c>
      <c r="CA64" s="16">
        <f t="shared" ca="1" si="164"/>
        <v>4</v>
      </c>
      <c r="CB64" s="16">
        <f t="shared" ca="1" si="165"/>
        <v>8</v>
      </c>
      <c r="CC64" s="16"/>
      <c r="CD64" s="16">
        <f t="shared" ca="1" si="166"/>
        <v>8</v>
      </c>
      <c r="CE64" s="16">
        <f t="shared" ca="1" si="167"/>
        <v>7</v>
      </c>
      <c r="CF64" s="16">
        <f t="shared" ca="1" si="168"/>
        <v>8</v>
      </c>
      <c r="DJ64" s="16">
        <f t="shared" ca="1" si="169"/>
        <v>2</v>
      </c>
      <c r="DK64" s="16"/>
      <c r="DL64" s="16">
        <f t="shared" ca="1" si="170"/>
        <v>1</v>
      </c>
      <c r="DM64" s="16" t="str">
        <f t="shared" ca="1" si="171"/>
        <v>2.1</v>
      </c>
      <c r="DN64" s="16">
        <f t="array" aca="1" ref="DN64" ca="1">OFFSET(Horarios!$P$3,DJ64-1,0,DL64,1)</f>
        <v>2</v>
      </c>
      <c r="DO64" s="16"/>
      <c r="DP64" s="16">
        <v>7</v>
      </c>
      <c r="DQ64" s="16" t="str">
        <f t="shared" ca="1" si="172"/>
        <v>Irak</v>
      </c>
    </row>
    <row r="65" spans="1:121" ht="16.05" customHeight="1" thickBot="1">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8"/>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Uruguay</v>
      </c>
      <c r="AM65" s="46">
        <f t="shared" ca="1" si="195"/>
        <v>0</v>
      </c>
      <c r="AN65" s="47">
        <f t="shared" ca="1" si="195"/>
        <v>0</v>
      </c>
      <c r="AO65" s="47">
        <f t="shared" ca="1" si="195"/>
        <v>0</v>
      </c>
      <c r="AP65" s="47">
        <f t="shared" ca="1" si="195"/>
        <v>0</v>
      </c>
      <c r="AQ65" s="47">
        <f t="shared" ca="1" si="195"/>
        <v>0</v>
      </c>
      <c r="AR65" s="47">
        <f t="shared" ca="1" si="195"/>
        <v>0</v>
      </c>
      <c r="AS65" s="47">
        <f t="shared" ca="1" si="195"/>
        <v>0</v>
      </c>
      <c r="AT65" s="48">
        <f t="shared" ca="1" si="195"/>
        <v>0</v>
      </c>
      <c r="AU65" s="323">
        <f ca="1">INDEX($DL$6:$DL$53,MATCH(AI65,$DP$6:$DP$53,0))</f>
        <v>1</v>
      </c>
      <c r="AV65" s="182" t="str">
        <f ca="1">INDEX($BD$6:$BD$53,MATCH(AI65,$BM$6:$BM$53,0))</f>
        <v>Uruguay</v>
      </c>
      <c r="AW65" s="210"/>
      <c r="AX65" s="171"/>
      <c r="AY65" s="205" t="str">
        <f ca="1">+A64</f>
        <v>Uruguay</v>
      </c>
      <c r="AZ65" s="206"/>
      <c r="BA65" s="176"/>
      <c r="BB65" s="16" t="str">
        <f t="shared" si="173"/>
        <v>3H</v>
      </c>
      <c r="BC65" s="16" t="s">
        <v>126</v>
      </c>
      <c r="BD65" s="16" t="str">
        <f t="shared" ca="1" si="149"/>
        <v>Arabia Saudita</v>
      </c>
      <c r="BE65" s="16">
        <f t="shared" ca="1" si="193"/>
        <v>0</v>
      </c>
      <c r="BF65" s="16">
        <f t="shared" ca="1" si="150"/>
        <v>0</v>
      </c>
      <c r="BG65" s="16">
        <f t="shared" ca="1" si="174"/>
        <v>0</v>
      </c>
      <c r="BH65" s="16">
        <f t="shared" ca="1" si="175"/>
        <v>0</v>
      </c>
      <c r="BI65" s="16">
        <f t="shared" ca="1" si="176"/>
        <v>0</v>
      </c>
      <c r="BJ65" s="16">
        <f t="shared" ca="1" si="177"/>
        <v>0</v>
      </c>
      <c r="BK65" s="16">
        <f t="shared" ca="1" si="178"/>
        <v>0</v>
      </c>
      <c r="BL65" s="16">
        <f t="shared" ca="1" si="151"/>
        <v>0</v>
      </c>
      <c r="BM65" s="16">
        <f t="shared" ca="1" si="152"/>
        <v>2</v>
      </c>
      <c r="BN65" s="16">
        <f t="shared" ca="1" si="153"/>
        <v>2</v>
      </c>
      <c r="BO65" s="16" t="str">
        <f t="shared" si="154"/>
        <v>4H</v>
      </c>
      <c r="BP65" s="16"/>
      <c r="BQ65" s="16"/>
      <c r="BR65" s="16">
        <f t="shared" ca="1" si="155"/>
        <v>0</v>
      </c>
      <c r="BS65" s="16">
        <f t="shared" ca="1" si="156"/>
        <v>2</v>
      </c>
      <c r="BT65" s="16" t="str">
        <f t="shared" ca="1" si="157"/>
        <v>Pos. 2 (11)</v>
      </c>
      <c r="BU65" s="16">
        <f t="shared" ca="1" si="158"/>
        <v>0</v>
      </c>
      <c r="BV65" s="16">
        <f t="shared" ca="1" si="159"/>
        <v>2</v>
      </c>
      <c r="BW65" s="16" t="str">
        <f t="shared" ca="1" si="160"/>
        <v>Pos. 2 (10)</v>
      </c>
      <c r="BX65" s="16">
        <f t="shared" ca="1" si="161"/>
        <v>0</v>
      </c>
      <c r="BY65" s="16">
        <f t="shared" ca="1" si="162"/>
        <v>2</v>
      </c>
      <c r="BZ65" s="16" t="str">
        <f t="shared" ca="1" si="163"/>
        <v>Pos. 2 (10)</v>
      </c>
      <c r="CA65" s="16">
        <f t="shared" ca="1" si="164"/>
        <v>11</v>
      </c>
      <c r="CB65" s="16">
        <f t="shared" ca="1" si="165"/>
        <v>2</v>
      </c>
      <c r="CC65" s="16"/>
      <c r="CD65" s="16">
        <f t="shared" ca="1" si="166"/>
        <v>2</v>
      </c>
      <c r="CE65" s="16">
        <f t="shared" ca="1" si="167"/>
        <v>1</v>
      </c>
      <c r="CF65" s="16">
        <f t="shared" ca="1" si="168"/>
        <v>2</v>
      </c>
      <c r="DJ65" s="16">
        <f t="shared" ca="1" si="169"/>
        <v>2</v>
      </c>
      <c r="DK65" s="16"/>
      <c r="DL65" s="16">
        <f t="shared" ca="1" si="170"/>
        <v>1</v>
      </c>
      <c r="DM65" s="16" t="str">
        <f t="shared" ca="1" si="171"/>
        <v>2.1</v>
      </c>
      <c r="DN65" s="16">
        <f t="array" aca="1" ref="DN65" ca="1">OFFSET(Horarios!$P$3,DJ65-1,0,DL65,1)</f>
        <v>2</v>
      </c>
      <c r="DO65" s="16"/>
      <c r="DP65" s="16">
        <v>8</v>
      </c>
      <c r="DQ65" s="16" t="str">
        <f t="shared" ca="1" si="172"/>
        <v>Irán</v>
      </c>
    </row>
    <row r="66" spans="1:121" ht="16.05" customHeight="1" thickBot="1">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7</v>
      </c>
      <c r="BN66" s="16">
        <f t="shared" ca="1" si="153"/>
        <v>7</v>
      </c>
      <c r="BO66" s="16" t="str">
        <f t="shared" si="154"/>
        <v>4I</v>
      </c>
      <c r="BP66" s="16"/>
      <c r="BQ66" s="16"/>
      <c r="BR66" s="16">
        <f t="shared" ca="1" si="155"/>
        <v>0</v>
      </c>
      <c r="BS66" s="16">
        <f t="shared" ca="1" si="156"/>
        <v>2</v>
      </c>
      <c r="BT66" s="16" t="str">
        <f t="shared" ca="1" si="157"/>
        <v>Pos. 2 (11)</v>
      </c>
      <c r="BU66" s="16">
        <f t="shared" ca="1" si="158"/>
        <v>0</v>
      </c>
      <c r="BV66" s="16">
        <f t="shared" ca="1" si="159"/>
        <v>2</v>
      </c>
      <c r="BW66" s="16" t="str">
        <f t="shared" ca="1" si="160"/>
        <v>Pos. 2 (10)</v>
      </c>
      <c r="BX66" s="16">
        <f t="shared" ca="1" si="161"/>
        <v>0</v>
      </c>
      <c r="BY66" s="16">
        <f t="shared" ca="1" si="162"/>
        <v>2</v>
      </c>
      <c r="BZ66" s="16" t="str">
        <f t="shared" ca="1" si="163"/>
        <v>Pos. 2 (10)</v>
      </c>
      <c r="CA66" s="16">
        <f t="shared" ca="1" si="164"/>
        <v>5</v>
      </c>
      <c r="CB66" s="16">
        <f t="shared" ca="1" si="165"/>
        <v>7</v>
      </c>
      <c r="CC66" s="16"/>
      <c r="CD66" s="16">
        <f t="shared" ca="1" si="166"/>
        <v>7</v>
      </c>
      <c r="CE66" s="16">
        <f t="shared" ca="1" si="167"/>
        <v>6</v>
      </c>
      <c r="CF66" s="16">
        <f t="shared" ca="1" si="168"/>
        <v>7</v>
      </c>
      <c r="DJ66" s="16">
        <f t="shared" ca="1" si="169"/>
        <v>2</v>
      </c>
      <c r="DK66" s="16"/>
      <c r="DL66" s="16">
        <f t="shared" ca="1" si="170"/>
        <v>1</v>
      </c>
      <c r="DM66" s="16" t="str">
        <f t="shared" ca="1" si="171"/>
        <v>2.1</v>
      </c>
      <c r="DN66" s="16">
        <f t="array" aca="1" ref="DN66" ca="1">OFFSET(Horarios!$P$3,DJ66-1,0,DL66,1)</f>
        <v>2</v>
      </c>
      <c r="DO66" s="16"/>
      <c r="DP66" s="16">
        <v>9</v>
      </c>
      <c r="DQ66" s="16" t="str">
        <f t="shared" ca="1" si="172"/>
        <v>Suecia</v>
      </c>
    </row>
    <row r="67" spans="1:121" ht="16.05"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3</v>
      </c>
      <c r="BN67" s="16">
        <f t="shared" ca="1" si="153"/>
        <v>3</v>
      </c>
      <c r="BO67" s="16" t="str">
        <f t="shared" si="154"/>
        <v>4J</v>
      </c>
      <c r="BP67" s="16"/>
      <c r="BQ67" s="16"/>
      <c r="BR67" s="16">
        <f t="shared" ca="1" si="155"/>
        <v>0</v>
      </c>
      <c r="BS67" s="16">
        <f t="shared" ca="1" si="156"/>
        <v>2</v>
      </c>
      <c r="BT67" s="16" t="str">
        <f t="shared" ca="1" si="157"/>
        <v>Pos. 2 (11)</v>
      </c>
      <c r="BU67" s="16">
        <f t="shared" ca="1" si="158"/>
        <v>0</v>
      </c>
      <c r="BV67" s="16">
        <f t="shared" ca="1" si="159"/>
        <v>2</v>
      </c>
      <c r="BW67" s="16" t="str">
        <f t="shared" ca="1" si="160"/>
        <v>Pos. 2 (10)</v>
      </c>
      <c r="BX67" s="16">
        <f t="shared" ca="1" si="161"/>
        <v>0</v>
      </c>
      <c r="BY67" s="16">
        <f t="shared" ca="1" si="162"/>
        <v>2</v>
      </c>
      <c r="BZ67" s="16" t="str">
        <f t="shared" ca="1" si="163"/>
        <v>Pos. 2 (10)</v>
      </c>
      <c r="CA67" s="16">
        <f t="shared" ca="1" si="164"/>
        <v>10</v>
      </c>
      <c r="CB67" s="16">
        <f t="shared" ca="1" si="165"/>
        <v>3</v>
      </c>
      <c r="CC67" s="16"/>
      <c r="CD67" s="16">
        <f t="shared" ca="1" si="166"/>
        <v>3</v>
      </c>
      <c r="CE67" s="16">
        <f t="shared" ca="1" si="167"/>
        <v>2</v>
      </c>
      <c r="CF67" s="16">
        <f t="shared" ca="1" si="168"/>
        <v>3</v>
      </c>
      <c r="DJ67" s="16">
        <f t="shared" ca="1" si="169"/>
        <v>2</v>
      </c>
      <c r="DK67" s="16"/>
      <c r="DL67" s="16">
        <f t="shared" ca="1" si="170"/>
        <v>1</v>
      </c>
      <c r="DM67" s="16" t="str">
        <f t="shared" ca="1" si="171"/>
        <v>2.1</v>
      </c>
      <c r="DN67" s="16">
        <f t="array" aca="1" ref="DN67" ca="1">OFFSET(Horarios!$P$3,DJ67-1,0,DL67,1)</f>
        <v>2</v>
      </c>
      <c r="DO67" s="16"/>
      <c r="DP67" s="16">
        <v>10</v>
      </c>
      <c r="DQ67" s="16" t="str">
        <f t="shared" ca="1" si="172"/>
        <v>Turquía</v>
      </c>
    </row>
    <row r="68" spans="1:121" ht="16.05" customHeight="1" thickBot="1">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44"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11</v>
      </c>
      <c r="BN68" s="16">
        <f t="shared" ca="1" si="153"/>
        <v>11</v>
      </c>
      <c r="BO68" s="16" t="str">
        <f t="shared" si="154"/>
        <v>4K</v>
      </c>
      <c r="BP68" s="16"/>
      <c r="BQ68" s="16"/>
      <c r="BR68" s="16">
        <f t="shared" ca="1" si="155"/>
        <v>0</v>
      </c>
      <c r="BS68" s="16">
        <f t="shared" ca="1" si="156"/>
        <v>2</v>
      </c>
      <c r="BT68" s="16" t="str">
        <f t="shared" ca="1" si="157"/>
        <v>Pos. 2 (11)</v>
      </c>
      <c r="BU68" s="16">
        <f t="shared" ca="1" si="158"/>
        <v>0</v>
      </c>
      <c r="BV68" s="16">
        <f t="shared" ca="1" si="159"/>
        <v>2</v>
      </c>
      <c r="BW68" s="16" t="str">
        <f t="shared" ca="1" si="160"/>
        <v>Pos. 2 (10)</v>
      </c>
      <c r="BX68" s="16">
        <f t="shared" ca="1" si="161"/>
        <v>0</v>
      </c>
      <c r="BY68" s="16">
        <f t="shared" ca="1" si="162"/>
        <v>2</v>
      </c>
      <c r="BZ68" s="16" t="str">
        <f t="shared" ca="1" si="163"/>
        <v>Pos. 2 (10)</v>
      </c>
      <c r="CA68" s="16">
        <f t="shared" ca="1" si="164"/>
        <v>0</v>
      </c>
      <c r="CB68" s="16">
        <f t="shared" ca="1" si="165"/>
        <v>11</v>
      </c>
      <c r="CC68" s="16"/>
      <c r="CD68" s="16">
        <f t="shared" ca="1" si="166"/>
        <v>11</v>
      </c>
      <c r="CE68" s="16">
        <f t="shared" ca="1" si="167"/>
        <v>10</v>
      </c>
      <c r="CF68" s="16">
        <f t="shared" ca="1" si="168"/>
        <v>11</v>
      </c>
      <c r="DJ68" s="16">
        <f t="shared" ca="1" si="169"/>
        <v>2</v>
      </c>
      <c r="DK68" s="16"/>
      <c r="DL68" s="16">
        <f t="shared" ca="1" si="170"/>
        <v>1</v>
      </c>
      <c r="DM68" s="16" t="str">
        <f t="shared" ca="1" si="171"/>
        <v>2.1</v>
      </c>
      <c r="DN68" s="16">
        <f t="array" aca="1" ref="DN68" ca="1">OFFSET(Horarios!$P$3,DJ68-1,0,DL68,1)</f>
        <v>2</v>
      </c>
      <c r="DO68" s="16"/>
      <c r="DP68" s="16">
        <v>11</v>
      </c>
      <c r="DQ68" s="16" t="str">
        <f t="shared" ca="1" si="172"/>
        <v>Uzbekistán</v>
      </c>
    </row>
    <row r="69" spans="1:121" ht="16.05" customHeight="1">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7"/>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5</v>
      </c>
      <c r="BN69" s="16">
        <f t="shared" ca="1" si="153"/>
        <v>5</v>
      </c>
      <c r="BO69" s="16" t="str">
        <f t="shared" si="154"/>
        <v>4L</v>
      </c>
      <c r="BP69" s="16"/>
      <c r="BQ69" s="16"/>
      <c r="BR69" s="16">
        <f t="shared" ca="1" si="155"/>
        <v>0</v>
      </c>
      <c r="BS69" s="16">
        <f t="shared" ca="1" si="156"/>
        <v>2</v>
      </c>
      <c r="BT69" s="16" t="str">
        <f t="shared" ca="1" si="157"/>
        <v>Pos. 2 (11)</v>
      </c>
      <c r="BU69" s="16">
        <f t="shared" ca="1" si="158"/>
        <v>0</v>
      </c>
      <c r="BV69" s="16">
        <f t="shared" ca="1" si="159"/>
        <v>2</v>
      </c>
      <c r="BW69" s="16" t="str">
        <f t="shared" ca="1" si="160"/>
        <v>Pos. 2 (10)</v>
      </c>
      <c r="BX69" s="16">
        <f t="shared" ca="1" si="161"/>
        <v>0</v>
      </c>
      <c r="BY69" s="16">
        <f t="shared" ca="1" si="162"/>
        <v>2</v>
      </c>
      <c r="BZ69" s="16" t="str">
        <f t="shared" ca="1" si="163"/>
        <v>Pos. 2 (10)</v>
      </c>
      <c r="CA69" s="16">
        <f t="shared" ca="1" si="164"/>
        <v>7</v>
      </c>
      <c r="CB69" s="16">
        <f t="shared" ca="1" si="165"/>
        <v>5</v>
      </c>
      <c r="CC69" s="16"/>
      <c r="CD69" s="16">
        <f t="shared" ca="1" si="166"/>
        <v>5</v>
      </c>
      <c r="CE69" s="16">
        <f t="shared" ca="1" si="167"/>
        <v>4</v>
      </c>
      <c r="CF69" s="16">
        <f t="shared" ca="1" si="168"/>
        <v>5</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República Checa</v>
      </c>
    </row>
    <row r="70" spans="1:121" ht="16.05" customHeight="1">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7"/>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05" customHeight="1">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7"/>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05" customHeight="1">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7"/>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05" customHeight="1" thickBot="1">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8"/>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05" customHeight="1" thickBot="1">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05"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05" customHeight="1" thickBot="1">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26"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05" customHeight="1">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7"/>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05" customHeight="1">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7"/>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05" customHeight="1">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7"/>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05" customHeight="1">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7"/>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05" customHeight="1" thickBot="1">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8"/>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05" customHeight="1" thickBot="1">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05"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05" customHeight="1" thickBot="1">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9"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05" customHeight="1">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05" customHeight="1">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7"/>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05" customHeight="1">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7"/>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05" customHeight="1">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7"/>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05" customHeight="1" thickBot="1">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8"/>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05" customHeight="1" thickBot="1">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05"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05" customHeight="1" thickBot="1">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42"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05" customHeight="1">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7"/>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05" customHeight="1">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05" customHeight="1">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7"/>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05" customHeight="1">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7"/>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05" customHeight="1" thickBot="1">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8"/>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05" customHeight="1" thickBot="1">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05" customHeight="1" thickBot="1">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05" customHeight="1">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05" customHeight="1" thickBot="1">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5"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05" customHeight="1">
      <c r="A102" s="16" t="s">
        <v>88</v>
      </c>
      <c r="B102" s="16" t="s">
        <v>141</v>
      </c>
      <c r="C102" s="16"/>
      <c r="D102" s="16" t="str">
        <f t="shared" si="260"/>
        <v>W76</v>
      </c>
      <c r="E102" s="16" t="s">
        <v>103</v>
      </c>
      <c r="F102" s="16" t="s">
        <v>142</v>
      </c>
      <c r="G102" s="16" t="s">
        <v>76</v>
      </c>
      <c r="H102" s="16">
        <f t="shared" ca="1" si="261"/>
        <v>4</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Catar</v>
      </c>
      <c r="AW102" s="215"/>
      <c r="AX102" s="170"/>
      <c r="AY102" s="154"/>
      <c r="AZ102" s="155"/>
      <c r="BA102" s="176"/>
      <c r="BE102" t="s">
        <v>144</v>
      </c>
      <c r="BF102" t="s">
        <v>145</v>
      </c>
      <c r="BG102" t="s">
        <v>146</v>
      </c>
      <c r="BI102" t="s">
        <v>147</v>
      </c>
    </row>
    <row r="103" spans="1:62" ht="16.05" customHeight="1">
      <c r="A103" s="16" t="s">
        <v>92</v>
      </c>
      <c r="B103" s="16" t="s">
        <v>80</v>
      </c>
      <c r="C103" s="16"/>
      <c r="D103" s="16" t="str">
        <f t="shared" si="260"/>
        <v>W74</v>
      </c>
      <c r="E103" s="16" t="s">
        <v>112</v>
      </c>
      <c r="F103" s="16" t="s">
        <v>85</v>
      </c>
      <c r="G103" s="16" t="s">
        <v>85</v>
      </c>
      <c r="H103" s="16">
        <f t="shared" ca="1" si="261"/>
        <v>2</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7"/>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Arabia Saudita</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05" customHeight="1">
      <c r="A104" s="16" t="s">
        <v>79</v>
      </c>
      <c r="B104" s="16" t="s">
        <v>93</v>
      </c>
      <c r="C104" s="16"/>
      <c r="D104" s="16" t="str">
        <f t="shared" si="260"/>
        <v>W75</v>
      </c>
      <c r="E104" s="16" t="s">
        <v>85</v>
      </c>
      <c r="F104" s="16" t="s">
        <v>112</v>
      </c>
      <c r="G104" s="16" t="s">
        <v>94</v>
      </c>
      <c r="H104" s="16">
        <f t="shared" ca="1" si="261"/>
        <v>2</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7"/>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Austria</v>
      </c>
      <c r="AW104" s="215"/>
      <c r="AX104" s="170"/>
      <c r="AY104" s="270"/>
      <c r="AZ104" s="273" t="str">
        <f t="shared" ca="1" si="272"/>
        <v/>
      </c>
      <c r="BA104" s="176"/>
      <c r="BF104" t="str">
        <f t="shared" ca="1" si="273"/>
        <v/>
      </c>
      <c r="BG104">
        <f t="shared" ca="1" si="274"/>
        <v>0</v>
      </c>
      <c r="BI104">
        <v>2</v>
      </c>
      <c r="BJ104" t="str">
        <f t="shared" ca="1" si="275"/>
        <v>Grupo</v>
      </c>
    </row>
    <row r="105" spans="1:62" ht="16.05" customHeight="1">
      <c r="A105" s="16" t="s">
        <v>106</v>
      </c>
      <c r="B105" s="16" t="s">
        <v>150</v>
      </c>
      <c r="C105" s="16"/>
      <c r="D105" s="16" t="str">
        <f t="shared" si="260"/>
        <v>W78</v>
      </c>
      <c r="E105" s="16" t="s">
        <v>127</v>
      </c>
      <c r="F105" s="16" t="s">
        <v>142</v>
      </c>
      <c r="G105" s="16" t="s">
        <v>103</v>
      </c>
      <c r="H105" s="16">
        <f t="shared" ca="1" si="261"/>
        <v>0</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Costa de Marfil</v>
      </c>
      <c r="AW105" s="215"/>
      <c r="AX105" s="170"/>
      <c r="AY105" s="270"/>
      <c r="AZ105" s="273" t="str">
        <f t="shared" ca="1" si="272"/>
        <v/>
      </c>
      <c r="BA105" s="176"/>
      <c r="BF105" t="str">
        <f t="shared" ca="1" si="273"/>
        <v/>
      </c>
      <c r="BG105">
        <f t="shared" ca="1" si="274"/>
        <v>0</v>
      </c>
      <c r="BI105">
        <v>3</v>
      </c>
      <c r="BJ105" t="str">
        <f t="shared" ca="1" si="275"/>
        <v>Grupo</v>
      </c>
    </row>
    <row r="106" spans="1:62" ht="16.05" customHeight="1">
      <c r="A106" s="16" t="s">
        <v>89</v>
      </c>
      <c r="B106" s="16" t="s">
        <v>107</v>
      </c>
      <c r="C106" s="16"/>
      <c r="D106" s="16" t="str">
        <f t="shared" si="260"/>
        <v>W77</v>
      </c>
      <c r="E106" s="16" t="s">
        <v>103</v>
      </c>
      <c r="F106" s="16" t="s">
        <v>127</v>
      </c>
      <c r="G106" s="16" t="s">
        <v>112</v>
      </c>
      <c r="H106" s="16">
        <f t="shared" ca="1" si="261"/>
        <v>0</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Ghana</v>
      </c>
      <c r="AW106" s="215"/>
      <c r="AX106" s="170"/>
      <c r="AY106" s="270"/>
      <c r="AZ106" s="273" t="str">
        <f t="shared" ca="1" si="272"/>
        <v/>
      </c>
      <c r="BA106" s="176"/>
      <c r="BF106" t="str">
        <f t="shared" ca="1" si="273"/>
        <v/>
      </c>
      <c r="BG106">
        <f t="shared" ca="1" si="274"/>
        <v>0</v>
      </c>
      <c r="BI106">
        <v>4</v>
      </c>
      <c r="BJ106" t="str">
        <f t="shared" ca="1" si="275"/>
        <v>Grupo</v>
      </c>
    </row>
    <row r="107" spans="1:62" ht="16.05" customHeight="1">
      <c r="A107" s="16" t="s">
        <v>70</v>
      </c>
      <c r="B107" s="16" t="s">
        <v>153</v>
      </c>
      <c r="C107" s="16"/>
      <c r="D107" s="16" t="str">
        <f t="shared" si="260"/>
        <v>W79</v>
      </c>
      <c r="E107" s="16" t="s">
        <v>16</v>
      </c>
      <c r="F107" s="16" t="s">
        <v>142</v>
      </c>
      <c r="G107" s="16" t="s">
        <v>121</v>
      </c>
      <c r="H107" s="16">
        <f t="shared" ca="1" si="261"/>
        <v>0</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7"/>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Haití</v>
      </c>
      <c r="AW107" s="215"/>
      <c r="AX107" s="170"/>
      <c r="AY107" s="270"/>
      <c r="AZ107" s="273" t="str">
        <f t="shared" ca="1" si="272"/>
        <v/>
      </c>
      <c r="BA107" s="176"/>
      <c r="BF107" t="str">
        <f t="shared" ca="1" si="273"/>
        <v/>
      </c>
      <c r="BG107">
        <f t="shared" ca="1" si="274"/>
        <v>0</v>
      </c>
      <c r="BI107">
        <v>5</v>
      </c>
      <c r="BJ107" t="str">
        <f t="shared" ca="1" si="275"/>
        <v>Grupo</v>
      </c>
    </row>
    <row r="108" spans="1:62" ht="16.05" customHeight="1">
      <c r="A108" s="16" t="s">
        <v>119</v>
      </c>
      <c r="B108" s="16" t="s">
        <v>155</v>
      </c>
      <c r="C108" s="16"/>
      <c r="D108" s="16" t="str">
        <f t="shared" si="260"/>
        <v>W80</v>
      </c>
      <c r="E108" s="16" t="s">
        <v>130</v>
      </c>
      <c r="F108" s="16" t="s">
        <v>142</v>
      </c>
      <c r="G108" s="16" t="s">
        <v>126</v>
      </c>
      <c r="H108" s="16">
        <f t="shared" ca="1" si="261"/>
        <v>0</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7"/>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Irak</v>
      </c>
      <c r="AW108" s="215"/>
      <c r="AX108" s="170"/>
      <c r="AY108" s="270"/>
      <c r="AZ108" s="273" t="str">
        <f t="shared" ca="1" si="272"/>
        <v/>
      </c>
      <c r="BA108" s="176"/>
      <c r="BF108" t="str">
        <f t="shared" ca="1" si="273"/>
        <v/>
      </c>
      <c r="BG108">
        <f t="shared" ca="1" si="274"/>
        <v>0</v>
      </c>
      <c r="BI108">
        <v>6</v>
      </c>
      <c r="BJ108" t="str">
        <f t="shared" ca="1" si="275"/>
        <v>Grupo</v>
      </c>
    </row>
    <row r="109" spans="1:62" ht="16.05" customHeight="1">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Irán</v>
      </c>
      <c r="AW109" s="215"/>
      <c r="AX109" s="170"/>
      <c r="AY109" s="270"/>
      <c r="AZ109" s="273" t="str">
        <f t="shared" ca="1" si="272"/>
        <v/>
      </c>
      <c r="BA109" s="176"/>
      <c r="BF109" t="str">
        <f t="shared" ca="1" si="273"/>
        <v/>
      </c>
      <c r="BG109">
        <f t="shared" ca="1" si="274"/>
        <v>0</v>
      </c>
      <c r="BI109">
        <v>7</v>
      </c>
      <c r="BJ109" t="str">
        <f t="shared" ca="1" si="275"/>
        <v>Grupo</v>
      </c>
    </row>
    <row r="110" spans="1:62" ht="16.05" customHeight="1">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Suecia</v>
      </c>
      <c r="AW110" s="215"/>
      <c r="AX110" s="170"/>
      <c r="AY110" s="270"/>
      <c r="AZ110" s="273" t="str">
        <f t="shared" ca="1" si="272"/>
        <v/>
      </c>
      <c r="BA110" s="176"/>
      <c r="BF110" t="str">
        <f t="shared" ca="1" si="273"/>
        <v/>
      </c>
      <c r="BG110">
        <f t="shared" ca="1" si="274"/>
        <v>0</v>
      </c>
      <c r="BI110">
        <v>8</v>
      </c>
      <c r="BJ110" t="str">
        <f t="shared" ca="1" si="275"/>
        <v>Grupo</v>
      </c>
    </row>
    <row r="111" spans="1:62" ht="16.05" customHeight="1">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7"/>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Turquía</v>
      </c>
      <c r="AW111" s="215"/>
      <c r="AX111" s="170"/>
      <c r="AY111" s="269"/>
      <c r="AZ111" s="269"/>
      <c r="BA111" s="176"/>
      <c r="BI111" t="s">
        <v>162</v>
      </c>
    </row>
    <row r="112" spans="1:62" ht="16.05" customHeight="1">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Uzbekistán</v>
      </c>
      <c r="AW112" s="215"/>
      <c r="AX112" s="170"/>
      <c r="AY112" s="269"/>
      <c r="AZ112" s="269"/>
      <c r="BA112" s="176"/>
      <c r="BI112" t="str">
        <f ca="1">IFERROR(CONCATENATE(BJ103,BJ104,BJ105,BJ106,BJ107,BJ108,BJ109,BJ110),"¿A/B/C/D/E/F/G/H/I/J/K/L?")</f>
        <v>GrupoGrupoGrupoGrupoGrupoGrupoGrupoGrupo</v>
      </c>
    </row>
    <row r="113" spans="1:59" ht="16.05" customHeight="1" thickBot="1">
      <c r="A113" s="16" t="s">
        <v>74</v>
      </c>
      <c r="B113" s="16" t="s">
        <v>164</v>
      </c>
      <c r="C113" s="16"/>
      <c r="D113" s="16" t="str">
        <f t="shared" si="260"/>
        <v>W85</v>
      </c>
      <c r="E113" s="16" t="s">
        <v>76</v>
      </c>
      <c r="F113" s="16" t="s">
        <v>142</v>
      </c>
      <c r="G113" s="16" t="s">
        <v>142</v>
      </c>
      <c r="H113" s="16">
        <f ca="1">+IF($AJ$99&lt;&gt;144,SUM(H101:H112),$AJ$99)</f>
        <v>12</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República Checa</v>
      </c>
      <c r="AW113" s="215"/>
      <c r="AX113" s="170"/>
      <c r="AY113" s="154"/>
      <c r="AZ113" s="155"/>
      <c r="BA113" s="176"/>
    </row>
    <row r="114" spans="1:59" ht="16.05" customHeight="1">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05" customHeight="1">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7"/>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05" customHeight="1" thickBot="1">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05"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05"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05"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05" customHeight="1">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7"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05" customHeight="1">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3"/>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05" customHeight="1">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3"/>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05" customHeight="1">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3"/>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05" customHeight="1">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3"/>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05" customHeight="1">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3"/>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05" customHeight="1">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3"/>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05" customHeight="1" thickBot="1">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4"/>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05"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05"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05"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05" customHeight="1">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2"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05" customHeight="1">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3"/>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05" customHeight="1">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3"/>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05" customHeight="1" thickBot="1">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4"/>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05"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05" customHeight="1" thickBot="1">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05" customHeight="1">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05" customHeight="1">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05" customHeight="1" thickBot="1">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05"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05"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05"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05" customHeight="1" thickBot="1">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05"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05"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05"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05" customHeight="1" thickBot="1">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05"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05"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05" customHeight="1">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05"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05"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05"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05"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05" customHeight="1">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05" customHeight="1" thickBot="1">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05"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05"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05"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05" customHeight="1" thickBot="1">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19.95"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05"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05" customHeight="1">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05" customHeight="1">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05" customHeight="1">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32"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1" priority="31" stopIfTrue="1">
      <formula>AC4=""</formula>
    </cfRule>
  </conditionalFormatting>
  <conditionalFormatting sqref="AJ8:AT8 AJ16:AT16 AJ24:AT24 AJ32:AT32 AJ40:AT40 AJ48:AT48 AJ56:AT56 AJ64:AT64 AJ72:AT72 AJ80:AT80 AJ88:AT88 AJ96:AT96 AJ110:AT113">
    <cfRule type="expression" dxfId="30" priority="5">
      <formula>AND(OR(SUM($AN$102:$AN$113)=36,$AJ$99=144),COUNTIF($AL$110:$AL$113,$AL8))</formula>
    </cfRule>
  </conditionalFormatting>
  <conditionalFormatting sqref="AJ9:AT9 AJ17:AT17 AJ25:AT25 AJ33:AT33 AJ41:AT41 AJ49:AT49 AJ57:AT57 AJ65:AT65 AJ73:AT73 AJ81:AT81 AJ89:AT89 AJ97:AT97">
    <cfRule type="expression" dxfId="29" priority="298" stopIfTrue="1">
      <formula>OR(SUM($AN6:$AN9)=12,$AJ$99=144)</formula>
    </cfRule>
  </conditionalFormatting>
  <conditionalFormatting sqref="AL115">
    <cfRule type="expression" dxfId="28" priority="2">
      <formula>IF($AJ$99=144,1,0)</formula>
    </cfRule>
  </conditionalFormatting>
  <conditionalFormatting sqref="AL116">
    <cfRule type="expression" dxfId="27" priority="1">
      <formula>IF($AJ$99=144,1,0)</formula>
    </cfRule>
  </conditionalFormatting>
  <conditionalFormatting sqref="AM102:AM113 AR102:AT113">
    <cfRule type="expression" dxfId="26" priority="710" stopIfTrue="1">
      <formula>$BB$57=3</formula>
    </cfRule>
  </conditionalFormatting>
  <conditionalFormatting sqref="AV6:AV9 AV14:AV17 AV22:AV25 AV30:AV33 AV38:AV41 AV46:AV49 AV54:AV57 AV62:AV65 AV70:AV73 AV78:AV81 AV86:AV89 AV94:AV97">
    <cfRule type="expression" dxfId="25" priority="916" stopIfTrue="1">
      <formula>INDEX($DL$6:$DL$53,MATCH($AL6,$DQ$6:$DQ$53,0))&gt;1</formula>
    </cfRule>
  </conditionalFormatting>
  <conditionalFormatting sqref="AV102:AV113">
    <cfRule type="expression" dxfId="24" priority="928" stopIfTrue="1">
      <formula>AND(INDEX($DL$58:$DL$69,MATCH($AL102,$DQ$58:$DQ$69,0))&gt;1,$H$113=144)</formula>
    </cfRule>
  </conditionalFormatting>
  <conditionalFormatting sqref="AW6:AW9 AW14:AW17 AW22:AW25 AW30:AW33 AW38:AW41 AW46:AW49 AW54:AW57 AW62:AW65 AW70:AW73 AW78:AW81 AW86:AW89 AW94:AW97">
    <cfRule type="expression" dxfId="23" priority="929" stopIfTrue="1">
      <formula>INDEX($DL$6:$DL$53,MATCH($AL6,$DQ$6:$DQ$53,0))&gt;1</formula>
    </cfRule>
  </conditionalFormatting>
  <conditionalFormatting sqref="AW102:AW113">
    <cfRule type="expression" dxfId="22" priority="941">
      <formula>AND(INDEX($DL$58:$DL$69,MATCH($AL102,$DQ$58:$DQ$69,0))&gt;1,$H$113=144)</formula>
    </cfRule>
  </conditionalFormatting>
  <conditionalFormatting sqref="AY5:AZ97">
    <cfRule type="expression" dxfId="21" priority="942">
      <formula>IF($AZ$3="No",1,0)</formula>
    </cfRule>
  </conditionalFormatting>
  <conditionalFormatting sqref="AY101:AZ101">
    <cfRule type="expression" dxfId="20"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4.4"/>
  <cols>
    <col min="1" max="1" width="10.77734375" style="13" customWidth="1"/>
    <col min="2" max="2" width="29.44140625" customWidth="1"/>
    <col min="3" max="3" width="35" customWidth="1"/>
    <col min="4" max="4" width="12.6640625" style="224" customWidth="1"/>
    <col min="5" max="8" width="10.77734375" style="224" customWidth="1"/>
    <col min="9" max="9" width="3.109375" style="224" customWidth="1"/>
    <col min="10" max="12" width="10.77734375" style="224" customWidth="1"/>
    <col min="13" max="13" width="3.6640625" style="224" customWidth="1"/>
    <col min="14" max="14" width="4.6640625" style="224" customWidth="1"/>
    <col min="15" max="15" width="4" customWidth="1"/>
    <col min="16" max="16" width="4.77734375" customWidth="1"/>
    <col min="17" max="19" width="10.77734375" style="1" hidden="1" customWidth="1"/>
    <col min="20" max="16384" width="10.77734375" style="1" hidden="1"/>
  </cols>
  <sheetData>
    <row r="1" spans="1:14" ht="19.95" customHeight="1">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19.95" customHeight="1" thickBot="1">
      <c r="A2" s="284"/>
      <c r="B2" s="285"/>
      <c r="C2" s="285"/>
      <c r="D2" s="360"/>
      <c r="E2" s="620"/>
      <c r="F2" s="620"/>
      <c r="G2" s="620"/>
      <c r="H2" s="620"/>
      <c r="I2" s="620"/>
      <c r="J2" s="620"/>
      <c r="K2" s="620"/>
      <c r="L2" s="620"/>
      <c r="M2" s="620"/>
      <c r="N2" s="620"/>
    </row>
    <row r="3" spans="1:14" ht="34.950000000000003" customHeight="1" thickBot="1">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05" customHeight="1">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c r="A11" s="347" t="s">
        <v>239</v>
      </c>
      <c r="B11" s="348" t="str">
        <f ca="1">CONCATENATE(WORLDCUP!AA21,"-",WORLDCUP!AF21)</f>
        <v>Haití-Escocia</v>
      </c>
      <c r="C11" s="342" t="str">
        <f>CONCATENATE(IF(WORLDCUP!AC21&gt;WORLDCUP!AD21,1,IF(WORLDCUP!AC21&lt;WORLDCUP!AD21,2,IF(AND(WORLDCUP!AC21=WORLDCUP!AD21,WORLDCUP!AC21&lt;&gt;"",WORLDCUP!AD21&lt;&gt;""),"X",0))),"|",WORLDCUP!AC21,"-",WORLDCUP!AD21)</f>
        <v>0|-</v>
      </c>
      <c r="D11" s="656"/>
      <c r="E11" s="361"/>
      <c r="F11" s="361"/>
      <c r="G11" s="361"/>
      <c r="H11" s="361"/>
      <c r="I11" s="372"/>
      <c r="J11" s="361"/>
      <c r="K11" s="361"/>
      <c r="L11" s="361"/>
      <c r="M11" s="370"/>
      <c r="N11" s="368"/>
    </row>
    <row r="12" spans="1:14" ht="15" customHeight="1">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0|-</v>
      </c>
      <c r="D13" s="656"/>
      <c r="E13" s="361"/>
      <c r="F13" s="361"/>
      <c r="G13" s="361"/>
      <c r="H13" s="361"/>
      <c r="I13" s="372"/>
      <c r="J13" s="361"/>
      <c r="K13" s="361"/>
      <c r="L13" s="361"/>
      <c r="M13" s="370"/>
      <c r="N13" s="368"/>
    </row>
    <row r="14" spans="1:14" ht="15" customHeight="1">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0|-</v>
      </c>
      <c r="D14" s="656"/>
      <c r="E14" s="361"/>
      <c r="F14" s="361"/>
      <c r="G14" s="361"/>
      <c r="H14" s="361"/>
      <c r="I14" s="372"/>
      <c r="J14" s="361"/>
      <c r="K14" s="361"/>
      <c r="L14" s="361"/>
      <c r="M14" s="370"/>
      <c r="N14" s="368"/>
    </row>
    <row r="15" spans="1:14" ht="15" customHeight="1">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0|-</v>
      </c>
      <c r="D15" s="656"/>
      <c r="E15" s="361"/>
      <c r="F15" s="361"/>
      <c r="G15" s="361"/>
      <c r="H15" s="361"/>
      <c r="I15" s="372"/>
      <c r="J15" s="361"/>
      <c r="K15" s="361"/>
      <c r="L15" s="361"/>
      <c r="M15" s="370"/>
      <c r="N15" s="368"/>
    </row>
    <row r="16" spans="1:14" ht="15" customHeight="1">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0|-</v>
      </c>
      <c r="D16" s="656"/>
      <c r="E16" s="361"/>
      <c r="F16" s="361"/>
      <c r="G16" s="361"/>
      <c r="H16" s="361"/>
      <c r="I16" s="372"/>
      <c r="J16" s="361"/>
      <c r="K16" s="361"/>
      <c r="L16" s="361"/>
      <c r="M16" s="370"/>
      <c r="N16" s="368"/>
    </row>
    <row r="17" spans="1:14" ht="15" customHeight="1">
      <c r="A17" s="38" t="s">
        <v>242</v>
      </c>
      <c r="B17" s="349" t="str">
        <f ca="1">CONCATENATE(WORLDCUP!AA45,"-",WORLDCUP!AF45)</f>
        <v>Suecia-Túnez</v>
      </c>
      <c r="C17" s="342" t="str">
        <f>CONCATENATE(IF(WORLDCUP!AC45&gt;WORLDCUP!AD45,1,IF(WORLDCUP!AC45&lt;WORLDCUP!AD45,2,IF(AND(WORLDCUP!AC45=WORLDCUP!AD45,WORLDCUP!AC45&lt;&gt;"",WORLDCUP!AD45&lt;&gt;""),"X",0))),"|",WORLDCUP!AC45,"-",WORLDCUP!AD45)</f>
        <v>0|-</v>
      </c>
      <c r="D17" s="656"/>
      <c r="E17" s="361"/>
      <c r="F17" s="361"/>
      <c r="G17" s="361"/>
      <c r="H17" s="361"/>
      <c r="I17" s="372"/>
      <c r="J17" s="361"/>
      <c r="K17" s="361"/>
      <c r="L17" s="361"/>
      <c r="M17" s="370"/>
      <c r="N17" s="368"/>
    </row>
    <row r="18" spans="1:14" ht="15" customHeight="1">
      <c r="A18" s="347" t="s">
        <v>243</v>
      </c>
      <c r="B18" s="348" t="str">
        <f ca="1">CONCATENATE(WORLDCUP!AA52,"-",WORLDCUP!AF52)</f>
        <v>Bélgica-Egipto</v>
      </c>
      <c r="C18" s="342" t="str">
        <f>CONCATENATE(IF(WORLDCUP!AC52&gt;WORLDCUP!AD52,1,IF(WORLDCUP!AC52&lt;WORLDCUP!AD52,2,IF(AND(WORLDCUP!AC52=WORLDCUP!AD52,WORLDCUP!AC52&lt;&gt;"",WORLDCUP!AD52&lt;&gt;""),"X",0))),"|",WORLDCUP!AC52,"-",WORLDCUP!AD52)</f>
        <v>0|-</v>
      </c>
      <c r="D18" s="656"/>
      <c r="E18" s="361"/>
      <c r="F18" s="361"/>
      <c r="G18" s="361"/>
      <c r="H18" s="361"/>
      <c r="I18" s="372"/>
      <c r="J18" s="361"/>
      <c r="K18" s="361"/>
      <c r="L18" s="361"/>
      <c r="M18" s="370"/>
      <c r="N18" s="368"/>
    </row>
    <row r="19" spans="1:14" ht="15" customHeight="1">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6"/>
      <c r="E19" s="361"/>
      <c r="F19" s="361"/>
      <c r="G19" s="361"/>
      <c r="H19" s="361"/>
      <c r="I19" s="372"/>
      <c r="J19" s="361"/>
      <c r="K19" s="361"/>
      <c r="L19" s="361"/>
      <c r="M19" s="370"/>
      <c r="N19" s="368"/>
    </row>
    <row r="20" spans="1:14" ht="15" customHeight="1">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0|-</v>
      </c>
      <c r="D20" s="656"/>
      <c r="E20" s="361"/>
      <c r="F20" s="361"/>
      <c r="G20" s="361"/>
      <c r="H20" s="361"/>
      <c r="I20" s="372"/>
      <c r="J20" s="361"/>
      <c r="K20" s="361"/>
      <c r="L20" s="361"/>
      <c r="M20" s="370"/>
      <c r="N20" s="368"/>
    </row>
    <row r="21" spans="1:14" ht="15" customHeight="1">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0|-</v>
      </c>
      <c r="D21" s="656"/>
      <c r="E21" s="361"/>
      <c r="F21" s="361"/>
      <c r="G21" s="361"/>
      <c r="H21" s="361"/>
      <c r="I21" s="372"/>
      <c r="J21" s="361"/>
      <c r="K21" s="361"/>
      <c r="L21" s="361"/>
      <c r="M21" s="370"/>
      <c r="N21" s="368"/>
    </row>
    <row r="22" spans="1:14" ht="15" customHeight="1">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6"/>
      <c r="E22" s="361"/>
      <c r="F22" s="361"/>
      <c r="G22" s="361"/>
      <c r="H22" s="361"/>
      <c r="I22" s="372"/>
      <c r="J22" s="361"/>
      <c r="K22" s="361"/>
      <c r="L22" s="361"/>
      <c r="M22" s="370"/>
      <c r="N22" s="368"/>
    </row>
    <row r="23" spans="1:14" ht="15" customHeight="1">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6"/>
      <c r="E23" s="361"/>
      <c r="F23" s="361"/>
      <c r="G23" s="361"/>
      <c r="H23" s="361"/>
      <c r="I23" s="372"/>
      <c r="J23" s="361"/>
      <c r="K23" s="361"/>
      <c r="L23" s="361"/>
      <c r="M23" s="370"/>
      <c r="N23" s="368"/>
    </row>
    <row r="24" spans="1:14" ht="15" customHeight="1">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6"/>
      <c r="E24" s="361"/>
      <c r="F24" s="361"/>
      <c r="G24" s="361"/>
      <c r="H24" s="361"/>
      <c r="I24" s="372"/>
      <c r="J24" s="361"/>
      <c r="K24" s="361"/>
      <c r="L24" s="361"/>
      <c r="M24" s="370"/>
      <c r="N24" s="368"/>
    </row>
    <row r="25" spans="1:14" ht="15" customHeight="1">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6"/>
      <c r="E25" s="361"/>
      <c r="F25" s="361"/>
      <c r="G25" s="361"/>
      <c r="H25" s="361"/>
      <c r="I25" s="372"/>
      <c r="J25" s="361"/>
      <c r="K25" s="361"/>
      <c r="L25" s="361"/>
      <c r="M25" s="370"/>
      <c r="N25" s="368"/>
    </row>
    <row r="26" spans="1:14" ht="15" customHeight="1">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6"/>
      <c r="E26" s="361"/>
      <c r="F26" s="361"/>
      <c r="G26" s="361"/>
      <c r="H26" s="361"/>
      <c r="I26" s="372"/>
      <c r="J26" s="361"/>
      <c r="K26" s="361"/>
      <c r="L26" s="361"/>
      <c r="M26" s="370"/>
      <c r="N26" s="368"/>
    </row>
    <row r="27" spans="1:14" ht="15" customHeight="1">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6"/>
      <c r="E27" s="361"/>
      <c r="F27" s="361"/>
      <c r="G27" s="361"/>
      <c r="H27" s="361"/>
      <c r="I27" s="372"/>
      <c r="J27" s="361"/>
      <c r="K27" s="361"/>
      <c r="L27" s="361"/>
      <c r="M27" s="370"/>
      <c r="N27" s="368"/>
    </row>
    <row r="28" spans="1:14" ht="15" customHeight="1">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6"/>
      <c r="E28" s="361"/>
      <c r="F28" s="361"/>
      <c r="G28" s="361"/>
      <c r="H28" s="361"/>
      <c r="I28" s="372"/>
      <c r="J28" s="361"/>
      <c r="K28" s="361"/>
      <c r="L28" s="361"/>
      <c r="M28" s="370"/>
      <c r="N28" s="368"/>
    </row>
    <row r="29" spans="1:14" ht="15" customHeight="1">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62"/>
      <c r="E29" s="363"/>
      <c r="F29" s="363"/>
      <c r="G29" s="363"/>
      <c r="H29" s="363"/>
      <c r="I29" s="372"/>
      <c r="J29" s="361"/>
      <c r="K29" s="361"/>
      <c r="L29" s="361"/>
      <c r="M29" s="370"/>
      <c r="N29" s="368"/>
    </row>
    <row r="30" spans="1:14" ht="15" customHeight="1">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6"/>
      <c r="E31" s="656"/>
      <c r="F31" s="656"/>
      <c r="G31" s="656"/>
      <c r="H31" s="656"/>
      <c r="I31" s="372"/>
      <c r="J31" s="361"/>
      <c r="K31" s="361"/>
      <c r="L31" s="361"/>
      <c r="M31" s="370"/>
      <c r="N31" s="368"/>
    </row>
    <row r="32" spans="1:14" ht="15" customHeight="1">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6"/>
      <c r="E32" s="656"/>
      <c r="F32" s="656"/>
      <c r="G32" s="656"/>
      <c r="H32" s="656"/>
      <c r="I32" s="372"/>
      <c r="J32" s="361"/>
      <c r="K32" s="361"/>
      <c r="L32" s="361"/>
      <c r="M32" s="370"/>
      <c r="N32" s="368"/>
    </row>
    <row r="33" spans="1:14" ht="15" customHeight="1">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6"/>
      <c r="E33" s="656"/>
      <c r="F33" s="656"/>
      <c r="G33" s="656"/>
      <c r="H33" s="656"/>
      <c r="I33" s="372"/>
      <c r="J33" s="361"/>
      <c r="K33" s="361"/>
      <c r="L33" s="361"/>
      <c r="M33" s="370"/>
      <c r="N33" s="368"/>
    </row>
    <row r="34" spans="1:14" ht="15" customHeight="1">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6"/>
      <c r="E34" s="361"/>
      <c r="F34" s="361"/>
      <c r="G34" s="361"/>
      <c r="H34" s="361"/>
      <c r="I34" s="372"/>
      <c r="J34" s="361"/>
      <c r="K34" s="361"/>
      <c r="L34" s="361"/>
      <c r="M34" s="370"/>
      <c r="N34" s="368"/>
    </row>
    <row r="35" spans="1:14" ht="15" customHeight="1">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6"/>
      <c r="E35" s="361"/>
      <c r="F35" s="361"/>
      <c r="G35" s="361"/>
      <c r="H35" s="361"/>
      <c r="I35" s="372"/>
      <c r="J35" s="361"/>
      <c r="K35" s="361"/>
      <c r="L35" s="361"/>
      <c r="M35" s="370"/>
      <c r="N35" s="368"/>
    </row>
    <row r="36" spans="1:14" ht="15" customHeight="1">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6"/>
      <c r="E36" s="361"/>
      <c r="F36" s="361"/>
      <c r="G36" s="361"/>
      <c r="H36" s="361"/>
      <c r="I36" s="372"/>
      <c r="J36" s="361"/>
      <c r="K36" s="361"/>
      <c r="L36" s="361"/>
      <c r="M36" s="370"/>
      <c r="N36" s="368"/>
    </row>
    <row r="37" spans="1:14" ht="15" customHeight="1">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6"/>
      <c r="E37" s="361"/>
      <c r="F37" s="361"/>
      <c r="G37" s="361"/>
      <c r="H37" s="361"/>
      <c r="I37" s="372"/>
      <c r="J37" s="361"/>
      <c r="K37" s="361"/>
      <c r="L37" s="361"/>
      <c r="M37" s="370"/>
      <c r="N37" s="368"/>
    </row>
    <row r="38" spans="1:14" ht="15" customHeight="1">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c r="A78" s="223"/>
      <c r="B78" s="223"/>
      <c r="C78" s="343"/>
      <c r="D78" s="656"/>
      <c r="E78" s="361"/>
      <c r="F78" s="361"/>
      <c r="G78" s="361"/>
      <c r="H78" s="361"/>
      <c r="I78" s="372"/>
      <c r="J78" s="361"/>
      <c r="K78" s="361"/>
      <c r="L78" s="361"/>
      <c r="M78" s="370"/>
      <c r="N78" s="368"/>
    </row>
    <row r="79" spans="1:14" ht="19.05" customHeight="1">
      <c r="A79" s="223"/>
      <c r="B79" s="350" t="str">
        <f>Idiomas!D126</f>
        <v>POSICIÓN GRUPOS</v>
      </c>
      <c r="C79" s="343"/>
      <c r="D79" s="656"/>
      <c r="E79" s="361"/>
      <c r="F79" s="361"/>
      <c r="G79" s="361"/>
      <c r="H79" s="361"/>
      <c r="I79" s="372"/>
      <c r="J79" s="361"/>
      <c r="K79" s="361"/>
      <c r="L79" s="361"/>
      <c r="M79" s="370"/>
      <c r="N79" s="368"/>
    </row>
    <row r="80" spans="1:14" ht="15" customHeight="1">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c r="A81" s="620"/>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c r="A82" s="620"/>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c r="A83" s="620"/>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c r="A85" s="620"/>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c r="A86" s="620"/>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c r="A87" s="620"/>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c r="A89" s="620"/>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c r="A90" s="620"/>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c r="A91" s="620"/>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c r="A93" s="620"/>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c r="A94" s="620"/>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c r="A95" s="620"/>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c r="A97" s="620"/>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c r="A98" s="620"/>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c r="A99" s="620"/>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c r="A101" s="620"/>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c r="A102" s="620"/>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c r="A103" s="620"/>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c r="A105" s="620"/>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c r="A106" s="620"/>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c r="A107" s="620"/>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c r="A109" s="620"/>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c r="A110" s="620"/>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c r="A111" s="620"/>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c r="A113" s="620"/>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c r="A114" s="620"/>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c r="A115" s="620"/>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c r="A117" s="620"/>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c r="A118" s="620"/>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c r="A119" s="620"/>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c r="A121" s="620"/>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c r="A122" s="620"/>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c r="A123" s="620"/>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c r="A125" s="620"/>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c r="A126" s="620"/>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c r="A127" s="620"/>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c r="A128" s="223"/>
      <c r="B128" s="223"/>
      <c r="C128" s="343"/>
      <c r="D128" s="656"/>
      <c r="E128" s="361"/>
      <c r="F128" s="361"/>
      <c r="G128" s="361"/>
      <c r="H128" s="361"/>
      <c r="I128" s="372"/>
      <c r="J128" s="361"/>
      <c r="K128" s="361"/>
      <c r="L128" s="361"/>
      <c r="M128" s="370"/>
      <c r="N128" s="368"/>
    </row>
    <row r="129" spans="1:14" ht="19.05" customHeight="1">
      <c r="A129" s="223"/>
      <c r="B129" s="350" t="str">
        <f>Idiomas!D127</f>
        <v>CLASIFICADOS PARA DIECISEISAVOS</v>
      </c>
      <c r="C129" s="343"/>
      <c r="D129" s="656"/>
      <c r="E129" s="361"/>
      <c r="F129" s="361"/>
      <c r="G129" s="361"/>
      <c r="H129" s="361"/>
      <c r="I129" s="372"/>
      <c r="J129" s="361"/>
      <c r="K129" s="361"/>
      <c r="L129" s="361"/>
      <c r="M129" s="370"/>
      <c r="N129" s="368"/>
    </row>
    <row r="130" spans="1:14" ht="15" customHeight="1">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c r="A131" s="620"/>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c r="A132" s="620"/>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c r="A133" s="620"/>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c r="A134" s="620"/>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c r="A135" s="620"/>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c r="A136" s="620"/>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c r="A137" s="620"/>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c r="A138" s="620"/>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c r="A139" s="620"/>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c r="A140" s="620"/>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c r="A141" s="620"/>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c r="A142" s="620"/>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c r="A143" s="620"/>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c r="A144" s="620"/>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c r="A145" s="620"/>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c r="A146" s="620"/>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c r="A147" s="620"/>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c r="A148" s="620"/>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c r="A149" s="620"/>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c r="A150" s="620"/>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c r="A151" s="620"/>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c r="A152" s="620"/>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c r="A153" s="620"/>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c r="A154" s="620"/>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c r="A155" s="620"/>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c r="A156" s="620"/>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c r="A157" s="620"/>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c r="A158" s="620"/>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c r="A159" s="620"/>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c r="A160" s="620"/>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c r="A161" s="620"/>
      <c r="B161" s="352" t="str">
        <f t="shared" si="1"/>
        <v>Dieciseisavofinalista</v>
      </c>
      <c r="C161" s="342" t="str">
        <f ca="1">WORLDCUP!AF116</f>
        <v>3DEIJL</v>
      </c>
      <c r="D161" s="662"/>
      <c r="E161" s="363"/>
      <c r="F161" s="363"/>
      <c r="G161" s="363"/>
      <c r="H161" s="363"/>
      <c r="I161" s="373"/>
      <c r="J161" s="374"/>
      <c r="K161" s="363"/>
      <c r="L161" s="363"/>
      <c r="M161" s="375"/>
      <c r="N161" s="368"/>
    </row>
    <row r="162" spans="1:14" ht="19.95" customHeight="1">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2.95" customHeight="1">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c r="A165" s="620"/>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0"/>
      <c r="E165" s="656"/>
      <c r="F165" s="656"/>
      <c r="G165" s="656"/>
      <c r="H165" s="656"/>
      <c r="I165" s="345"/>
      <c r="J165" s="361"/>
      <c r="K165" s="361"/>
      <c r="L165" s="361"/>
      <c r="M165" s="377"/>
      <c r="N165" s="368"/>
    </row>
    <row r="166" spans="1:14" ht="15" customHeight="1">
      <c r="A166" s="620"/>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0"/>
      <c r="E166" s="656"/>
      <c r="F166" s="656"/>
      <c r="G166" s="656"/>
      <c r="H166" s="656"/>
      <c r="I166" s="345"/>
      <c r="J166" s="361"/>
      <c r="K166" s="361"/>
      <c r="L166" s="361"/>
      <c r="M166" s="377"/>
      <c r="N166" s="368"/>
    </row>
    <row r="167" spans="1:14" ht="15" customHeight="1">
      <c r="A167" s="620"/>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0"/>
      <c r="E167" s="656"/>
      <c r="F167" s="656"/>
      <c r="G167" s="656"/>
      <c r="H167" s="656"/>
      <c r="I167" s="345"/>
      <c r="J167" s="361"/>
      <c r="K167" s="361"/>
      <c r="L167" s="361"/>
      <c r="M167" s="377"/>
      <c r="N167" s="368"/>
    </row>
    <row r="168" spans="1:14" ht="15" customHeight="1">
      <c r="A168" s="620"/>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0"/>
      <c r="E168" s="361"/>
      <c r="F168" s="361"/>
      <c r="G168" s="361"/>
      <c r="H168" s="361"/>
      <c r="I168" s="345"/>
      <c r="J168" s="361"/>
      <c r="K168" s="361"/>
      <c r="L168" s="361"/>
      <c r="M168" s="377"/>
      <c r="N168" s="368"/>
    </row>
    <row r="169" spans="1:14" ht="15" customHeight="1">
      <c r="A169" s="620"/>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0"/>
      <c r="E169" s="361"/>
      <c r="F169" s="361"/>
      <c r="G169" s="361"/>
      <c r="H169" s="361"/>
      <c r="I169" s="345"/>
      <c r="J169" s="361"/>
      <c r="K169" s="361"/>
      <c r="L169" s="361"/>
      <c r="M169" s="377"/>
      <c r="N169" s="368"/>
    </row>
    <row r="170" spans="1:14" ht="15" customHeight="1">
      <c r="A170" s="620"/>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0"/>
      <c r="E170" s="361"/>
      <c r="F170" s="361"/>
      <c r="G170" s="361"/>
      <c r="H170" s="361"/>
      <c r="I170" s="345"/>
      <c r="J170" s="361"/>
      <c r="K170" s="361"/>
      <c r="L170" s="361"/>
      <c r="M170" s="377"/>
      <c r="N170" s="368"/>
    </row>
    <row r="171" spans="1:14" ht="15" customHeight="1">
      <c r="A171" s="62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0"/>
      <c r="E171" s="361"/>
      <c r="F171" s="361"/>
      <c r="G171" s="361"/>
      <c r="H171" s="361"/>
      <c r="I171" s="345"/>
      <c r="J171" s="361"/>
      <c r="K171" s="361"/>
      <c r="L171" s="361"/>
      <c r="M171" s="377"/>
      <c r="N171" s="368"/>
    </row>
    <row r="172" spans="1:14" ht="15" customHeight="1">
      <c r="A172" s="620"/>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0"/>
      <c r="E172" s="361"/>
      <c r="F172" s="361"/>
      <c r="G172" s="361"/>
      <c r="H172" s="361"/>
      <c r="I172" s="345"/>
      <c r="J172" s="361"/>
      <c r="K172" s="361"/>
      <c r="L172" s="361"/>
      <c r="M172" s="377"/>
      <c r="N172" s="368"/>
    </row>
    <row r="173" spans="1:14" ht="15" customHeight="1">
      <c r="A173" s="620"/>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0"/>
      <c r="E173" s="361"/>
      <c r="F173" s="361"/>
      <c r="G173" s="361"/>
      <c r="H173" s="361"/>
      <c r="I173" s="345"/>
      <c r="J173" s="361"/>
      <c r="K173" s="361"/>
      <c r="L173" s="361"/>
      <c r="M173" s="377"/>
      <c r="N173" s="368"/>
    </row>
    <row r="174" spans="1:14" ht="15" customHeight="1">
      <c r="A174" s="620"/>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0"/>
      <c r="E174" s="361"/>
      <c r="F174" s="361"/>
      <c r="G174" s="361"/>
      <c r="H174" s="361"/>
      <c r="I174" s="345"/>
      <c r="J174" s="361"/>
      <c r="K174" s="361"/>
      <c r="L174" s="361"/>
      <c r="M174" s="377"/>
      <c r="N174" s="368"/>
    </row>
    <row r="175" spans="1:14" ht="15" customHeight="1">
      <c r="A175" s="62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0"/>
      <c r="E175" s="361"/>
      <c r="F175" s="361"/>
      <c r="G175" s="361"/>
      <c r="H175" s="361"/>
      <c r="I175" s="345"/>
      <c r="J175" s="361"/>
      <c r="K175" s="361"/>
      <c r="L175" s="361"/>
      <c r="M175" s="377"/>
      <c r="N175" s="368"/>
    </row>
    <row r="176" spans="1:14" ht="15" customHeight="1">
      <c r="A176" s="620"/>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0"/>
      <c r="E176" s="361"/>
      <c r="F176" s="361"/>
      <c r="G176" s="361"/>
      <c r="H176" s="361"/>
      <c r="I176" s="345"/>
      <c r="J176" s="361"/>
      <c r="K176" s="361"/>
      <c r="L176" s="361"/>
      <c r="M176" s="377"/>
      <c r="N176" s="368"/>
    </row>
    <row r="177" spans="1:14" ht="15" customHeight="1">
      <c r="A177" s="620"/>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0"/>
      <c r="E177" s="361"/>
      <c r="F177" s="361"/>
      <c r="G177" s="361"/>
      <c r="H177" s="361"/>
      <c r="I177" s="345"/>
      <c r="J177" s="361"/>
      <c r="K177" s="361"/>
      <c r="L177" s="361"/>
      <c r="M177" s="377"/>
      <c r="N177" s="368"/>
    </row>
    <row r="178" spans="1:14" ht="15" customHeight="1">
      <c r="A178" s="620"/>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0"/>
      <c r="E178" s="361"/>
      <c r="F178" s="361"/>
      <c r="G178" s="361"/>
      <c r="H178" s="361"/>
      <c r="I178" s="345"/>
      <c r="J178" s="361"/>
      <c r="K178" s="361"/>
      <c r="L178" s="361"/>
      <c r="M178" s="377"/>
      <c r="N178" s="368"/>
    </row>
    <row r="179" spans="1:14" ht="15" customHeight="1">
      <c r="A179" s="62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0"/>
      <c r="E179" s="361"/>
      <c r="F179" s="361"/>
      <c r="G179" s="361"/>
      <c r="H179" s="361"/>
      <c r="I179" s="345"/>
      <c r="J179" s="361"/>
      <c r="K179" s="361"/>
      <c r="L179" s="361"/>
      <c r="M179" s="377"/>
      <c r="N179" s="368"/>
    </row>
    <row r="180" spans="1:14" ht="15" customHeight="1">
      <c r="A180" s="223"/>
      <c r="B180" s="223"/>
      <c r="C180" s="343"/>
      <c r="D180" s="620"/>
      <c r="E180" s="361"/>
      <c r="F180" s="361"/>
      <c r="G180" s="361"/>
      <c r="H180" s="361"/>
      <c r="I180" s="345"/>
      <c r="J180" s="361"/>
      <c r="K180" s="361"/>
      <c r="L180" s="361"/>
      <c r="M180" s="377"/>
      <c r="N180" s="368"/>
    </row>
    <row r="181" spans="1:14" ht="19.05" customHeight="1">
      <c r="A181" s="223"/>
      <c r="B181" s="350" t="str">
        <f>Idiomas!D129</f>
        <v>CLASIFICADOS PARA OCTAVOS</v>
      </c>
      <c r="C181" s="343"/>
      <c r="D181" s="620"/>
      <c r="E181" s="361"/>
      <c r="F181" s="361"/>
      <c r="G181" s="361"/>
      <c r="H181" s="361"/>
      <c r="I181" s="345"/>
      <c r="J181" s="361"/>
      <c r="K181" s="361"/>
      <c r="L181" s="361"/>
      <c r="M181" s="377"/>
      <c r="N181" s="368"/>
    </row>
    <row r="182" spans="1:14" ht="15" customHeight="1">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c r="A197" s="620"/>
      <c r="B197" s="352" t="str">
        <f t="shared" si="2"/>
        <v>Octavofinalista</v>
      </c>
      <c r="C197" s="342" t="str">
        <f>WORLDCUP!AF127</f>
        <v>W87</v>
      </c>
      <c r="D197" s="620"/>
      <c r="E197" s="364"/>
      <c r="F197" s="364"/>
      <c r="G197" s="364"/>
      <c r="H197" s="364"/>
      <c r="I197" s="345"/>
      <c r="J197" s="361"/>
      <c r="K197" s="361"/>
      <c r="L197" s="361"/>
      <c r="M197" s="377"/>
      <c r="N197" s="368"/>
    </row>
    <row r="198" spans="1:14">
      <c r="A198" s="223"/>
      <c r="B198" s="223"/>
      <c r="C198" s="343"/>
      <c r="D198" s="361"/>
      <c r="E198" s="361"/>
      <c r="F198" s="361"/>
      <c r="G198" s="361"/>
      <c r="H198" s="361"/>
      <c r="I198" s="378"/>
      <c r="J198" s="361"/>
      <c r="K198" s="361"/>
      <c r="L198" s="361"/>
      <c r="M198" s="377"/>
      <c r="N198" s="368"/>
    </row>
    <row r="199" spans="1:14" ht="19.05" customHeight="1">
      <c r="A199" s="223"/>
      <c r="B199" s="350" t="str">
        <f>Idiomas!D130</f>
        <v>ENFRENTAMIENTOS OCTAVOS</v>
      </c>
      <c r="C199" s="343"/>
      <c r="D199" s="361"/>
      <c r="E199" s="361"/>
      <c r="F199" s="361"/>
      <c r="G199" s="361"/>
      <c r="H199" s="361"/>
      <c r="I199" s="379"/>
      <c r="J199" s="361"/>
      <c r="K199" s="361"/>
      <c r="L199" s="361"/>
      <c r="M199" s="377"/>
      <c r="N199" s="368"/>
    </row>
    <row r="200" spans="1:14" ht="15" customHeight="1">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c r="A208" s="223"/>
      <c r="B208" s="223"/>
      <c r="C208" s="343"/>
      <c r="D208" s="620"/>
      <c r="E208" s="361"/>
      <c r="F208" s="361"/>
      <c r="G208" s="361"/>
      <c r="H208" s="361"/>
      <c r="I208" s="345"/>
      <c r="J208" s="361"/>
      <c r="K208" s="361"/>
      <c r="L208" s="361"/>
      <c r="M208" s="377"/>
      <c r="N208" s="368"/>
    </row>
    <row r="209" spans="1:14" ht="19.05" customHeight="1">
      <c r="A209" s="223"/>
      <c r="B209" s="350" t="str">
        <f>Idiomas!D131</f>
        <v>CLASIFICADOS PARA CUARTOS</v>
      </c>
      <c r="C209" s="343"/>
      <c r="D209" s="620"/>
      <c r="E209" s="361"/>
      <c r="F209" s="361"/>
      <c r="G209" s="361"/>
      <c r="H209" s="361"/>
      <c r="I209" s="345"/>
      <c r="J209" s="361"/>
      <c r="K209" s="361"/>
      <c r="L209" s="361"/>
      <c r="M209" s="377"/>
      <c r="N209" s="368"/>
    </row>
    <row r="210" spans="1:14" ht="15" customHeight="1">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c r="A217" s="620"/>
      <c r="B217" s="352" t="str">
        <f t="shared" si="3"/>
        <v>Cuartofinalista</v>
      </c>
      <c r="C217" s="342" t="str">
        <f>WORLDCUP!AF134</f>
        <v>W96</v>
      </c>
      <c r="D217" s="620"/>
      <c r="E217" s="364"/>
      <c r="F217" s="364"/>
      <c r="G217" s="364"/>
      <c r="H217" s="364"/>
      <c r="I217" s="345"/>
      <c r="J217" s="361"/>
      <c r="K217" s="361"/>
      <c r="L217" s="361"/>
      <c r="M217" s="377"/>
      <c r="N217" s="368"/>
    </row>
    <row r="218" spans="1:14">
      <c r="A218" s="223"/>
      <c r="B218" s="223"/>
      <c r="C218" s="343"/>
      <c r="D218" s="361"/>
      <c r="E218" s="361"/>
      <c r="F218" s="361"/>
      <c r="G218" s="361"/>
      <c r="H218" s="361"/>
      <c r="I218" s="378"/>
      <c r="J218" s="361"/>
      <c r="K218" s="361"/>
      <c r="L218" s="361"/>
      <c r="M218" s="377"/>
      <c r="N218" s="368"/>
    </row>
    <row r="219" spans="1:14" ht="19.05" customHeight="1">
      <c r="A219" s="223"/>
      <c r="B219" s="350" t="str">
        <f>Idiomas!D132</f>
        <v>ENFRENTAMIENTOS CUARTOS</v>
      </c>
      <c r="C219" s="343"/>
      <c r="D219" s="361"/>
      <c r="E219" s="361"/>
      <c r="F219" s="361"/>
      <c r="G219" s="361"/>
      <c r="H219" s="361"/>
      <c r="I219" s="379"/>
      <c r="J219" s="361"/>
      <c r="K219" s="361"/>
      <c r="L219" s="361"/>
      <c r="M219" s="377"/>
      <c r="N219" s="368"/>
    </row>
    <row r="220" spans="1:14" ht="15" customHeight="1">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c r="A224" s="223"/>
      <c r="B224" s="223"/>
      <c r="C224" s="343"/>
      <c r="D224" s="620"/>
      <c r="E224" s="345"/>
      <c r="F224" s="345"/>
      <c r="G224" s="345"/>
      <c r="H224" s="345"/>
      <c r="I224" s="345"/>
      <c r="J224" s="361"/>
      <c r="K224" s="361"/>
      <c r="L224" s="361"/>
      <c r="M224" s="377"/>
      <c r="N224" s="368"/>
    </row>
    <row r="225" spans="1:14" ht="19.05" customHeight="1">
      <c r="A225" s="223"/>
      <c r="B225" s="350" t="str">
        <f>Idiomas!D133</f>
        <v>CLASIFICADOS PARA SEMIFINALES</v>
      </c>
      <c r="C225" s="343"/>
      <c r="D225" s="620"/>
      <c r="E225" s="361"/>
      <c r="F225" s="361"/>
      <c r="G225" s="361"/>
      <c r="H225" s="361"/>
      <c r="I225" s="345"/>
      <c r="J225" s="361"/>
      <c r="K225" s="361"/>
      <c r="L225" s="361"/>
      <c r="M225" s="377"/>
      <c r="N225" s="368"/>
    </row>
    <row r="226" spans="1:14" ht="15" customHeight="1">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c r="A229" s="620"/>
      <c r="B229" s="352" t="str">
        <f>Idiomas!$D$191</f>
        <v>Semifinalista</v>
      </c>
      <c r="C229" s="342" t="str">
        <f>WORLDCUP!AF139</f>
        <v>W100</v>
      </c>
      <c r="D229" s="620"/>
      <c r="E229" s="364"/>
      <c r="F229" s="364"/>
      <c r="G229" s="364"/>
      <c r="H229" s="364"/>
      <c r="I229" s="345"/>
      <c r="J229" s="361"/>
      <c r="K229" s="361"/>
      <c r="L229" s="361"/>
      <c r="M229" s="377"/>
      <c r="N229" s="368"/>
    </row>
    <row r="230" spans="1:14">
      <c r="A230" s="223"/>
      <c r="B230" s="223"/>
      <c r="C230" s="343"/>
      <c r="D230" s="361"/>
      <c r="E230" s="361"/>
      <c r="F230" s="361"/>
      <c r="G230" s="361"/>
      <c r="H230" s="361"/>
      <c r="I230" s="379"/>
      <c r="J230" s="361"/>
      <c r="K230" s="361"/>
      <c r="L230" s="361"/>
      <c r="M230" s="377"/>
      <c r="N230" s="368"/>
    </row>
    <row r="231" spans="1:14" ht="19.05" customHeight="1">
      <c r="A231" s="223"/>
      <c r="B231" s="350" t="str">
        <f>Idiomas!D134</f>
        <v>ENFRENTAMIENTOS SEMIFINALES</v>
      </c>
      <c r="C231" s="343"/>
      <c r="D231" s="361"/>
      <c r="E231" s="361"/>
      <c r="F231" s="361"/>
      <c r="G231" s="361"/>
      <c r="H231" s="361"/>
      <c r="I231" s="379"/>
      <c r="J231" s="361"/>
      <c r="K231" s="361"/>
      <c r="L231" s="361"/>
      <c r="M231" s="377"/>
      <c r="N231" s="368"/>
    </row>
    <row r="232" spans="1:14" ht="15" customHeight="1">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c r="A234" s="223"/>
      <c r="B234" s="223"/>
      <c r="C234" s="343"/>
      <c r="D234" s="620"/>
      <c r="E234" s="656"/>
      <c r="F234" s="656"/>
      <c r="G234" s="656"/>
      <c r="H234" s="656"/>
      <c r="I234" s="345"/>
      <c r="J234" s="361"/>
      <c r="K234" s="361"/>
      <c r="L234" s="361"/>
      <c r="M234" s="377"/>
      <c r="N234" s="368"/>
    </row>
    <row r="235" spans="1:14" ht="19.05" customHeight="1">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c r="A238" s="223"/>
      <c r="B238" s="223"/>
      <c r="C238" s="343"/>
      <c r="D238" s="620"/>
      <c r="E238" s="365"/>
      <c r="F238" s="365"/>
      <c r="G238" s="365"/>
      <c r="H238" s="365"/>
      <c r="I238" s="345"/>
      <c r="J238" s="361"/>
      <c r="K238" s="361"/>
      <c r="L238" s="361"/>
      <c r="M238" s="377"/>
      <c r="N238" s="368"/>
    </row>
    <row r="239" spans="1:14" ht="19.05" customHeight="1">
      <c r="A239" s="223"/>
      <c r="B239" s="350" t="str">
        <f>Idiomas!D136</f>
        <v>CLASIFICADOS PARA LA FINAL</v>
      </c>
      <c r="C239" s="343"/>
      <c r="D239" s="620"/>
      <c r="E239" s="365"/>
      <c r="F239" s="365"/>
      <c r="G239" s="365"/>
      <c r="H239" s="365"/>
      <c r="I239" s="345"/>
      <c r="J239" s="361"/>
      <c r="K239" s="361"/>
      <c r="L239" s="361"/>
      <c r="M239" s="377"/>
      <c r="N239" s="368"/>
    </row>
    <row r="240" spans="1:14" ht="15" customHeight="1">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c r="A241" s="620"/>
      <c r="B241" s="352" t="str">
        <f>B240</f>
        <v>Finalista</v>
      </c>
      <c r="C241" s="342" t="str">
        <f>WORLDCUP!AF147</f>
        <v>W102</v>
      </c>
      <c r="D241" s="620"/>
      <c r="E241" s="366"/>
      <c r="F241" s="366"/>
      <c r="G241" s="366"/>
      <c r="H241" s="380"/>
      <c r="I241" s="381"/>
      <c r="J241" s="361"/>
      <c r="K241" s="361"/>
      <c r="L241" s="361"/>
      <c r="M241" s="377"/>
      <c r="N241" s="368"/>
    </row>
    <row r="242" spans="1:14">
      <c r="A242" s="223"/>
      <c r="B242" s="223"/>
      <c r="C242" s="343"/>
      <c r="D242" s="361"/>
      <c r="E242" s="361"/>
      <c r="F242" s="361"/>
      <c r="G242" s="361"/>
      <c r="H242" s="361"/>
      <c r="I242" s="378"/>
      <c r="J242" s="361"/>
      <c r="K242" s="361"/>
      <c r="L242" s="361"/>
      <c r="M242" s="377"/>
      <c r="N242" s="368"/>
    </row>
    <row r="243" spans="1:14" ht="19.05" customHeight="1">
      <c r="A243" s="223"/>
      <c r="B243" s="350" t="str">
        <f>Idiomas!D137</f>
        <v>3º-4º puesto</v>
      </c>
      <c r="C243" s="343"/>
      <c r="D243" s="361"/>
      <c r="E243" s="361"/>
      <c r="F243" s="361"/>
      <c r="G243" s="361"/>
      <c r="H243" s="361"/>
      <c r="I243" s="379"/>
      <c r="J243" s="361"/>
      <c r="K243" s="361"/>
      <c r="L243" s="361"/>
      <c r="M243" s="377"/>
      <c r="N243" s="368"/>
    </row>
    <row r="244" spans="1:14" ht="15" customHeight="1">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c r="A245" s="223"/>
      <c r="B245" s="223"/>
      <c r="C245" s="343"/>
      <c r="D245" s="620"/>
      <c r="E245" s="656"/>
      <c r="F245" s="656"/>
      <c r="G245" s="656"/>
      <c r="H245" s="656"/>
      <c r="I245" s="372"/>
      <c r="J245" s="361"/>
      <c r="K245" s="361"/>
      <c r="L245" s="361"/>
      <c r="M245" s="377"/>
      <c r="N245" s="368"/>
    </row>
    <row r="246" spans="1:14" ht="21" customHeight="1">
      <c r="A246" s="223"/>
      <c r="B246" s="350" t="str">
        <f>Idiomas!D138</f>
        <v>ENFRENTAMIENTO FINAL</v>
      </c>
      <c r="C246" s="343"/>
      <c r="D246" s="620"/>
      <c r="E246" s="656"/>
      <c r="F246" s="656"/>
      <c r="G246" s="656"/>
      <c r="H246" s="656"/>
      <c r="I246" s="372"/>
      <c r="J246" s="361"/>
      <c r="K246" s="361"/>
      <c r="L246" s="361"/>
      <c r="M246" s="377"/>
      <c r="N246" s="368"/>
    </row>
    <row r="247" spans="1:14" ht="15" customHeight="1">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c r="A248" s="223"/>
      <c r="B248" s="223"/>
      <c r="C248" s="343"/>
      <c r="D248" s="620"/>
      <c r="E248" s="365"/>
      <c r="F248" s="365"/>
      <c r="G248" s="365"/>
      <c r="H248" s="365"/>
      <c r="I248" s="372"/>
      <c r="J248" s="361"/>
      <c r="K248" s="361"/>
      <c r="L248" s="361"/>
      <c r="M248" s="377"/>
      <c r="N248" s="368"/>
    </row>
    <row r="249" spans="1:14" ht="19.05" customHeight="1">
      <c r="A249" s="223"/>
      <c r="B249" s="350" t="str">
        <f>Idiomas!D139</f>
        <v>CUADRO DE HONOR</v>
      </c>
      <c r="C249" s="343"/>
      <c r="D249" s="620"/>
      <c r="E249" s="365"/>
      <c r="F249" s="365"/>
      <c r="G249" s="365"/>
      <c r="H249" s="365"/>
      <c r="I249" s="372"/>
      <c r="J249" s="361"/>
      <c r="K249" s="361"/>
      <c r="L249" s="361"/>
      <c r="M249" s="377"/>
      <c r="N249" s="368"/>
    </row>
    <row r="250" spans="1:14" ht="15" customHeight="1">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4.4"/>
  <cols>
    <col min="1" max="1" width="3.33203125" style="186" customWidth="1"/>
    <col min="2" max="2" width="2.6640625" style="9" customWidth="1"/>
    <col min="3" max="3" width="5.6640625" style="3" bestFit="1" customWidth="1"/>
    <col min="4" max="5" width="3.33203125" style="3" customWidth="1"/>
    <col min="6" max="6" width="6.109375" style="3" customWidth="1"/>
    <col min="7" max="7" width="2.44140625" style="3" bestFit="1" customWidth="1"/>
    <col min="8" max="9" width="3.77734375" style="3" customWidth="1"/>
    <col min="10" max="10" width="4.4414062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09375" style="3" bestFit="1" customWidth="1"/>
    <col min="19" max="19" width="2.44140625" style="3" bestFit="1" customWidth="1"/>
    <col min="20" max="20" width="4.33203125" style="3" bestFit="1" customWidth="1"/>
    <col min="21" max="22" width="3.6640625" style="3" customWidth="1"/>
    <col min="23" max="23" width="4.77734375" style="3" customWidth="1"/>
    <col min="24" max="24" width="4.33203125" style="186" hidden="1" customWidth="1"/>
    <col min="25" max="25" width="2.77734375" style="9" customWidth="1"/>
    <col min="26" max="26" width="7.44140625" style="9" bestFit="1" customWidth="1"/>
    <col min="27" max="27" width="9.77734375" style="3" customWidth="1"/>
    <col min="28" max="29" width="4.33203125" style="3" customWidth="1"/>
    <col min="30" max="30" width="2.77734375" style="9" customWidth="1"/>
    <col min="31" max="31" width="9.77734375" style="3" customWidth="1"/>
    <col min="32" max="33" width="4.33203125" style="3" customWidth="1"/>
    <col min="34" max="34" width="2.77734375" style="9" customWidth="1"/>
    <col min="35" max="35" width="9.77734375" style="3" customWidth="1"/>
    <col min="36" max="37" width="4.33203125" style="3" customWidth="1"/>
    <col min="38" max="38" width="2.77734375" style="9" customWidth="1"/>
    <col min="39" max="39" width="9.77734375" style="3" customWidth="1"/>
    <col min="40" max="41" width="4.33203125" style="3" customWidth="1"/>
    <col min="42" max="42" width="2.77734375" style="9" customWidth="1"/>
    <col min="43" max="43" width="9.77734375" style="3" customWidth="1"/>
    <col min="44" max="45" width="4.33203125" style="3" customWidth="1"/>
    <col min="46" max="46" width="2.77734375" style="9" customWidth="1"/>
    <col min="47" max="47" width="9.77734375" style="3" customWidth="1"/>
    <col min="48" max="49" width="4.33203125" style="3" customWidth="1"/>
    <col min="50" max="50" width="4" style="3" bestFit="1" customWidth="1"/>
    <col min="51" max="51" width="3.33203125" style="3" customWidth="1"/>
    <col min="52" max="54" width="7.77734375" style="3" customWidth="1"/>
    <col min="55" max="55" width="3.33203125" style="3" customWidth="1"/>
    <col min="56" max="58" width="2.44140625" style="3" bestFit="1" customWidth="1"/>
    <col min="59" max="59" width="20.77734375" style="3" customWidth="1"/>
    <col min="60" max="67" width="4.77734375" style="3" customWidth="1"/>
    <col min="68" max="69" width="10.77734375" style="3" customWidth="1"/>
    <col min="70" max="72" width="10.77734375" style="3" hidden="1" customWidth="1"/>
    <col min="73" max="16384" width="10.77734375" style="3" hidden="1"/>
  </cols>
  <sheetData>
    <row r="1" spans="1:67" ht="7.95" customHeight="1">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050000000000001" customHeight="1" thickBot="1">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05" customHeight="1" thickBot="1">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t="str">
        <f>IF(ISBLANK(INDEX(WORLDCUP!$AC$4:$AC$147,MATCH(M3,WORLDCUP!$AH$4:$AH$147,0))),"",INDEX(WORLDCUP!$AC$4:$AC$147,MATCH(M3,WORLDCUP!$AH$4:$AH$147,0)))</f>
        <v/>
      </c>
      <c r="Q3" s="406" t="str">
        <f>IF(ISBLANK(INDEX(WORLDCUP!$AD$4:$AD$147,MATCH(M3,WORLDCUP!$AH$4:$AH$147,0))),"",INDEX(WORLDCUP!$AD$4:$AD$147,MATCH(M3,WORLDCUP!$AH$4:$AH$147,0)))</f>
        <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05" customHeight="1" thickBot="1">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0</v>
      </c>
      <c r="V4" s="438">
        <f ca="1">+INDEX(WORLDCUP!$AT$6:$AT$97,MATCH(X4,WORLDCUP!$AI$6:$AI$97,0))</f>
        <v>0</v>
      </c>
      <c r="W4" s="439" t="str">
        <f ca="1">+INDEX(WORLDCUP!$AR$6:$AR$97,MATCH(X4,WORLDCUP!$AI$6:$AI$97,0))&amp;"-"&amp;INDEX(WORLDCUP!$AS$6:$AS$97,MATCH(X4,WORLDCUP!$AI$6:$AI$97,0))</f>
        <v>0-0</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0</v>
      </c>
      <c r="V5" s="39">
        <f ca="1">+INDEX(WORLDCUP!$AT$6:$AT$97,MATCH(X5,WORLDCUP!$AI$6:$AI$97,0))</f>
        <v>0</v>
      </c>
      <c r="W5" s="43" t="str">
        <f ca="1">+INDEX(WORLDCUP!$AR$6:$AR$97,MATCH(X5,WORLDCUP!$AI$6:$AI$97,0))&amp;"-"&amp;INDEX(WORLDCUP!$AS$6:$AS$97,MATCH(X5,WORLDCUP!$AI$6:$AI$97,0))</f>
        <v>0-0</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05" customHeight="1" thickBot="1">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05" customHeight="1" thickBot="1">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05" customHeight="1" thickBot="1">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05" customHeight="1" thickBot="1">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05" customHeight="1" thickBot="1">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t="str">
        <f>IF(ISBLANK(INDEX(WORLDCUP!$AC$4:$AC$147,MATCH(M11,WORLDCUP!$AH$4:$AH$147,0))),"",INDEX(WORLDCUP!$AC$4:$AC$147,MATCH(M11,WORLDCUP!$AH$4:$AH$147,0)))</f>
        <v/>
      </c>
      <c r="Q11" s="406" t="str">
        <f>IF(ISBLANK(INDEX(WORLDCUP!$AD$4:$AD$147,MATCH(M11,WORLDCUP!$AH$4:$AH$147,0))),"",INDEX(WORLDCUP!$AD$4:$AD$147,MATCH(M11,WORLDCUP!$AH$4:$AH$147,0)))</f>
        <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05" customHeight="1" thickBot="1">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t="str">
        <f>IF(ISBLANK(INDEX(WORLDCUP!$AC$4:$AC$147,MATCH(M12,WORLDCUP!$AH$4:$AH$147,0))),"",INDEX(WORLDCUP!$AC$4:$AC$147,MATCH(M12,WORLDCUP!$AH$4:$AH$147,0)))</f>
        <v/>
      </c>
      <c r="Q12" s="433" t="str">
        <f>IF(ISBLANK(INDEX(WORLDCUP!$AD$4:$AD$147,MATCH(M12,WORLDCUP!$AH$4:$AH$147,0))),"",INDEX(WORLDCUP!$AD$4:$AD$147,MATCH(M12,WORLDCUP!$AH$4:$AH$147,0)))</f>
        <v/>
      </c>
      <c r="R12" s="434" t="str">
        <f ca="1">+MID(INDEX(WORLDCUP!$AF$4:$AF$147,MATCH(M12,WORLDCUP!$AH$4:$AH$147,0)),1,3)</f>
        <v>Uru</v>
      </c>
      <c r="S12" s="435">
        <v>1</v>
      </c>
      <c r="T12" s="436" t="str">
        <f ca="1">+MID(INDEX(WORLDCUP!$AL$6:$AL$97,MATCH(X12,WORLDCUP!$AI$6:$AI$97,0)),1,3)</f>
        <v>Esp</v>
      </c>
      <c r="U12" s="437">
        <f ca="1">+INDEX(WORLDCUP!$AM$6:$AM$97,MATCH(X12,WORLDCUP!$AI$6:$AI$97,0))</f>
        <v>0</v>
      </c>
      <c r="V12" s="438">
        <f ca="1">+INDEX(WORLDCUP!$AT$6:$AT$97,MATCH(X12,WORLDCUP!$AI$6:$AI$97,0))</f>
        <v>0</v>
      </c>
      <c r="W12" s="439" t="str">
        <f ca="1">+INDEX(WORLDCUP!$AR$6:$AR$97,MATCH(X12,WORLDCUP!$AI$6:$AI$97,0))&amp;"-"&amp;INDEX(WORLDCUP!$AS$6:$AS$97,MATCH(X12,WORLDCUP!$AI$6:$AI$97,0))</f>
        <v>0-0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05" customHeight="1" thickBot="1">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Cab</v>
      </c>
      <c r="U13" s="38">
        <f ca="1">+INDEX(WORLDCUP!$AM$6:$AM$97,MATCH(X13,WORLDCUP!$AI$6:$AI$97,0))</f>
        <v>0</v>
      </c>
      <c r="V13" s="39">
        <f ca="1">+INDEX(WORLDCUP!$AT$6:$AT$97,MATCH(X13,WORLDCUP!$AI$6:$AI$97,0))</f>
        <v>0</v>
      </c>
      <c r="W13" s="43" t="str">
        <f ca="1">+INDEX(WORLDCUP!$AR$6:$AR$97,MATCH(X13,WORLDCUP!$AI$6:$AI$97,0))&amp;"-"&amp;INDEX(WORLDCUP!$AS$6:$AS$97,MATCH(X13,WORLDCUP!$AI$6:$AI$97,0))</f>
        <v>0-0</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05" customHeight="1" thickBot="1">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Uru</v>
      </c>
      <c r="U15" s="465">
        <f ca="1">+INDEX(WORLDCUP!$AM$6:$AM$97,MATCH(X15,WORLDCUP!$AI$6:$AI$97,0))</f>
        <v>0</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05" customHeight="1" thickBot="1">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05" customHeight="1" thickBot="1">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05" customHeight="1" thickBot="1">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c r="A20" s="181">
        <v>5</v>
      </c>
      <c r="B20" s="509"/>
      <c r="C20" s="432" t="str">
        <f ca="1">+MID(INDEX(WORLDCUP!$AA$4:$AA$147,MATCH(A20,WORLDCUP!$AH$4:$AH$147,0)),1,3)</f>
        <v>Hai</v>
      </c>
      <c r="D20" s="433" t="str">
        <f>IF(ISBLANK(INDEX(WORLDCUP!$AC$4:$AC$147,MATCH(A20,WORLDCUP!$AH$4:$AH$147,0))),"",INDEX(WORLDCUP!$AC$4:$AC$147,MATCH(A20,WORLDCUP!$AH$4:$AH$147,0)))</f>
        <v/>
      </c>
      <c r="E20" s="433" t="str">
        <f>IF(ISBLANK(INDEX(WORLDCUP!$AD$4:$AD$147,MATCH(A20,WORLDCUP!$AH$4:$AH$147,0))),"",INDEX(WORLDCUP!$AD$4:$AD$147,MATCH(A20,WORLDCUP!$AH$4:$AH$147,0)))</f>
        <v/>
      </c>
      <c r="F20" s="434" t="str">
        <f ca="1">+MID(INDEX(WORLDCUP!$AF$4:$AF$147,MATCH(A20,WORLDCUP!$AH$4:$AH$147,0)),1,3)</f>
        <v>Esc</v>
      </c>
      <c r="G20" s="435">
        <v>1</v>
      </c>
      <c r="H20" s="436" t="str">
        <f ca="1">+MID(INDEX(WORLDCUP!$AL$6:$AL$97,MATCH(L20,WORLDCUP!$AI$6:$AI$97,0)),1,3)</f>
        <v>Bra</v>
      </c>
      <c r="I20" s="437">
        <f ca="1">+INDEX(WORLDCUP!$AM$6:$AM$97,MATCH(L20,WORLDCUP!$AI$6:$AI$97,0))</f>
        <v>1</v>
      </c>
      <c r="J20" s="438">
        <f ca="1">+INDEX(WORLDCUP!$AT$6:$AT$97,MATCH(L20,WORLDCUP!$AI$6:$AI$97,0))</f>
        <v>0</v>
      </c>
      <c r="K20" s="439" t="str">
        <f ca="1">+INDEX(WORLDCUP!$AR$6:$AR$97,MATCH(L20,WORLDCUP!$AI$6:$AI$97,0))&amp;"-"&amp;INDEX(WORLDCUP!$AS$6:$AS$97,MATCH(L20,WORLDCUP!$AI$6:$AI$97,0))</f>
        <v>1-1</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05" customHeight="1" thickBot="1">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Mar</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05" customHeight="1" thickBot="1">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Hai</v>
      </c>
      <c r="I22" s="38">
        <f ca="1">+INDEX(WORLDCUP!$AM$6:$AM$97,MATCH(L22,WORLDCUP!$AI$6:$AI$97,0))</f>
        <v>0</v>
      </c>
      <c r="J22" s="39">
        <f ca="1">+INDEX(WORLDCUP!$AT$6:$AT$97,MATCH(L22,WORLDCUP!$AI$6:$AI$97,0))</f>
        <v>0</v>
      </c>
      <c r="K22" s="43" t="str">
        <f ca="1">+INDEX(WORLDCUP!$AR$6:$AR$97,MATCH(L22,WORLDCUP!$AI$6:$AI$97,0))&amp;"-"&amp;INDEX(WORLDCUP!$AS$6:$AS$97,MATCH(L22,WORLDCUP!$AI$6:$AI$97,0))</f>
        <v>0-0</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Esc</v>
      </c>
      <c r="I23" s="465">
        <f ca="1">+INDEX(WORLDCUP!$AM$6:$AM$97,MATCH(L23,WORLDCUP!$AI$6:$AI$97,0))</f>
        <v>0</v>
      </c>
      <c r="J23" s="466">
        <f ca="1">+INDEX(WORLDCUP!$AT$6:$AT$97,MATCH(L23,WORLDCUP!$AI$6:$AI$97,0))</f>
        <v>0</v>
      </c>
      <c r="K23" s="467" t="str">
        <f ca="1">+INDEX(WORLDCUP!$AR$6:$AR$97,MATCH(L23,WORLDCUP!$AI$6:$AI$97,0))&amp;"-"&amp;INDEX(WORLDCUP!$AS$6:$AS$97,MATCH(L23,WORLDCUP!$AI$6:$AI$97,0))</f>
        <v>0-0</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05" customHeight="1" thickBot="1">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05" customHeight="1" thickBot="1">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05" customHeight="1" thickBot="1">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05" customHeight="1" thickBot="1">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05" customHeight="1" thickBot="1">
      <c r="A28" s="181">
        <v>6</v>
      </c>
      <c r="B28" s="532"/>
      <c r="C28" s="432" t="str">
        <f ca="1">+MID(INDEX(WORLDCUP!$AA$4:$AA$147,MATCH(A28,WORLDCUP!$AH$4:$AH$147,0)),1,3)</f>
        <v>Aus</v>
      </c>
      <c r="D28" s="433" t="str">
        <f>IF(ISBLANK(INDEX(WORLDCUP!$AC$4:$AC$147,MATCH(A28,WORLDCUP!$AH$4:$AH$147,0))),"",INDEX(WORLDCUP!$AC$4:$AC$147,MATCH(A28,WORLDCUP!$AH$4:$AH$147,0)))</f>
        <v/>
      </c>
      <c r="E28" s="433" t="str">
        <f>IF(ISBLANK(INDEX(WORLDCUP!$AD$4:$AD$147,MATCH(A28,WORLDCUP!$AH$4:$AH$147,0))),"",INDEX(WORLDCUP!$AD$4:$AD$147,MATCH(A28,WORLDCUP!$AH$4:$AH$147,0)))</f>
        <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0</v>
      </c>
      <c r="J29" s="39">
        <f ca="1">+INDEX(WORLDCUP!$AT$6:$AT$97,MATCH(L29,WORLDCUP!$AI$6:$AI$97,0))</f>
        <v>0</v>
      </c>
      <c r="K29" s="43" t="str">
        <f ca="1">+INDEX(WORLDCUP!$AR$6:$AR$97,MATCH(L29,WORLDCUP!$AI$6:$AI$97,0))&amp;"-"&amp;INDEX(WORLDCUP!$AS$6:$AS$97,MATCH(L29,WORLDCUP!$AI$6:$AI$97,0))</f>
        <v>0-0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05" customHeight="1" thickBot="1">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0</v>
      </c>
      <c r="K30" s="43" t="str">
        <f ca="1">+INDEX(WORLDCUP!$AR$6:$AR$97,MATCH(L30,WORLDCUP!$AI$6:$AI$97,0))&amp;"-"&amp;INDEX(WORLDCUP!$AS$6:$AS$97,MATCH(L30,WORLDCUP!$AI$6:$AI$97,0))</f>
        <v>0-0</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05" customHeight="1" thickBot="1">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05" customHeight="1" thickBot="1">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05" customHeight="1" thickBot="1">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05" customHeight="1" thickBot="1">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c r="A35" s="181">
        <v>10</v>
      </c>
      <c r="B35" s="545" t="s">
        <v>103</v>
      </c>
      <c r="C35" s="405" t="str">
        <f ca="1">+MID(INDEX(WORLDCUP!$AA$4:$AA$147,MATCH(A35,WORLDCUP!$AH$4:$AH$147,0)),1,3)</f>
        <v>Ale</v>
      </c>
      <c r="D35" s="406" t="str">
        <f>IF(ISBLANK(INDEX(WORLDCUP!$AC$4:$AC$147,MATCH(A35,WORLDCUP!$AH$4:$AH$147,0))),"",INDEX(WORLDCUP!$AC$4:$AC$147,MATCH(A35,WORLDCUP!$AH$4:$AH$147,0)))</f>
        <v/>
      </c>
      <c r="E35" s="406" t="str">
        <f>IF(ISBLANK(INDEX(WORLDCUP!$AD$4:$AD$147,MATCH(A35,WORLDCUP!$AH$4:$AH$147,0))),"",INDEX(WORLDCUP!$AD$4:$AD$147,MATCH(A35,WORLDCUP!$AH$4:$AH$147,0)))</f>
        <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05" customHeight="1" thickBot="1">
      <c r="A36" s="181">
        <v>9</v>
      </c>
      <c r="B36" s="548"/>
      <c r="C36" s="432" t="str">
        <f ca="1">+MID(INDEX(WORLDCUP!$AA$4:$AA$147,MATCH(A36,WORLDCUP!$AH$4:$AH$147,0)),1,3)</f>
        <v>Cos</v>
      </c>
      <c r="D36" s="433" t="str">
        <f>IF(ISBLANK(INDEX(WORLDCUP!$AC$4:$AC$147,MATCH(A36,WORLDCUP!$AH$4:$AH$147,0))),"",INDEX(WORLDCUP!$AC$4:$AC$147,MATCH(A36,WORLDCUP!$AH$4:$AH$147,0)))</f>
        <v/>
      </c>
      <c r="E36" s="433" t="str">
        <f>IF(ISBLANK(INDEX(WORLDCUP!$AD$4:$AD$147,MATCH(A36,WORLDCUP!$AH$4:$AH$147,0))),"",INDEX(WORLDCUP!$AD$4:$AD$147,MATCH(A36,WORLDCUP!$AH$4:$AH$147,0)))</f>
        <v/>
      </c>
      <c r="F36" s="434" t="str">
        <f ca="1">+MID(INDEX(WORLDCUP!$AF$4:$AF$147,MATCH(A36,WORLDCUP!$AH$4:$AH$147,0)),1,3)</f>
        <v>Ecu</v>
      </c>
      <c r="G36" s="435">
        <v>1</v>
      </c>
      <c r="H36" s="436" t="str">
        <f ca="1">+MID(INDEX(WORLDCUP!$AL$6:$AL$97,MATCH(L36,WORLDCUP!$AI$6:$AI$97,0)),1,3)</f>
        <v>Ale</v>
      </c>
      <c r="I36" s="437">
        <f ca="1">+INDEX(WORLDCUP!$AM$6:$AM$97,MATCH(L36,WORLDCUP!$AI$6:$AI$97,0))</f>
        <v>0</v>
      </c>
      <c r="J36" s="438">
        <f ca="1">+INDEX(WORLDCUP!$AT$6:$AT$97,MATCH(L36,WORLDCUP!$AI$6:$AI$97,0))</f>
        <v>0</v>
      </c>
      <c r="K36" s="439" t="str">
        <f ca="1">+INDEX(WORLDCUP!$AR$6:$AR$97,MATCH(L36,WORLDCUP!$AI$6:$AI$97,0))&amp;"-"&amp;INDEX(WORLDCUP!$AS$6:$AS$97,MATCH(L36,WORLDCUP!$AI$6:$AI$97,0))</f>
        <v>0-0</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05" customHeight="1" thickBot="1">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Cur</v>
      </c>
      <c r="I37" s="38">
        <f ca="1">+INDEX(WORLDCUP!$AM$6:$AM$97,MATCH(L37,WORLDCUP!$AI$6:$AI$97,0))</f>
        <v>0</v>
      </c>
      <c r="J37" s="39">
        <f ca="1">+INDEX(WORLDCUP!$AT$6:$AT$97,MATCH(L37,WORLDCUP!$AI$6:$AI$97,0))</f>
        <v>0</v>
      </c>
      <c r="K37" s="43" t="str">
        <f ca="1">+INDEX(WORLDCUP!$AR$6:$AR$97,MATCH(L37,WORLDCUP!$AI$6:$AI$97,0))&amp;"-"&amp;INDEX(WORLDCUP!$AS$6:$AS$97,MATCH(L37,WORLDCUP!$AI$6:$AI$97,0))</f>
        <v>0-0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Cos</v>
      </c>
      <c r="I38" s="38">
        <f ca="1">+INDEX(WORLDCUP!$AM$6:$AM$97,MATCH(L38,WORLDCUP!$AI$6:$AI$97,0))</f>
        <v>0</v>
      </c>
      <c r="J38" s="39">
        <f ca="1">+INDEX(WORLDCUP!$AT$6:$AT$97,MATCH(L38,WORLDCUP!$AI$6:$AI$97,0))</f>
        <v>0</v>
      </c>
      <c r="K38" s="43" t="str">
        <f ca="1">+INDEX(WORLDCUP!$AR$6:$AR$97,MATCH(L38,WORLDCUP!$AI$6:$AI$97,0))&amp;"-"&amp;INDEX(WORLDCUP!$AS$6:$AS$97,MATCH(L38,WORLDCUP!$AI$6:$AI$97,0))</f>
        <v>0-0</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05" customHeight="1" thickBot="1">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Ecu</v>
      </c>
      <c r="I39" s="465">
        <f ca="1">+INDEX(WORLDCUP!$AM$6:$AM$97,MATCH(L39,WORLDCUP!$AI$6:$AI$97,0))</f>
        <v>0</v>
      </c>
      <c r="J39" s="466">
        <f ca="1">+INDEX(WORLDCUP!$AT$6:$AT$97,MATCH(L39,WORLDCUP!$AI$6:$AI$97,0))</f>
        <v>0</v>
      </c>
      <c r="K39" s="467" t="str">
        <f ca="1">+INDEX(WORLDCUP!$AR$6:$AR$97,MATCH(L39,WORLDCUP!$AI$6:$AI$97,0))&amp;"-"&amp;INDEX(WORLDCUP!$AS$6:$AS$97,MATCH(L39,WORLDCUP!$AI$6:$AI$97,0))</f>
        <v>0-0</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05" customHeight="1" thickBot="1">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05" customHeight="1" thickBot="1">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05" customHeight="1" thickBot="1">
      <c r="A43" s="181">
        <v>11</v>
      </c>
      <c r="B43" s="553" t="s">
        <v>112</v>
      </c>
      <c r="C43" s="405" t="str">
        <f ca="1">+MID(INDEX(WORLDCUP!$AA$4:$AA$147,MATCH(A43,WORLDCUP!$AH$4:$AH$147,0)),1,3)</f>
        <v>Paí</v>
      </c>
      <c r="D43" s="406" t="str">
        <f>IF(ISBLANK(INDEX(WORLDCUP!$AC$4:$AC$147,MATCH(A43,WORLDCUP!$AH$4:$AH$147,0))),"",INDEX(WORLDCUP!$AC$4:$AC$147,MATCH(A43,WORLDCUP!$AH$4:$AH$147,0)))</f>
        <v/>
      </c>
      <c r="E43" s="406" t="str">
        <f>IF(ISBLANK(INDEX(WORLDCUP!$AD$4:$AD$147,MATCH(A43,WORLDCUP!$AH$4:$AH$147,0))),"",INDEX(WORLDCUP!$AD$4:$AD$147,MATCH(A43,WORLDCUP!$AH$4:$AH$147,0)))</f>
        <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c r="A44" s="181">
        <v>12</v>
      </c>
      <c r="B44" s="555"/>
      <c r="C44" s="432" t="str">
        <f ca="1">+MID(INDEX(WORLDCUP!$AA$4:$AA$147,MATCH(A44,WORLDCUP!$AH$4:$AH$147,0)),1,3)</f>
        <v>Sue</v>
      </c>
      <c r="D44" s="433" t="str">
        <f>IF(ISBLANK(INDEX(WORLDCUP!$AC$4:$AC$147,MATCH(A44,WORLDCUP!$AH$4:$AH$147,0))),"",INDEX(WORLDCUP!$AC$4:$AC$147,MATCH(A44,WORLDCUP!$AH$4:$AH$147,0)))</f>
        <v/>
      </c>
      <c r="E44" s="433" t="str">
        <f>IF(ISBLANK(INDEX(WORLDCUP!$AD$4:$AD$147,MATCH(A44,WORLDCUP!$AH$4:$AH$147,0))),"",INDEX(WORLDCUP!$AD$4:$AD$147,MATCH(A44,WORLDCUP!$AH$4:$AH$147,0)))</f>
        <v/>
      </c>
      <c r="F44" s="434" t="str">
        <f ca="1">+MID(INDEX(WORLDCUP!$AF$4:$AF$147,MATCH(A44,WORLDCUP!$AH$4:$AH$147,0)),1,3)</f>
        <v>Tún</v>
      </c>
      <c r="G44" s="435">
        <v>1</v>
      </c>
      <c r="H44" s="436" t="str">
        <f ca="1">+MID(INDEX(WORLDCUP!$AL$6:$AL$97,MATCH(L44,WORLDCUP!$AI$6:$AI$97,0)),1,3)</f>
        <v>Paí</v>
      </c>
      <c r="I44" s="437">
        <f ca="1">+INDEX(WORLDCUP!$AM$6:$AM$97,MATCH(L44,WORLDCUP!$AI$6:$AI$97,0))</f>
        <v>0</v>
      </c>
      <c r="J44" s="438">
        <f ca="1">+INDEX(WORLDCUP!$AT$6:$AT$97,MATCH(L44,WORLDCUP!$AI$6:$AI$97,0))</f>
        <v>0</v>
      </c>
      <c r="K44" s="439" t="str">
        <f ca="1">+INDEX(WORLDCUP!$AR$6:$AR$97,MATCH(L44,WORLDCUP!$AI$6:$AI$97,0))&amp;"-"&amp;INDEX(WORLDCUP!$AS$6:$AS$97,MATCH(L44,WORLDCUP!$AI$6:$AI$97,0))</f>
        <v>0-0</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05" customHeight="1" thickBot="1">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Jap</v>
      </c>
      <c r="I45" s="38">
        <f ca="1">+INDEX(WORLDCUP!$AM$6:$AM$97,MATCH(L45,WORLDCUP!$AI$6:$AI$97,0))</f>
        <v>0</v>
      </c>
      <c r="J45" s="39">
        <f ca="1">+INDEX(WORLDCUP!$AT$6:$AT$97,MATCH(L45,WORLDCUP!$AI$6:$AI$97,0))</f>
        <v>0</v>
      </c>
      <c r="K45" s="43" t="str">
        <f ca="1">+INDEX(WORLDCUP!$AR$6:$AR$97,MATCH(L45,WORLDCUP!$AI$6:$AI$97,0))&amp;"-"&amp;INDEX(WORLDCUP!$AS$6:$AS$97,MATCH(L45,WORLDCUP!$AI$6:$AI$97,0))</f>
        <v>0-0</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05" customHeight="1" thickBot="1">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Sue</v>
      </c>
      <c r="I46" s="38">
        <f ca="1">+INDEX(WORLDCUP!$AM$6:$AM$97,MATCH(L46,WORLDCUP!$AI$6:$AI$97,0))</f>
        <v>0</v>
      </c>
      <c r="J46" s="39">
        <f ca="1">+INDEX(WORLDCUP!$AT$6:$AT$97,MATCH(L46,WORLDCUP!$AI$6:$AI$97,0))</f>
        <v>0</v>
      </c>
      <c r="K46" s="43" t="str">
        <f ca="1">+INDEX(WORLDCUP!$AR$6:$AR$97,MATCH(L46,WORLDCUP!$AI$6:$AI$97,0))&amp;"-"&amp;INDEX(WORLDCUP!$AS$6:$AS$97,MATCH(L46,WORLDCUP!$AI$6:$AI$97,0))</f>
        <v>0-0</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0</v>
      </c>
      <c r="K47" s="467" t="str">
        <f ca="1">+INDEX(WORLDCUP!$AR$6:$AR$97,MATCH(L47,WORLDCUP!$AI$6:$AI$97,0))&amp;"-"&amp;INDEX(WORLDCUP!$AS$6:$AS$97,MATCH(L47,WORLDCUP!$AI$6:$AI$97,0))</f>
        <v>0-0</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05" customHeight="1" thickBot="1">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conditionalFormatting sqref="BH4:BH51">
    <cfRule type="expression" dxfId="19" priority="1">
      <formula>$BH4=1</formula>
    </cfRule>
  </conditionalFormatting>
  <conditionalFormatting sqref="BH4:BI51">
    <cfRule type="expression" dxfId="18" priority="2">
      <formula>$BI4=1</formula>
    </cfRule>
  </conditionalFormatting>
  <conditionalFormatting sqref="BH4:BJ51">
    <cfRule type="expression" dxfId="17" priority="3">
      <formula>$BJ4=1</formula>
    </cfRule>
  </conditionalFormatting>
  <conditionalFormatting sqref="BH4:BK51">
    <cfRule type="expression" dxfId="16" priority="4">
      <formula>$BK4=1</formula>
    </cfRule>
  </conditionalFormatting>
  <conditionalFormatting sqref="BH4:BL51">
    <cfRule type="expression" dxfId="15" priority="5">
      <formula>$BL4=1</formula>
    </cfRule>
  </conditionalFormatting>
  <conditionalFormatting sqref="BH4:BM51">
    <cfRule type="expression" dxfId="14" priority="6">
      <formula>$BM4=1</formula>
    </cfRule>
  </conditionalFormatting>
  <conditionalFormatting sqref="BH4:BN51">
    <cfRule type="expression" dxfId="13" priority="7">
      <formula>$BN4=1</formula>
    </cfRule>
  </conditionalFormatting>
  <conditionalFormatting sqref="BH4:BO51">
    <cfRule type="expression" dxfId="12"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77734375" defaultRowHeight="14.4"/>
  <cols>
    <col min="1" max="3" width="10.77734375" style="16" customWidth="1"/>
    <col min="4" max="4" width="17.33203125" style="16" bestFit="1" customWidth="1"/>
    <col min="5" max="6" width="10.77734375" style="16" customWidth="1"/>
    <col min="7" max="7" width="17.33203125" style="16" bestFit="1" customWidth="1"/>
    <col min="8" max="8" width="13" style="16" customWidth="1"/>
    <col min="9" max="9" width="10.77734375" style="16" customWidth="1"/>
    <col min="10" max="10" width="13" style="16" bestFit="1" customWidth="1"/>
    <col min="11" max="12" width="12.33203125" style="16" bestFit="1" customWidth="1"/>
    <col min="13" max="15" width="10.77734375" style="16" customWidth="1"/>
    <col min="16" max="16384" width="10.77734375" style="16"/>
  </cols>
  <sheetData>
    <row r="2" spans="1:12">
      <c r="A2" s="16" t="s">
        <v>225</v>
      </c>
      <c r="B2" s="16">
        <f>IF(Home!$C$6=Idiomas!A2,1,0)</f>
        <v>1</v>
      </c>
    </row>
    <row r="3" spans="1:12">
      <c r="A3" s="16" t="s">
        <v>278</v>
      </c>
      <c r="B3" s="16">
        <f>IF(Home!$C$6=Idiomas!A3,1,0)</f>
        <v>0</v>
      </c>
      <c r="E3" s="16" t="s">
        <v>279</v>
      </c>
      <c r="F3" s="16" t="s">
        <v>280</v>
      </c>
      <c r="G3" s="16" t="s">
        <v>225</v>
      </c>
      <c r="H3" s="16" t="s">
        <v>281</v>
      </c>
    </row>
    <row r="4" spans="1:12">
      <c r="D4" s="16" t="str">
        <f t="shared" ref="D4:D12" si="0">IF($B$2,G4,H4)</f>
        <v>Introducir resultados</v>
      </c>
      <c r="E4" s="16" t="s">
        <v>282</v>
      </c>
      <c r="F4" s="16" t="s">
        <v>283</v>
      </c>
      <c r="G4" s="16" t="s">
        <v>284</v>
      </c>
      <c r="H4" s="16" t="s">
        <v>285</v>
      </c>
    </row>
    <row r="5" spans="1:1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c r="B6" s="593"/>
      <c r="D6" s="16" t="str">
        <f t="shared" si="0"/>
        <v>Predictor Equipos</v>
      </c>
      <c r="E6" s="16" t="s">
        <v>282</v>
      </c>
      <c r="G6" s="16" t="s">
        <v>291</v>
      </c>
      <c r="H6" s="16" t="s">
        <v>292</v>
      </c>
    </row>
    <row r="7" spans="1:12">
      <c r="D7" s="16" t="str">
        <f t="shared" si="0"/>
        <v>Selecciona idioma</v>
      </c>
      <c r="E7" s="16" t="s">
        <v>282</v>
      </c>
      <c r="F7" s="16" t="s">
        <v>293</v>
      </c>
      <c r="G7" s="16" t="s">
        <v>294</v>
      </c>
      <c r="H7" s="16" t="s">
        <v>295</v>
      </c>
    </row>
    <row r="8" spans="1:12">
      <c r="D8" s="16" t="str">
        <f t="shared" si="0"/>
        <v>XXIII Mundial USA/MEX/CAN 2026</v>
      </c>
      <c r="E8" s="16" t="s">
        <v>282</v>
      </c>
      <c r="F8" s="16" t="s">
        <v>296</v>
      </c>
      <c r="G8" s="16" t="s">
        <v>297</v>
      </c>
      <c r="H8" s="16" t="s">
        <v>298</v>
      </c>
    </row>
    <row r="9" spans="1:12">
      <c r="D9" s="16" t="str">
        <f t="shared" si="0"/>
        <v>▼ Descargar Excel Administrador Porra ▼</v>
      </c>
      <c r="E9" s="16" t="s">
        <v>282</v>
      </c>
      <c r="F9" s="16" t="s">
        <v>299</v>
      </c>
      <c r="G9" s="16" t="s">
        <v>300</v>
      </c>
      <c r="H9" s="16" t="s">
        <v>301</v>
      </c>
    </row>
    <row r="10" spans="1:12">
      <c r="D10" s="16" t="str">
        <f t="shared" si="0"/>
        <v>https://matejero.es/download/administrador-excel-mundial-2026/</v>
      </c>
      <c r="E10" s="16" t="s">
        <v>282</v>
      </c>
      <c r="F10" s="16" t="s">
        <v>302</v>
      </c>
      <c r="G10" s="16" t="s">
        <v>303</v>
      </c>
      <c r="H10" s="16" t="s">
        <v>304</v>
      </c>
    </row>
    <row r="11" spans="1:12">
      <c r="D11" s="16" t="str">
        <f t="shared" si="0"/>
        <v>*Versión provisional hasta que se conozcan todos los participantes en marzo 2026</v>
      </c>
      <c r="E11" s="16" t="s">
        <v>282</v>
      </c>
      <c r="G11" s="16" t="s">
        <v>305</v>
      </c>
      <c r="H11" s="16" t="s">
        <v>306</v>
      </c>
    </row>
    <row r="12" spans="1:12">
      <c r="D12" s="16" t="str">
        <f t="shared" si="0"/>
        <v>Donar</v>
      </c>
      <c r="E12" s="16" t="s">
        <v>282</v>
      </c>
      <c r="G12" s="16" t="s">
        <v>307</v>
      </c>
      <c r="H12" s="16" t="s">
        <v>308</v>
      </c>
    </row>
    <row r="14" spans="1:12">
      <c r="B14" s="593"/>
    </row>
    <row r="15" spans="1:12">
      <c r="D15" s="16" t="str">
        <f t="shared" ref="D15:D46" si="1">IF($B$2,G15,H15)</f>
        <v>Selecciona horario</v>
      </c>
      <c r="E15" s="16" t="s">
        <v>309</v>
      </c>
      <c r="F15" s="16" t="s">
        <v>241</v>
      </c>
      <c r="G15" s="16" t="s">
        <v>310</v>
      </c>
      <c r="H15" s="16" t="s">
        <v>311</v>
      </c>
    </row>
    <row r="16" spans="1:12">
      <c r="D16" s="16" t="str">
        <f t="shared" si="1"/>
        <v>Rellenar los cuadros grises</v>
      </c>
      <c r="E16" s="16" t="s">
        <v>309</v>
      </c>
      <c r="F16" s="16" t="s">
        <v>245</v>
      </c>
      <c r="G16" s="16" t="s">
        <v>312</v>
      </c>
      <c r="H16" s="16" t="s">
        <v>313</v>
      </c>
    </row>
    <row r="17" spans="4:8">
      <c r="D17" s="16" t="str">
        <f t="shared" si="1"/>
        <v>Fecha</v>
      </c>
      <c r="E17" s="16" t="s">
        <v>309</v>
      </c>
      <c r="F17" s="16" t="s">
        <v>266</v>
      </c>
      <c r="G17" s="16" t="s">
        <v>314</v>
      </c>
      <c r="H17" s="16" t="s">
        <v>315</v>
      </c>
    </row>
    <row r="18" spans="4:8">
      <c r="D18" s="16" t="str">
        <f t="shared" si="1"/>
        <v>Hora</v>
      </c>
      <c r="E18" s="16" t="s">
        <v>309</v>
      </c>
      <c r="F18" s="16" t="s">
        <v>267</v>
      </c>
      <c r="G18" s="16" t="s">
        <v>316</v>
      </c>
      <c r="H18" s="16" t="s">
        <v>317</v>
      </c>
    </row>
    <row r="19" spans="4:8">
      <c r="D19" s="16" t="str">
        <f t="shared" si="1"/>
        <v>Jor.</v>
      </c>
      <c r="E19" s="16" t="s">
        <v>309</v>
      </c>
      <c r="F19" s="16" t="s">
        <v>268</v>
      </c>
      <c r="G19" s="16" t="s">
        <v>318</v>
      </c>
      <c r="H19" s="16" t="s">
        <v>319</v>
      </c>
    </row>
    <row r="20" spans="4:8">
      <c r="D20" s="16" t="str">
        <f t="shared" si="1"/>
        <v>Casa</v>
      </c>
      <c r="E20" s="16" t="s">
        <v>309</v>
      </c>
      <c r="F20" s="16" t="s">
        <v>269</v>
      </c>
      <c r="G20" s="16" t="s">
        <v>320</v>
      </c>
      <c r="H20" s="16" t="s">
        <v>321</v>
      </c>
    </row>
    <row r="21" spans="4:8">
      <c r="D21" s="16" t="str">
        <f t="shared" si="1"/>
        <v>Gol</v>
      </c>
      <c r="E21" s="16" t="s">
        <v>309</v>
      </c>
      <c r="F21" s="16" t="s">
        <v>271</v>
      </c>
      <c r="G21" s="16" t="s">
        <v>210</v>
      </c>
      <c r="H21" s="16" t="s">
        <v>322</v>
      </c>
    </row>
    <row r="22" spans="4:8">
      <c r="D22" s="16" t="str">
        <f t="shared" si="1"/>
        <v>Fuera</v>
      </c>
      <c r="E22" s="16" t="s">
        <v>309</v>
      </c>
      <c r="F22" s="16" t="s">
        <v>323</v>
      </c>
      <c r="G22" s="16" t="s">
        <v>324</v>
      </c>
      <c r="H22" s="16" t="s">
        <v>325</v>
      </c>
    </row>
    <row r="23" spans="4:8">
      <c r="D23" s="16" t="str">
        <f t="shared" si="1"/>
        <v>Grupo</v>
      </c>
      <c r="E23" s="16" t="s">
        <v>309</v>
      </c>
      <c r="F23" s="16" t="s">
        <v>326</v>
      </c>
      <c r="G23" s="16" t="s">
        <v>327</v>
      </c>
      <c r="H23" s="16" t="s">
        <v>328</v>
      </c>
    </row>
    <row r="24" spans="4:8">
      <c r="D24" s="16" t="str">
        <f t="shared" si="1"/>
        <v>¡EMPATE! Puedes seleccionar el orden de los empatados.</v>
      </c>
      <c r="E24" s="16" t="s">
        <v>309</v>
      </c>
      <c r="F24" s="16" t="s">
        <v>329</v>
      </c>
      <c r="G24" s="16" t="s">
        <v>330</v>
      </c>
      <c r="H24" s="16" t="s">
        <v>331</v>
      </c>
    </row>
    <row r="25" spans="4:8">
      <c r="D25" s="16" t="str">
        <f t="shared" si="1"/>
        <v>¡EMPATE! Puedes seleccionar el orden de los empatados entre los terceros.</v>
      </c>
      <c r="E25" s="16" t="s">
        <v>309</v>
      </c>
      <c r="F25" s="16" t="s">
        <v>332</v>
      </c>
      <c r="G25" s="16" t="s">
        <v>333</v>
      </c>
      <c r="H25" s="16" t="s">
        <v>331</v>
      </c>
    </row>
    <row r="26" spans="4:8">
      <c r="D26" s="16" t="str">
        <f t="shared" si="1"/>
        <v>Mejores terceros</v>
      </c>
      <c r="E26" s="16" t="s">
        <v>309</v>
      </c>
      <c r="F26" s="16" t="s">
        <v>334</v>
      </c>
      <c r="G26" s="16" t="s">
        <v>335</v>
      </c>
      <c r="H26" s="16" t="s">
        <v>336</v>
      </c>
    </row>
    <row r="27" spans="4:8">
      <c r="D27" s="16" t="str">
        <f t="shared" si="1"/>
        <v>Dieciseisavos de final</v>
      </c>
      <c r="E27" s="16" t="s">
        <v>309</v>
      </c>
      <c r="G27" s="16" t="s">
        <v>337</v>
      </c>
      <c r="H27" s="16" t="s">
        <v>338</v>
      </c>
    </row>
    <row r="28" spans="4:8">
      <c r="D28" s="16" t="str">
        <f t="shared" si="1"/>
        <v>Octavos de final</v>
      </c>
      <c r="E28" s="16" t="s">
        <v>309</v>
      </c>
      <c r="F28" s="16" t="s">
        <v>339</v>
      </c>
      <c r="G28" s="16" t="s">
        <v>340</v>
      </c>
      <c r="H28" s="16" t="s">
        <v>341</v>
      </c>
    </row>
    <row r="29" spans="4:8">
      <c r="D29" s="16" t="str">
        <f t="shared" si="1"/>
        <v>Cuartos de final</v>
      </c>
      <c r="E29" s="16" t="s">
        <v>309</v>
      </c>
      <c r="F29" s="16" t="s">
        <v>342</v>
      </c>
      <c r="G29" s="16" t="s">
        <v>343</v>
      </c>
      <c r="H29" s="16" t="s">
        <v>344</v>
      </c>
    </row>
    <row r="30" spans="4:8">
      <c r="D30" s="16" t="str">
        <f t="shared" si="1"/>
        <v>Semifinales</v>
      </c>
      <c r="E30" s="16" t="s">
        <v>309</v>
      </c>
      <c r="F30" s="16" t="s">
        <v>345</v>
      </c>
      <c r="G30" s="16" t="s">
        <v>346</v>
      </c>
      <c r="H30" s="16" t="s">
        <v>347</v>
      </c>
    </row>
    <row r="31" spans="4:8">
      <c r="D31" s="16" t="str">
        <f t="shared" si="1"/>
        <v>3º y 4º puesto</v>
      </c>
      <c r="E31" s="16" t="s">
        <v>309</v>
      </c>
      <c r="G31" s="16" t="s">
        <v>348</v>
      </c>
      <c r="H31" s="16" t="s">
        <v>349</v>
      </c>
    </row>
    <row r="32" spans="4:8">
      <c r="D32" s="16" t="str">
        <f t="shared" si="1"/>
        <v>Final</v>
      </c>
      <c r="E32" s="16" t="s">
        <v>309</v>
      </c>
      <c r="F32" s="16" t="s">
        <v>350</v>
      </c>
      <c r="G32" s="16" t="s">
        <v>351</v>
      </c>
      <c r="H32" s="16" t="s">
        <v>351</v>
      </c>
    </row>
    <row r="33" spans="4:8">
      <c r="D33" s="16" t="str">
        <f t="shared" si="1"/>
        <v>Cuadro de honor</v>
      </c>
      <c r="E33" s="16" t="s">
        <v>309</v>
      </c>
      <c r="F33" s="16" t="s">
        <v>352</v>
      </c>
      <c r="G33" s="16" t="s">
        <v>353</v>
      </c>
      <c r="H33" s="16" t="s">
        <v>354</v>
      </c>
    </row>
    <row r="34" spans="4:8">
      <c r="D34" s="16" t="str">
        <f t="shared" si="1"/>
        <v>Campeón</v>
      </c>
      <c r="E34" s="16" t="s">
        <v>309</v>
      </c>
      <c r="F34" s="16" t="s">
        <v>355</v>
      </c>
      <c r="G34" s="16" t="s">
        <v>356</v>
      </c>
      <c r="H34" s="16" t="s">
        <v>357</v>
      </c>
    </row>
    <row r="35" spans="4:8">
      <c r="D35" s="16" t="str">
        <f t="shared" si="1"/>
        <v>Subcampeón</v>
      </c>
      <c r="E35" s="16" t="s">
        <v>309</v>
      </c>
      <c r="F35" s="16" t="s">
        <v>358</v>
      </c>
      <c r="G35" s="16" t="s">
        <v>359</v>
      </c>
      <c r="H35" s="16" t="s">
        <v>360</v>
      </c>
    </row>
    <row r="36" spans="4:8">
      <c r="D36" s="16" t="str">
        <f t="shared" si="1"/>
        <v>3º puesto</v>
      </c>
      <c r="E36" s="16" t="s">
        <v>309</v>
      </c>
      <c r="G36" s="16" t="s">
        <v>361</v>
      </c>
      <c r="H36" s="16" t="s">
        <v>362</v>
      </c>
    </row>
    <row r="37" spans="4:8">
      <c r="D37" s="16" t="str">
        <f t="shared" si="1"/>
        <v>Bota de Oro  (máximo goleador)</v>
      </c>
      <c r="E37" s="16" t="s">
        <v>309</v>
      </c>
      <c r="F37" s="16" t="s">
        <v>363</v>
      </c>
      <c r="G37" s="9" t="s">
        <v>364</v>
      </c>
      <c r="H37" s="16" t="s">
        <v>365</v>
      </c>
    </row>
    <row r="38" spans="4:8">
      <c r="D38" s="16" t="str">
        <f t="shared" si="1"/>
        <v>Bota de Plata (2º máximo goleador)</v>
      </c>
      <c r="E38" s="16" t="s">
        <v>309</v>
      </c>
      <c r="F38" s="16" t="s">
        <v>366</v>
      </c>
      <c r="G38" s="9" t="s">
        <v>367</v>
      </c>
      <c r="H38" s="16" t="s">
        <v>368</v>
      </c>
    </row>
    <row r="39" spans="4:8">
      <c r="D39" s="16" t="str">
        <f t="shared" si="1"/>
        <v>Bota de Bronce (3º máximo goleador)</v>
      </c>
      <c r="G39" s="9" t="s">
        <v>369</v>
      </c>
      <c r="H39" s="16" t="s">
        <v>370</v>
      </c>
    </row>
    <row r="40" spans="4:8">
      <c r="D40" s="16" t="str">
        <f t="shared" si="1"/>
        <v>Balón de Oro  (mejor jugador)</v>
      </c>
      <c r="G40" s="9" t="s">
        <v>371</v>
      </c>
      <c r="H40" s="16" t="s">
        <v>372</v>
      </c>
    </row>
    <row r="41" spans="4:8">
      <c r="D41" s="16" t="str">
        <f t="shared" si="1"/>
        <v>Balón de Plata (2º mejor jugador)</v>
      </c>
      <c r="G41" s="9" t="s">
        <v>373</v>
      </c>
      <c r="H41" s="16" t="s">
        <v>374</v>
      </c>
    </row>
    <row r="42" spans="4:8">
      <c r="D42" s="16" t="str">
        <f t="shared" si="1"/>
        <v>Balón de Bronce (3º mejor jugador)</v>
      </c>
      <c r="G42" s="9" t="s">
        <v>375</v>
      </c>
      <c r="H42" s="16" t="s">
        <v>376</v>
      </c>
    </row>
    <row r="43" spans="4:8">
      <c r="D43" s="16" t="str">
        <f t="shared" si="1"/>
        <v>Escribe un jugador</v>
      </c>
      <c r="E43" s="16" t="s">
        <v>309</v>
      </c>
      <c r="F43" s="16" t="s">
        <v>377</v>
      </c>
      <c r="G43" s="16" t="s">
        <v>378</v>
      </c>
      <c r="H43" s="16" t="s">
        <v>379</v>
      </c>
    </row>
    <row r="44" spans="4:8">
      <c r="D44" s="16" t="str">
        <f t="shared" si="1"/>
        <v>Escribe un jugador</v>
      </c>
      <c r="E44" s="16" t="s">
        <v>309</v>
      </c>
      <c r="F44" s="16" t="s">
        <v>380</v>
      </c>
      <c r="G44" s="16" t="s">
        <v>378</v>
      </c>
      <c r="H44" s="16" t="s">
        <v>379</v>
      </c>
    </row>
    <row r="45" spans="4:8">
      <c r="D45" s="16" t="str">
        <f t="shared" si="1"/>
        <v>Nombre</v>
      </c>
      <c r="E45" s="16" t="s">
        <v>309</v>
      </c>
      <c r="F45" s="16" t="s">
        <v>381</v>
      </c>
      <c r="G45" s="16" t="s">
        <v>382</v>
      </c>
      <c r="H45" s="16" t="s">
        <v>383</v>
      </c>
    </row>
    <row r="46" spans="4:8">
      <c r="D46" s="16" t="str">
        <f t="shared" si="1"/>
        <v>Escribe tu nombre</v>
      </c>
      <c r="E46" s="16" t="s">
        <v>309</v>
      </c>
      <c r="F46" s="16" t="s">
        <v>384</v>
      </c>
      <c r="G46" s="16" t="s">
        <v>385</v>
      </c>
      <c r="H46" s="16" t="s">
        <v>386</v>
      </c>
    </row>
    <row r="47" spans="4:8">
      <c r="D47" s="16" t="str">
        <f t="shared" ref="D47:D76" si="2">IF($B$2,G47,H47)</f>
        <v>PORRA INCOMPLETA:</v>
      </c>
      <c r="E47" s="16" t="s">
        <v>309</v>
      </c>
      <c r="F47" s="16" t="s">
        <v>387</v>
      </c>
      <c r="G47" s="16" t="s">
        <v>388</v>
      </c>
      <c r="H47" s="16" t="s">
        <v>389</v>
      </c>
    </row>
    <row r="48" spans="4:8">
      <c r="D48" s="16" t="str">
        <f t="shared" si="2"/>
        <v>Aún falta alguna apuesta</v>
      </c>
      <c r="E48" s="16" t="s">
        <v>309</v>
      </c>
      <c r="F48" s="16" t="s">
        <v>390</v>
      </c>
      <c r="G48" s="16" t="s">
        <v>391</v>
      </c>
      <c r="H48" s="16" t="s">
        <v>392</v>
      </c>
    </row>
    <row r="49" spans="4:11">
      <c r="D49" s="16" t="str">
        <f t="shared" si="2"/>
        <v>PORRA COMPLETA:</v>
      </c>
      <c r="E49" s="16" t="s">
        <v>309</v>
      </c>
      <c r="F49" s="16" t="s">
        <v>393</v>
      </c>
      <c r="G49" s="16" t="s">
        <v>394</v>
      </c>
      <c r="H49" s="16" t="s">
        <v>395</v>
      </c>
    </row>
    <row r="50" spans="4:11">
      <c r="D50" s="16" t="str">
        <f t="shared" si="2"/>
        <v>Guarda el archivo y envialo al administrador de tu porra</v>
      </c>
      <c r="E50" s="16" t="s">
        <v>309</v>
      </c>
      <c r="F50" s="16" t="s">
        <v>396</v>
      </c>
      <c r="G50" s="16" t="s">
        <v>397</v>
      </c>
      <c r="H50" s="16" t="s">
        <v>398</v>
      </c>
    </row>
    <row r="51" spans="4:11">
      <c r="D51" s="16" t="str">
        <f t="shared" si="2"/>
        <v>Pos</v>
      </c>
      <c r="E51" s="16" t="s">
        <v>309</v>
      </c>
      <c r="F51" s="16" t="s">
        <v>399</v>
      </c>
      <c r="G51" s="16" t="s">
        <v>400</v>
      </c>
      <c r="H51" s="16" t="s">
        <v>400</v>
      </c>
    </row>
    <row r="52" spans="4:11">
      <c r="D52" s="16" t="str">
        <f t="shared" si="2"/>
        <v>Selección</v>
      </c>
      <c r="E52" s="16" t="s">
        <v>309</v>
      </c>
      <c r="F52" s="16" t="s">
        <v>401</v>
      </c>
      <c r="G52" s="16" t="s">
        <v>402</v>
      </c>
      <c r="H52" s="16" t="s">
        <v>403</v>
      </c>
    </row>
    <row r="53" spans="4:11">
      <c r="D53" s="16" t="str">
        <f t="shared" si="2"/>
        <v>Pts</v>
      </c>
      <c r="E53" s="16" t="s">
        <v>309</v>
      </c>
      <c r="F53" s="16" t="s">
        <v>404</v>
      </c>
      <c r="G53" s="16" t="s">
        <v>274</v>
      </c>
      <c r="H53" s="16" t="s">
        <v>274</v>
      </c>
    </row>
    <row r="54" spans="4:11">
      <c r="D54" s="16" t="str">
        <f t="shared" si="2"/>
        <v>J</v>
      </c>
      <c r="E54" s="16" t="s">
        <v>309</v>
      </c>
      <c r="F54" s="16" t="s">
        <v>405</v>
      </c>
      <c r="G54" s="16" t="s">
        <v>128</v>
      </c>
      <c r="H54" s="16" t="s">
        <v>406</v>
      </c>
    </row>
    <row r="55" spans="4:11">
      <c r="D55" s="16" t="str">
        <f t="shared" si="2"/>
        <v>G</v>
      </c>
      <c r="E55" s="16" t="s">
        <v>309</v>
      </c>
      <c r="F55" s="16" t="s">
        <v>407</v>
      </c>
      <c r="G55" s="16" t="s">
        <v>121</v>
      </c>
      <c r="H55" s="16" t="s">
        <v>408</v>
      </c>
    </row>
    <row r="56" spans="4:11">
      <c r="D56" s="16" t="str">
        <f t="shared" si="2"/>
        <v>E</v>
      </c>
      <c r="E56" s="16" t="s">
        <v>309</v>
      </c>
      <c r="F56" s="16" t="s">
        <v>409</v>
      </c>
      <c r="G56" s="16" t="s">
        <v>103</v>
      </c>
      <c r="H56" s="16" t="s">
        <v>94</v>
      </c>
      <c r="K56" s="9"/>
    </row>
    <row r="57" spans="4:11">
      <c r="D57" s="16" t="str">
        <f t="shared" si="2"/>
        <v>P</v>
      </c>
      <c r="E57" s="16" t="s">
        <v>309</v>
      </c>
      <c r="F57" s="16" t="s">
        <v>410</v>
      </c>
      <c r="G57" s="16" t="s">
        <v>406</v>
      </c>
      <c r="H57" s="16" t="s">
        <v>130</v>
      </c>
      <c r="K57" s="9"/>
    </row>
    <row r="58" spans="4:11">
      <c r="D58" s="16" t="str">
        <f t="shared" si="2"/>
        <v>GF</v>
      </c>
      <c r="E58" s="16" t="s">
        <v>309</v>
      </c>
      <c r="F58" s="16" t="s">
        <v>411</v>
      </c>
      <c r="G58" s="16" t="s">
        <v>55</v>
      </c>
      <c r="H58" s="16" t="s">
        <v>112</v>
      </c>
      <c r="K58" s="9"/>
    </row>
    <row r="59" spans="4:11">
      <c r="D59" s="16" t="str">
        <f t="shared" si="2"/>
        <v>GC</v>
      </c>
      <c r="E59" s="16" t="s">
        <v>309</v>
      </c>
      <c r="F59" s="16" t="s">
        <v>412</v>
      </c>
      <c r="G59" s="16" t="s">
        <v>413</v>
      </c>
      <c r="H59" s="16" t="s">
        <v>16</v>
      </c>
      <c r="K59" s="9"/>
    </row>
    <row r="60" spans="4:11">
      <c r="D60" s="16" t="str">
        <f t="shared" si="2"/>
        <v>DG</v>
      </c>
      <c r="E60" s="16" t="s">
        <v>309</v>
      </c>
      <c r="F60" s="16" t="s">
        <v>414</v>
      </c>
      <c r="G60" s="16" t="s">
        <v>52</v>
      </c>
      <c r="H60" s="16" t="s">
        <v>415</v>
      </c>
      <c r="K60" s="9"/>
    </row>
    <row r="61" spans="4:11">
      <c r="D61" s="16" t="str">
        <f t="shared" si="2"/>
        <v>J1</v>
      </c>
      <c r="E61" s="16" t="s">
        <v>309</v>
      </c>
      <c r="G61" s="16" t="s">
        <v>246</v>
      </c>
      <c r="H61" s="16" t="s">
        <v>416</v>
      </c>
      <c r="K61" s="9"/>
    </row>
    <row r="62" spans="4:11">
      <c r="D62" s="16" t="str">
        <f t="shared" si="2"/>
        <v>J2</v>
      </c>
      <c r="E62" s="16" t="s">
        <v>309</v>
      </c>
      <c r="G62" s="16" t="s">
        <v>258</v>
      </c>
      <c r="H62" s="16" t="s">
        <v>417</v>
      </c>
    </row>
    <row r="63" spans="4:11">
      <c r="D63" s="16" t="str">
        <f t="shared" si="2"/>
        <v>J3</v>
      </c>
      <c r="E63" s="16" t="s">
        <v>309</v>
      </c>
      <c r="G63" s="16" t="s">
        <v>270</v>
      </c>
      <c r="H63" s="16" t="s">
        <v>418</v>
      </c>
    </row>
    <row r="64" spans="4:11">
      <c r="D64" s="16" t="str">
        <f t="shared" si="2"/>
        <v>Instrucciones en video</v>
      </c>
      <c r="E64" s="16" t="s">
        <v>309</v>
      </c>
      <c r="F64" s="16" t="s">
        <v>419</v>
      </c>
      <c r="G64" s="580" t="s">
        <v>420</v>
      </c>
      <c r="H64" s="16" t="s">
        <v>421</v>
      </c>
    </row>
    <row r="65" spans="3:8">
      <c r="D65" s="16" t="str">
        <f t="shared" si="2"/>
        <v>Sí</v>
      </c>
      <c r="E65" s="16" t="s">
        <v>309</v>
      </c>
      <c r="G65" s="16" t="s">
        <v>422</v>
      </c>
      <c r="H65" s="16" t="s">
        <v>423</v>
      </c>
    </row>
    <row r="66" spans="3:8">
      <c r="D66" s="16" t="str">
        <f t="shared" si="2"/>
        <v>No</v>
      </c>
      <c r="E66" s="16" t="s">
        <v>309</v>
      </c>
      <c r="G66" s="16" t="s">
        <v>14</v>
      </c>
      <c r="H66" s="16" t="s">
        <v>14</v>
      </c>
    </row>
    <row r="67" spans="3:8">
      <c r="D67" s="16" t="str">
        <f t="shared" si="2"/>
        <v>Puntos penalizados</v>
      </c>
      <c r="E67" s="16" t="s">
        <v>309</v>
      </c>
      <c r="G67" s="16" t="s">
        <v>424</v>
      </c>
      <c r="H67" s="16" t="s">
        <v>425</v>
      </c>
    </row>
    <row r="68" spans="3:8">
      <c r="D68" s="16" t="str">
        <f t="shared" si="2"/>
        <v xml:space="preserve">Grupos mejores 3ºs: </v>
      </c>
      <c r="E68" s="16" t="s">
        <v>309</v>
      </c>
      <c r="G68" s="16" t="s">
        <v>426</v>
      </c>
      <c r="H68" s="16" t="s">
        <v>427</v>
      </c>
    </row>
    <row r="69" spans="3:8">
      <c r="D69" s="16" t="str">
        <f t="shared" si="2"/>
        <v>La clasificación de los mejores terceros aparece al final de la J1</v>
      </c>
      <c r="E69" s="16" t="s">
        <v>309</v>
      </c>
      <c r="G69" s="16" t="s">
        <v>428</v>
      </c>
      <c r="H69" s="16" t="s">
        <v>429</v>
      </c>
    </row>
    <row r="70" spans="3:8">
      <c r="D70" s="16" t="str">
        <f t="shared" si="2"/>
        <v>Sí</v>
      </c>
      <c r="E70" s="16" t="s">
        <v>309</v>
      </c>
      <c r="G70" s="16" t="s">
        <v>422</v>
      </c>
      <c r="H70" s="16" t="s">
        <v>423</v>
      </c>
    </row>
    <row r="71" spans="3:8">
      <c r="D71" s="16" t="str">
        <f t="shared" si="2"/>
        <v>No</v>
      </c>
      <c r="E71" s="16" t="s">
        <v>309</v>
      </c>
      <c r="G71" s="16" t="s">
        <v>14</v>
      </c>
      <c r="H71" s="16" t="s">
        <v>14</v>
      </c>
    </row>
    <row r="72" spans="3:8">
      <c r="D72" s="16" t="str">
        <f t="shared" si="2"/>
        <v>¿Hay equipos penalizados?</v>
      </c>
      <c r="E72" s="16" t="s">
        <v>309</v>
      </c>
      <c r="G72" s="16" t="s">
        <v>430</v>
      </c>
      <c r="H72" s="16" t="s">
        <v>431</v>
      </c>
    </row>
    <row r="73" spans="3:8">
      <c r="C73" s="16">
        <v>1</v>
      </c>
      <c r="D73" s="16" t="str">
        <f t="shared" si="2"/>
        <v>Normal</v>
      </c>
      <c r="E73" s="16" t="s">
        <v>309</v>
      </c>
      <c r="G73" s="16" t="s">
        <v>432</v>
      </c>
      <c r="H73" s="16" t="s">
        <v>432</v>
      </c>
    </row>
    <row r="74" spans="3:8">
      <c r="C74" s="16">
        <v>2</v>
      </c>
      <c r="D74" s="16" t="str">
        <f t="shared" si="2"/>
        <v>No cuenta el partido contra el último</v>
      </c>
      <c r="E74" s="16" t="s">
        <v>309</v>
      </c>
      <c r="G74" s="16" t="s">
        <v>433</v>
      </c>
      <c r="H74" s="16" t="s">
        <v>434</v>
      </c>
    </row>
    <row r="75" spans="3:8">
      <c r="C75" s="16">
        <v>3</v>
      </c>
      <c r="D75" s="16" t="str">
        <f t="shared" si="2"/>
        <v>Media por partido</v>
      </c>
      <c r="E75" s="16" t="s">
        <v>309</v>
      </c>
      <c r="G75" s="16" t="s">
        <v>435</v>
      </c>
      <c r="H75" s="16" t="s">
        <v>436</v>
      </c>
    </row>
    <row r="76" spans="3:8">
      <c r="D76" s="16" t="str">
        <f t="shared" si="2"/>
        <v>Selecciona criterio:</v>
      </c>
      <c r="E76" s="16" t="s">
        <v>309</v>
      </c>
      <c r="G76" s="16" t="s">
        <v>437</v>
      </c>
      <c r="H76" s="16" t="s">
        <v>438</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c r="D80" s="16" t="str">
        <f t="shared" si="3"/>
        <v>Autor:</v>
      </c>
      <c r="E80" s="16" t="s">
        <v>439</v>
      </c>
      <c r="F80" s="16" t="s">
        <v>442</v>
      </c>
      <c r="G80" s="16" t="s">
        <v>443</v>
      </c>
      <c r="H80" s="16" t="s">
        <v>444</v>
      </c>
    </row>
    <row r="81" spans="4:8">
      <c r="D81" s="16" t="str">
        <f t="shared" si="3"/>
        <v>Útima versión</v>
      </c>
      <c r="E81" s="16" t="s">
        <v>439</v>
      </c>
      <c r="F81" s="16" t="s">
        <v>445</v>
      </c>
      <c r="G81" s="16" t="s">
        <v>446</v>
      </c>
      <c r="H81" s="16" t="s">
        <v>447</v>
      </c>
    </row>
    <row r="82" spans="4:8">
      <c r="D82" s="16" t="str">
        <f t="shared" si="3"/>
        <v>Limitación de responsabilidad:</v>
      </c>
      <c r="E82" s="16" t="s">
        <v>439</v>
      </c>
      <c r="F82" s="16" t="s">
        <v>250</v>
      </c>
      <c r="G82" s="16" t="s">
        <v>448</v>
      </c>
      <c r="H82" s="16" t="s">
        <v>449</v>
      </c>
    </row>
    <row r="83" spans="4:8">
      <c r="D83" s="16" t="str">
        <f t="shared" si="3"/>
        <v>PARA DESCARGAR, CLICK EN</v>
      </c>
      <c r="E83" s="16" t="s">
        <v>439</v>
      </c>
      <c r="G83" s="16" t="s">
        <v>450</v>
      </c>
      <c r="H83" s="16" t="s">
        <v>451</v>
      </c>
    </row>
    <row r="84" spans="4:8">
      <c r="D84" s="16" t="str">
        <f t="shared" si="3"/>
        <v>· Selecciona el idioma y la zona horaria</v>
      </c>
      <c r="E84" s="16" t="s">
        <v>439</v>
      </c>
      <c r="G84" s="16" t="s">
        <v>452</v>
      </c>
      <c r="H84" s="16" t="s">
        <v>453</v>
      </c>
    </row>
    <row r="85" spans="4:8">
      <c r="D85" s="16" t="str">
        <f t="shared" si="3"/>
        <v>· Si vas a participar en una porra escribe tu nombre</v>
      </c>
      <c r="E85" s="16" t="s">
        <v>439</v>
      </c>
      <c r="G85" s="16" t="s">
        <v>454</v>
      </c>
      <c r="H85" s="16" t="s">
        <v>455</v>
      </c>
    </row>
    <row r="86" spans="4:8">
      <c r="D86" s="16" t="str">
        <f t="shared" si="3"/>
        <v>· Si vas a organizar una porra, puedes descargar el archivo excel de administración desde aquí</v>
      </c>
      <c r="E86" s="16" t="s">
        <v>439</v>
      </c>
      <c r="G86" s="16" t="s">
        <v>456</v>
      </c>
      <c r="H86" s="16" t="s">
        <v>457</v>
      </c>
    </row>
    <row r="87" spans="4:8">
      <c r="D87" s="16" t="str">
        <f t="shared" si="3"/>
        <v>· Rellena los cuadros grises con los resultados de la fase de grupos para cada grupo</v>
      </c>
      <c r="E87" s="16" t="s">
        <v>439</v>
      </c>
      <c r="G87" s="16" t="s">
        <v>458</v>
      </c>
      <c r="H87" s="16" t="s">
        <v>459</v>
      </c>
    </row>
    <row r="88" spans="4:8">
      <c r="D88" s="16" t="str">
        <f t="shared" si="3"/>
        <v>· En caso de empate en la posición de un grupo o en los mejores terceros, puedes seleccionar el orden de los empatados</v>
      </c>
      <c r="E88" s="16" t="s">
        <v>439</v>
      </c>
      <c r="G88" s="16" t="s">
        <v>460</v>
      </c>
      <c r="H88" s="16" t="s">
        <v>461</v>
      </c>
    </row>
    <row r="89" spans="4:8">
      <c r="D89" s="16" t="str">
        <f t="shared" si="3"/>
        <v>· Las eliminatorias se establecen de forma automática</v>
      </c>
      <c r="E89" s="16" t="s">
        <v>439</v>
      </c>
      <c r="G89" s="16" t="s">
        <v>462</v>
      </c>
      <c r="H89" s="16" t="s">
        <v>463</v>
      </c>
    </row>
    <row r="90" spans="4:8">
      <c r="D90" s="16" t="str">
        <f t="shared" si="3"/>
        <v>· Rellena los resultados de las fases eliminatorias. En caso de empate, se abren dos celdas a los lados para poner el resultado de los penaltis</v>
      </c>
      <c r="E90" s="16" t="s">
        <v>439</v>
      </c>
      <c r="G90" s="16" t="s">
        <v>464</v>
      </c>
      <c r="H90" s="16" t="s">
        <v>465</v>
      </c>
    </row>
    <row r="91" spans="4:8">
      <c r="D91" s="16" t="str">
        <f t="shared" si="3"/>
        <v>· Si vas a participar en una porra, rellenar los mejores jugadores y los máximos goleadores</v>
      </c>
      <c r="E91" s="16" t="s">
        <v>439</v>
      </c>
      <c r="G91" s="16" t="s">
        <v>466</v>
      </c>
      <c r="H91" s="16" t="s">
        <v>467</v>
      </c>
    </row>
    <row r="92" spans="4:8">
      <c r="D92" s="16" t="str">
        <f t="shared" si="3"/>
        <v>· Esta hoja es independiente a los resultados introducidos en la hoja WORLDCUP y su uso es opcional</v>
      </c>
      <c r="E92" s="16" t="s">
        <v>439</v>
      </c>
      <c r="G92" s="16" t="s">
        <v>468</v>
      </c>
      <c r="H92" s="16" t="s">
        <v>469</v>
      </c>
    </row>
    <row r="93" spans="4:8">
      <c r="D93" s="16" t="str">
        <f t="shared" si="3"/>
        <v>· Las instrucciones de uso de esta hoja se encuentran en la misma hoja</v>
      </c>
      <c r="E93" s="16" t="s">
        <v>439</v>
      </c>
      <c r="G93" s="16" t="s">
        <v>470</v>
      </c>
      <c r="H93" s="16" t="s">
        <v>471</v>
      </c>
    </row>
    <row r="94" spans="4:8">
      <c r="D94" s="16" t="str">
        <f t="shared" si="3"/>
        <v>· En esta hoja no hay que escribir nada</v>
      </c>
      <c r="E94" s="16" t="s">
        <v>439</v>
      </c>
      <c r="G94" s="16" t="s">
        <v>472</v>
      </c>
      <c r="H94" s="16" t="s">
        <v>473</v>
      </c>
    </row>
    <row r="95" spans="4:8">
      <c r="D95" s="16" t="str">
        <f t="shared" si="3"/>
        <v>· Sirve para que el organizador de la porra, copie estos resultados y los pegue en el archivo de administrador</v>
      </c>
      <c r="E95" s="16" t="s">
        <v>439</v>
      </c>
      <c r="G95" s="16" t="s">
        <v>474</v>
      </c>
      <c r="H95" s="16" t="s">
        <v>475</v>
      </c>
    </row>
    <row r="96" spans="4:8">
      <c r="D96" s="16" t="str">
        <f t="shared" si="3"/>
        <v>· En esta hoja se muestran de un vistazo todos los resultados introducidos en la hoja WORLDCUP, en esta hoja no se rellena nada.</v>
      </c>
      <c r="E96" s="16" t="s">
        <v>439</v>
      </c>
      <c r="G96" s="16" t="s">
        <v>476</v>
      </c>
      <c r="H96" s="16" t="s">
        <v>477</v>
      </c>
    </row>
    <row r="102" spans="4:16">
      <c r="D102" s="16" t="str">
        <f t="shared" ref="D102:D133" si="4">IF($B$2,G102,H102)</f>
        <v>Para el administrador de la porra</v>
      </c>
      <c r="E102" s="16" t="s">
        <v>478</v>
      </c>
      <c r="F102" s="16" t="s">
        <v>239</v>
      </c>
      <c r="G102" s="16" t="s">
        <v>479</v>
      </c>
      <c r="H102" s="16" t="s">
        <v>480</v>
      </c>
    </row>
    <row r="103" spans="4:16">
      <c r="D103" s="16" t="str">
        <f t="shared" si="4"/>
        <v>PARTICIPANTE</v>
      </c>
      <c r="E103" s="16" t="s">
        <v>478</v>
      </c>
      <c r="F103" s="16" t="s">
        <v>250</v>
      </c>
      <c r="G103" s="16" t="s">
        <v>481</v>
      </c>
      <c r="H103" s="16" t="s">
        <v>482</v>
      </c>
    </row>
    <row r="104" spans="4:16">
      <c r="D104" s="16" t="str">
        <f t="shared" si="4"/>
        <v>Nombre</v>
      </c>
      <c r="E104" s="16" t="s">
        <v>478</v>
      </c>
      <c r="F104" s="16" t="s">
        <v>262</v>
      </c>
      <c r="G104" s="16" t="s">
        <v>382</v>
      </c>
      <c r="H104" s="16" t="s">
        <v>383</v>
      </c>
    </row>
    <row r="105" spans="4:16">
      <c r="D105" s="16" t="str">
        <f t="shared" si="4"/>
        <v>¡No tocar nada, se rellena solo!</v>
      </c>
      <c r="E105" s="16" t="s">
        <v>478</v>
      </c>
      <c r="F105" s="16" t="s">
        <v>483</v>
      </c>
      <c r="G105" s="16" t="s">
        <v>484</v>
      </c>
      <c r="H105" s="16" t="s">
        <v>485</v>
      </c>
    </row>
    <row r="106" spans="4:16" ht="15" customHeight="1">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c r="D109" s="16" t="str">
        <f t="shared" si="4"/>
        <v>·Si haceis jornada a jornada seguir las instrucciones de cada jornada</v>
      </c>
      <c r="E109" s="16" t="s">
        <v>478</v>
      </c>
      <c r="F109" s="16" t="s">
        <v>493</v>
      </c>
      <c r="G109" s="16" t="s">
        <v>494</v>
      </c>
      <c r="H109" s="16" t="s">
        <v>495</v>
      </c>
      <c r="I109" s="596"/>
      <c r="K109" s="596"/>
      <c r="L109" s="596"/>
    </row>
    <row r="110" spans="4:16">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c r="D111" s="16" t="str">
        <f t="shared" si="4"/>
        <v>·Para la segunda jornada copiar de la C30 a la C53 y pega valores en la plantilla de administrador.</v>
      </c>
      <c r="E111" s="16" t="s">
        <v>478</v>
      </c>
      <c r="F111" s="16" t="s">
        <v>499</v>
      </c>
      <c r="G111" s="16" t="s">
        <v>500</v>
      </c>
      <c r="H111" s="16" t="s">
        <v>501</v>
      </c>
    </row>
    <row r="112" spans="4:16">
      <c r="D112" s="16" t="str">
        <f t="shared" si="4"/>
        <v>·Para la tercera jornada copiar de la C54 a la C161 y pega valores en la plantilla de administrador.</v>
      </c>
      <c r="E112" s="16" t="s">
        <v>478</v>
      </c>
      <c r="F112" s="16" t="s">
        <v>502</v>
      </c>
      <c r="G112" s="16" t="s">
        <v>503</v>
      </c>
      <c r="H112" s="16" t="s">
        <v>504</v>
      </c>
    </row>
    <row r="113" spans="4:8">
      <c r="D113" s="16" t="str">
        <f t="shared" si="4"/>
        <v>·Si haceis todas las eliminatorias de golpe, copiar de la C164 a la C252 y pegar valores en la plantilla de Administrador.</v>
      </c>
      <c r="E113" s="16" t="s">
        <v>478</v>
      </c>
      <c r="F113" s="16" t="s">
        <v>505</v>
      </c>
      <c r="G113" s="16" t="s">
        <v>506</v>
      </c>
      <c r="H113" s="16" t="s">
        <v>507</v>
      </c>
    </row>
    <row r="114" spans="4:8">
      <c r="D114" s="16" t="str">
        <f t="shared" si="4"/>
        <v>·Si haceis eliminatoria a eliminatoria seguir las instrucciones de cada eliminatoria.</v>
      </c>
      <c r="E114" s="16" t="s">
        <v>478</v>
      </c>
      <c r="F114" s="16" t="s">
        <v>508</v>
      </c>
      <c r="G114" s="16" t="s">
        <v>509</v>
      </c>
      <c r="H114" s="16" t="s">
        <v>510</v>
      </c>
    </row>
    <row r="115" spans="4:8">
      <c r="D115" s="16" t="str">
        <f t="shared" si="4"/>
        <v>·Para los dieciseisavos copiar de la C164 a la C197 y pega valores en la plantilla de administrador.</v>
      </c>
      <c r="E115" s="16" t="s">
        <v>478</v>
      </c>
      <c r="F115" s="16" t="s">
        <v>511</v>
      </c>
      <c r="G115" s="16" t="s">
        <v>512</v>
      </c>
      <c r="H115" s="16" t="s">
        <v>513</v>
      </c>
    </row>
    <row r="116" spans="4:8">
      <c r="D116" s="16" t="str">
        <f t="shared" si="4"/>
        <v>·Para los octavos de final copiar de la C200 a la C217 y pega valores en la plantilla de administrador.</v>
      </c>
      <c r="E116" s="16" t="s">
        <v>478</v>
      </c>
      <c r="F116" s="16" t="s">
        <v>514</v>
      </c>
      <c r="G116" s="16" t="s">
        <v>515</v>
      </c>
      <c r="H116" s="16" t="s">
        <v>516</v>
      </c>
    </row>
    <row r="117" spans="4:8">
      <c r="D117" s="16" t="str">
        <f t="shared" si="4"/>
        <v>·Para los cuartos de final copiar de la C220 a la C229 y pega valores en la plantilla de administrador.</v>
      </c>
      <c r="E117" s="16" t="s">
        <v>478</v>
      </c>
      <c r="G117" s="16" t="s">
        <v>517</v>
      </c>
      <c r="H117" s="16" t="s">
        <v>518</v>
      </c>
    </row>
    <row r="118" spans="4:8">
      <c r="D118" s="16" t="str">
        <f t="shared" si="4"/>
        <v>·Para las semifinales copiar de la C232 a la C241 y pega valores en la plantilla de administrador.</v>
      </c>
      <c r="E118" s="16" t="s">
        <v>478</v>
      </c>
      <c r="F118" s="16" t="s">
        <v>519</v>
      </c>
      <c r="G118" s="16" t="s">
        <v>520</v>
      </c>
      <c r="H118" s="16" t="s">
        <v>521</v>
      </c>
    </row>
    <row r="119" spans="4:8">
      <c r="D119" s="16" t="str">
        <f t="shared" si="4"/>
        <v>·Para el 3º y 4º puesto y la Final copiar de la C244 a la C252 y pega valores en la plantilla de administrador.</v>
      </c>
      <c r="E119" s="16" t="s">
        <v>478</v>
      </c>
      <c r="F119" s="16" t="s">
        <v>522</v>
      </c>
      <c r="G119" s="16" t="s">
        <v>523</v>
      </c>
      <c r="H119" s="16" t="s">
        <v>524</v>
      </c>
    </row>
    <row r="120" spans="4:8">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c r="D121" s="16" t="str">
        <f t="shared" si="4"/>
        <v>·Copiar de la C261 a la C258 y pegar valores en el administrador donde el Predictor</v>
      </c>
      <c r="E121" s="16" t="s">
        <v>478</v>
      </c>
      <c r="G121" s="16" t="s">
        <v>528</v>
      </c>
      <c r="H121" s="16" t="s">
        <v>529</v>
      </c>
    </row>
    <row r="122" spans="4:8">
      <c r="D122" s="16" t="str">
        <f t="shared" si="4"/>
        <v>J1</v>
      </c>
      <c r="E122" s="16" t="s">
        <v>478</v>
      </c>
      <c r="F122" s="16" t="s">
        <v>530</v>
      </c>
      <c r="G122" s="16" t="s">
        <v>246</v>
      </c>
      <c r="H122" s="16" t="s">
        <v>416</v>
      </c>
    </row>
    <row r="123" spans="4:8">
      <c r="D123" s="16" t="str">
        <f t="shared" si="4"/>
        <v>J2</v>
      </c>
      <c r="E123" s="16" t="s">
        <v>478</v>
      </c>
      <c r="F123" s="16" t="s">
        <v>531</v>
      </c>
      <c r="G123" s="16" t="s">
        <v>258</v>
      </c>
      <c r="H123" s="16" t="s">
        <v>417</v>
      </c>
    </row>
    <row r="124" spans="4:8">
      <c r="D124" s="16" t="str">
        <f t="shared" si="4"/>
        <v>J3</v>
      </c>
      <c r="E124" s="16" t="s">
        <v>478</v>
      </c>
      <c r="F124" s="16" t="s">
        <v>532</v>
      </c>
      <c r="G124" s="16" t="s">
        <v>270</v>
      </c>
      <c r="H124" s="16" t="s">
        <v>418</v>
      </c>
    </row>
    <row r="125" spans="4:8">
      <c r="D125" s="16" t="str">
        <f t="shared" si="4"/>
        <v>FASE DE GRUPOS</v>
      </c>
      <c r="E125" s="16" t="s">
        <v>478</v>
      </c>
      <c r="F125" s="16" t="s">
        <v>533</v>
      </c>
      <c r="G125" s="16" t="s">
        <v>534</v>
      </c>
      <c r="H125" s="16" t="s">
        <v>535</v>
      </c>
    </row>
    <row r="126" spans="4:8">
      <c r="D126" s="16" t="str">
        <f t="shared" si="4"/>
        <v>POSICIÓN GRUPOS</v>
      </c>
      <c r="E126" s="16" t="s">
        <v>478</v>
      </c>
      <c r="F126" s="16" t="s">
        <v>536</v>
      </c>
      <c r="G126" s="16" t="s">
        <v>537</v>
      </c>
      <c r="H126" s="16" t="s">
        <v>538</v>
      </c>
    </row>
    <row r="127" spans="4:8">
      <c r="D127" s="16" t="str">
        <f t="shared" si="4"/>
        <v>CLASIFICADOS PARA DIECISEISAVOS</v>
      </c>
      <c r="E127" s="16" t="s">
        <v>478</v>
      </c>
      <c r="F127" s="16" t="s">
        <v>539</v>
      </c>
      <c r="G127" s="16" t="s">
        <v>540</v>
      </c>
      <c r="H127" s="16" t="s">
        <v>541</v>
      </c>
    </row>
    <row r="128" spans="4:8">
      <c r="D128" s="16" t="str">
        <f t="shared" si="4"/>
        <v>ENFRENTAMIENTOS DIECISEISAVOS</v>
      </c>
      <c r="E128" s="16" t="s">
        <v>478</v>
      </c>
      <c r="F128" s="16" t="s">
        <v>542</v>
      </c>
      <c r="G128" s="16" t="s">
        <v>543</v>
      </c>
      <c r="H128" s="16" t="s">
        <v>544</v>
      </c>
    </row>
    <row r="129" spans="4:8">
      <c r="D129" s="16" t="str">
        <f t="shared" si="4"/>
        <v>CLASIFICADOS PARA OCTAVOS</v>
      </c>
      <c r="E129" s="16" t="s">
        <v>478</v>
      </c>
      <c r="G129" s="16" t="s">
        <v>545</v>
      </c>
      <c r="H129" s="16" t="s">
        <v>546</v>
      </c>
    </row>
    <row r="130" spans="4:8">
      <c r="D130" s="16" t="str">
        <f t="shared" si="4"/>
        <v>ENFRENTAMIENTOS OCTAVOS</v>
      </c>
      <c r="E130" s="16" t="s">
        <v>478</v>
      </c>
      <c r="G130" s="16" t="s">
        <v>547</v>
      </c>
      <c r="H130" s="16" t="s">
        <v>548</v>
      </c>
    </row>
    <row r="131" spans="4:8">
      <c r="D131" s="16" t="str">
        <f t="shared" si="4"/>
        <v>CLASIFICADOS PARA CUARTOS</v>
      </c>
      <c r="E131" s="16" t="s">
        <v>478</v>
      </c>
      <c r="F131" s="16" t="s">
        <v>549</v>
      </c>
      <c r="G131" s="16" t="s">
        <v>550</v>
      </c>
      <c r="H131" s="16" t="s">
        <v>551</v>
      </c>
    </row>
    <row r="132" spans="4:8">
      <c r="D132" s="16" t="str">
        <f t="shared" si="4"/>
        <v>ENFRENTAMIENTOS CUARTOS</v>
      </c>
      <c r="E132" s="16" t="s">
        <v>478</v>
      </c>
      <c r="F132" s="16" t="s">
        <v>552</v>
      </c>
      <c r="G132" s="16" t="s">
        <v>553</v>
      </c>
      <c r="H132" s="16" t="s">
        <v>554</v>
      </c>
    </row>
    <row r="133" spans="4:8">
      <c r="D133" s="16" t="str">
        <f t="shared" si="4"/>
        <v>CLASIFICADOS PARA SEMIFINALES</v>
      </c>
      <c r="E133" s="16" t="s">
        <v>478</v>
      </c>
      <c r="F133" s="16" t="s">
        <v>555</v>
      </c>
      <c r="G133" s="16" t="s">
        <v>556</v>
      </c>
      <c r="H133" s="16" t="s">
        <v>557</v>
      </c>
    </row>
    <row r="134" spans="4:8">
      <c r="D134" s="16" t="str">
        <f t="shared" ref="D134:D165" si="5">IF($B$2,G134,H134)</f>
        <v>ENFRENTAMIENTOS SEMIFINALES</v>
      </c>
      <c r="E134" s="16" t="s">
        <v>478</v>
      </c>
      <c r="F134" s="16" t="s">
        <v>558</v>
      </c>
      <c r="G134" s="16" t="s">
        <v>559</v>
      </c>
      <c r="H134" s="16" t="s">
        <v>560</v>
      </c>
    </row>
    <row r="135" spans="4:8">
      <c r="D135" s="16" t="str">
        <f t="shared" si="5"/>
        <v>CLASIFICADOS PARA EL 3º y 4º PUESTO</v>
      </c>
      <c r="E135" s="16" t="s">
        <v>478</v>
      </c>
      <c r="G135" s="16" t="s">
        <v>561</v>
      </c>
      <c r="H135" s="16" t="s">
        <v>562</v>
      </c>
    </row>
    <row r="136" spans="4:8">
      <c r="D136" s="16" t="str">
        <f t="shared" si="5"/>
        <v>CLASIFICADOS PARA LA FINAL</v>
      </c>
      <c r="E136" s="16" t="s">
        <v>478</v>
      </c>
      <c r="F136" s="16" t="s">
        <v>563</v>
      </c>
      <c r="G136" s="16" t="s">
        <v>564</v>
      </c>
      <c r="H136" s="16" t="s">
        <v>565</v>
      </c>
    </row>
    <row r="137" spans="4:8">
      <c r="D137" s="16" t="str">
        <f t="shared" si="5"/>
        <v>3º-4º puesto</v>
      </c>
      <c r="E137" s="16" t="s">
        <v>478</v>
      </c>
      <c r="G137" s="16" t="s">
        <v>566</v>
      </c>
      <c r="H137" s="16" t="s">
        <v>349</v>
      </c>
    </row>
    <row r="138" spans="4:8">
      <c r="D138" s="16" t="str">
        <f t="shared" si="5"/>
        <v>ENFRENTAMIENTO FINAL</v>
      </c>
      <c r="E138" s="16" t="s">
        <v>478</v>
      </c>
      <c r="F138" s="16" t="s">
        <v>567</v>
      </c>
      <c r="G138" s="16" t="s">
        <v>568</v>
      </c>
      <c r="H138" s="16" t="s">
        <v>569</v>
      </c>
    </row>
    <row r="139" spans="4:8">
      <c r="D139" s="16" t="str">
        <f t="shared" si="5"/>
        <v>CUADRO DE HONOR</v>
      </c>
      <c r="E139" s="16" t="s">
        <v>478</v>
      </c>
      <c r="F139" s="16" t="s">
        <v>570</v>
      </c>
      <c r="G139" s="16" t="s">
        <v>571</v>
      </c>
      <c r="H139" s="16" t="s">
        <v>572</v>
      </c>
    </row>
    <row r="140" spans="4:8">
      <c r="D140" s="16" t="str">
        <f t="shared" si="5"/>
        <v>1º GRUPO A</v>
      </c>
      <c r="E140" s="16" t="s">
        <v>478</v>
      </c>
      <c r="F140" s="16" t="s">
        <v>573</v>
      </c>
      <c r="G140" s="16" t="s">
        <v>574</v>
      </c>
      <c r="H140" s="9" t="s">
        <v>575</v>
      </c>
    </row>
    <row r="141" spans="4:8">
      <c r="D141" s="16" t="str">
        <f t="shared" si="5"/>
        <v>2º GRUPO A</v>
      </c>
      <c r="E141" s="16" t="s">
        <v>478</v>
      </c>
      <c r="F141" s="16" t="s">
        <v>576</v>
      </c>
      <c r="G141" s="16" t="s">
        <v>577</v>
      </c>
      <c r="H141" s="9" t="s">
        <v>578</v>
      </c>
    </row>
    <row r="142" spans="4:8">
      <c r="D142" s="16" t="str">
        <f t="shared" si="5"/>
        <v>3º GRUPO A</v>
      </c>
      <c r="E142" s="16" t="s">
        <v>478</v>
      </c>
      <c r="F142" s="16" t="s">
        <v>579</v>
      </c>
      <c r="G142" s="16" t="s">
        <v>580</v>
      </c>
      <c r="H142" s="9" t="s">
        <v>581</v>
      </c>
    </row>
    <row r="143" spans="4:8">
      <c r="D143" s="16" t="str">
        <f t="shared" si="5"/>
        <v>4º GRUPO A</v>
      </c>
      <c r="E143" s="16" t="s">
        <v>478</v>
      </c>
      <c r="F143" s="16" t="s">
        <v>582</v>
      </c>
      <c r="G143" s="16" t="s">
        <v>583</v>
      </c>
      <c r="H143" s="9" t="s">
        <v>584</v>
      </c>
    </row>
    <row r="144" spans="4:8">
      <c r="D144" s="16" t="str">
        <f t="shared" si="5"/>
        <v>1º GRUPO B</v>
      </c>
      <c r="E144" s="16" t="s">
        <v>478</v>
      </c>
      <c r="F144" s="16" t="s">
        <v>585</v>
      </c>
      <c r="G144" s="16" t="s">
        <v>586</v>
      </c>
      <c r="H144" s="9" t="s">
        <v>587</v>
      </c>
    </row>
    <row r="145" spans="4:8">
      <c r="D145" s="16" t="str">
        <f t="shared" si="5"/>
        <v>2º GRUPO B</v>
      </c>
      <c r="E145" s="16" t="s">
        <v>478</v>
      </c>
      <c r="F145" s="16" t="s">
        <v>588</v>
      </c>
      <c r="G145" s="16" t="s">
        <v>589</v>
      </c>
      <c r="H145" s="9" t="s">
        <v>590</v>
      </c>
    </row>
    <row r="146" spans="4:8">
      <c r="D146" s="16" t="str">
        <f t="shared" si="5"/>
        <v>3º GRUPO B</v>
      </c>
      <c r="E146" s="16" t="s">
        <v>478</v>
      </c>
      <c r="F146" s="16" t="s">
        <v>591</v>
      </c>
      <c r="G146" s="16" t="s">
        <v>592</v>
      </c>
      <c r="H146" s="9" t="s">
        <v>593</v>
      </c>
    </row>
    <row r="147" spans="4:8">
      <c r="D147" s="16" t="str">
        <f t="shared" si="5"/>
        <v>4º GRUPO B</v>
      </c>
      <c r="E147" s="16" t="s">
        <v>478</v>
      </c>
      <c r="F147" s="16" t="s">
        <v>594</v>
      </c>
      <c r="G147" s="16" t="s">
        <v>595</v>
      </c>
      <c r="H147" s="9" t="s">
        <v>596</v>
      </c>
    </row>
    <row r="148" spans="4:8">
      <c r="D148" s="16" t="str">
        <f t="shared" si="5"/>
        <v>1º GRUPO C</v>
      </c>
      <c r="E148" s="16" t="s">
        <v>478</v>
      </c>
      <c r="F148" s="16" t="s">
        <v>597</v>
      </c>
      <c r="G148" s="16" t="s">
        <v>598</v>
      </c>
      <c r="H148" s="9" t="s">
        <v>599</v>
      </c>
    </row>
    <row r="149" spans="4:8">
      <c r="D149" s="16" t="str">
        <f t="shared" si="5"/>
        <v>2º GRUPO C</v>
      </c>
      <c r="E149" s="16" t="s">
        <v>478</v>
      </c>
      <c r="F149" s="16" t="s">
        <v>600</v>
      </c>
      <c r="G149" s="16" t="s">
        <v>601</v>
      </c>
      <c r="H149" s="9" t="s">
        <v>602</v>
      </c>
    </row>
    <row r="150" spans="4:8">
      <c r="D150" s="16" t="str">
        <f t="shared" si="5"/>
        <v>3º GRUPO C</v>
      </c>
      <c r="E150" s="16" t="s">
        <v>478</v>
      </c>
      <c r="F150" s="16" t="s">
        <v>603</v>
      </c>
      <c r="G150" s="16" t="s">
        <v>604</v>
      </c>
      <c r="H150" s="9" t="s">
        <v>605</v>
      </c>
    </row>
    <row r="151" spans="4:8">
      <c r="D151" s="16" t="str">
        <f t="shared" si="5"/>
        <v>4º GRUPO C</v>
      </c>
      <c r="E151" s="16" t="s">
        <v>478</v>
      </c>
      <c r="F151" s="16" t="s">
        <v>606</v>
      </c>
      <c r="G151" s="16" t="s">
        <v>607</v>
      </c>
      <c r="H151" s="9" t="s">
        <v>608</v>
      </c>
    </row>
    <row r="152" spans="4:8">
      <c r="D152" s="16" t="str">
        <f t="shared" si="5"/>
        <v>1º GRUPO D</v>
      </c>
      <c r="E152" s="16" t="s">
        <v>478</v>
      </c>
      <c r="F152" s="16" t="s">
        <v>609</v>
      </c>
      <c r="G152" s="16" t="s">
        <v>610</v>
      </c>
      <c r="H152" s="9" t="s">
        <v>611</v>
      </c>
    </row>
    <row r="153" spans="4:8">
      <c r="D153" s="16" t="str">
        <f t="shared" si="5"/>
        <v>2º GRUPO D</v>
      </c>
      <c r="E153" s="16" t="s">
        <v>478</v>
      </c>
      <c r="F153" s="16" t="s">
        <v>612</v>
      </c>
      <c r="G153" s="16" t="s">
        <v>613</v>
      </c>
      <c r="H153" s="9" t="s">
        <v>614</v>
      </c>
    </row>
    <row r="154" spans="4:8">
      <c r="D154" s="16" t="str">
        <f t="shared" si="5"/>
        <v>3º GRUPO D</v>
      </c>
      <c r="E154" s="16" t="s">
        <v>478</v>
      </c>
      <c r="F154" s="16" t="s">
        <v>615</v>
      </c>
      <c r="G154" s="16" t="s">
        <v>616</v>
      </c>
      <c r="H154" s="9" t="s">
        <v>617</v>
      </c>
    </row>
    <row r="155" spans="4:8">
      <c r="D155" s="16" t="str">
        <f t="shared" si="5"/>
        <v>4º GRUPO D</v>
      </c>
      <c r="E155" s="16" t="s">
        <v>478</v>
      </c>
      <c r="F155" s="16" t="s">
        <v>618</v>
      </c>
      <c r="G155" s="16" t="s">
        <v>619</v>
      </c>
      <c r="H155" s="9" t="s">
        <v>620</v>
      </c>
    </row>
    <row r="156" spans="4:8">
      <c r="D156" s="16" t="str">
        <f t="shared" si="5"/>
        <v>1º GRUPO E</v>
      </c>
      <c r="E156" s="16" t="s">
        <v>478</v>
      </c>
      <c r="F156" s="16" t="s">
        <v>621</v>
      </c>
      <c r="G156" s="16" t="s">
        <v>622</v>
      </c>
      <c r="H156" s="9" t="s">
        <v>623</v>
      </c>
    </row>
    <row r="157" spans="4:8">
      <c r="D157" s="16" t="str">
        <f t="shared" si="5"/>
        <v>2º GRUPO E</v>
      </c>
      <c r="E157" s="16" t="s">
        <v>478</v>
      </c>
      <c r="F157" s="16" t="s">
        <v>624</v>
      </c>
      <c r="G157" s="16" t="s">
        <v>625</v>
      </c>
      <c r="H157" s="9" t="s">
        <v>626</v>
      </c>
    </row>
    <row r="158" spans="4:8">
      <c r="D158" s="16" t="str">
        <f t="shared" si="5"/>
        <v>3º GRUPO E</v>
      </c>
      <c r="E158" s="16" t="s">
        <v>478</v>
      </c>
      <c r="F158" s="16" t="s">
        <v>627</v>
      </c>
      <c r="G158" s="16" t="s">
        <v>628</v>
      </c>
      <c r="H158" s="9" t="s">
        <v>629</v>
      </c>
    </row>
    <row r="159" spans="4:8">
      <c r="D159" s="16" t="str">
        <f t="shared" si="5"/>
        <v>4º GRUPO E</v>
      </c>
      <c r="E159" s="16" t="s">
        <v>478</v>
      </c>
      <c r="F159" s="16" t="s">
        <v>630</v>
      </c>
      <c r="G159" s="16" t="s">
        <v>631</v>
      </c>
      <c r="H159" s="9" t="s">
        <v>632</v>
      </c>
    </row>
    <row r="160" spans="4:8">
      <c r="D160" s="16" t="str">
        <f t="shared" si="5"/>
        <v>1º GRUPO F</v>
      </c>
      <c r="E160" s="16" t="s">
        <v>478</v>
      </c>
      <c r="F160" s="16" t="s">
        <v>633</v>
      </c>
      <c r="G160" s="16" t="s">
        <v>634</v>
      </c>
      <c r="H160" s="9" t="s">
        <v>635</v>
      </c>
    </row>
    <row r="161" spans="4:8">
      <c r="D161" s="16" t="str">
        <f t="shared" si="5"/>
        <v>2º GRUPO F</v>
      </c>
      <c r="E161" s="16" t="s">
        <v>478</v>
      </c>
      <c r="F161" s="16" t="s">
        <v>636</v>
      </c>
      <c r="G161" s="16" t="s">
        <v>637</v>
      </c>
      <c r="H161" s="9" t="s">
        <v>638</v>
      </c>
    </row>
    <row r="162" spans="4:8">
      <c r="D162" s="16" t="str">
        <f t="shared" si="5"/>
        <v>3º GRUPO F</v>
      </c>
      <c r="E162" s="16" t="s">
        <v>478</v>
      </c>
      <c r="F162" s="16" t="s">
        <v>639</v>
      </c>
      <c r="G162" s="16" t="s">
        <v>640</v>
      </c>
      <c r="H162" s="9" t="s">
        <v>641</v>
      </c>
    </row>
    <row r="163" spans="4:8">
      <c r="D163" s="16" t="str">
        <f t="shared" si="5"/>
        <v>4º GRUPO F</v>
      </c>
      <c r="E163" s="16" t="s">
        <v>478</v>
      </c>
      <c r="F163" s="16" t="s">
        <v>642</v>
      </c>
      <c r="G163" s="16" t="s">
        <v>643</v>
      </c>
      <c r="H163" s="9" t="s">
        <v>644</v>
      </c>
    </row>
    <row r="164" spans="4:8">
      <c r="D164" s="16" t="str">
        <f t="shared" si="5"/>
        <v>1º GRUPO G</v>
      </c>
      <c r="E164" s="16" t="s">
        <v>478</v>
      </c>
      <c r="G164" s="16" t="s">
        <v>645</v>
      </c>
      <c r="H164" s="9" t="s">
        <v>646</v>
      </c>
    </row>
    <row r="165" spans="4:8">
      <c r="D165" s="16" t="str">
        <f t="shared" si="5"/>
        <v>2º GRUPO G</v>
      </c>
      <c r="E165" s="16" t="s">
        <v>478</v>
      </c>
      <c r="G165" s="16" t="s">
        <v>647</v>
      </c>
      <c r="H165" s="9" t="s">
        <v>648</v>
      </c>
    </row>
    <row r="166" spans="4:8">
      <c r="D166" s="16" t="str">
        <f t="shared" ref="D166:D193" si="6">IF($B$2,G166,H166)</f>
        <v>3º GRUPO G</v>
      </c>
      <c r="E166" s="16" t="s">
        <v>478</v>
      </c>
      <c r="G166" s="16" t="s">
        <v>649</v>
      </c>
      <c r="H166" s="9" t="s">
        <v>650</v>
      </c>
    </row>
    <row r="167" spans="4:8">
      <c r="D167" s="16" t="str">
        <f t="shared" si="6"/>
        <v>4º GRUPO G</v>
      </c>
      <c r="E167" s="16" t="s">
        <v>478</v>
      </c>
      <c r="G167" s="16" t="s">
        <v>651</v>
      </c>
      <c r="H167" s="9" t="s">
        <v>652</v>
      </c>
    </row>
    <row r="168" spans="4:8">
      <c r="D168" s="16" t="str">
        <f t="shared" si="6"/>
        <v>1º GRUPO H</v>
      </c>
      <c r="E168" s="16" t="s">
        <v>478</v>
      </c>
      <c r="G168" s="16" t="s">
        <v>653</v>
      </c>
      <c r="H168" s="9" t="s">
        <v>654</v>
      </c>
    </row>
    <row r="169" spans="4:8">
      <c r="D169" s="16" t="str">
        <f t="shared" si="6"/>
        <v>2º GRUPO H</v>
      </c>
      <c r="E169" s="16" t="s">
        <v>478</v>
      </c>
      <c r="G169" s="16" t="s">
        <v>655</v>
      </c>
      <c r="H169" s="9" t="s">
        <v>656</v>
      </c>
    </row>
    <row r="170" spans="4:8">
      <c r="D170" s="16" t="str">
        <f t="shared" si="6"/>
        <v>3º GRUPO H</v>
      </c>
      <c r="E170" s="16" t="s">
        <v>478</v>
      </c>
      <c r="G170" s="16" t="s">
        <v>657</v>
      </c>
      <c r="H170" s="9" t="s">
        <v>658</v>
      </c>
    </row>
    <row r="171" spans="4:8">
      <c r="D171" s="16" t="str">
        <f t="shared" si="6"/>
        <v>4º GRUPO H</v>
      </c>
      <c r="E171" s="16" t="s">
        <v>478</v>
      </c>
      <c r="G171" s="16" t="s">
        <v>659</v>
      </c>
      <c r="H171" s="9" t="s">
        <v>660</v>
      </c>
    </row>
    <row r="172" spans="4:8">
      <c r="D172" s="16" t="str">
        <f t="shared" si="6"/>
        <v>1º GRUPO I</v>
      </c>
      <c r="E172" s="16" t="s">
        <v>478</v>
      </c>
      <c r="G172" s="16" t="s">
        <v>661</v>
      </c>
      <c r="H172" s="9" t="s">
        <v>662</v>
      </c>
    </row>
    <row r="173" spans="4:8">
      <c r="D173" s="16" t="str">
        <f t="shared" si="6"/>
        <v>2º GRUPO I</v>
      </c>
      <c r="E173" s="16" t="s">
        <v>478</v>
      </c>
      <c r="G173" s="16" t="s">
        <v>663</v>
      </c>
      <c r="H173" s="9" t="s">
        <v>664</v>
      </c>
    </row>
    <row r="174" spans="4:8">
      <c r="D174" s="16" t="str">
        <f t="shared" si="6"/>
        <v>3º GRUPO I</v>
      </c>
      <c r="E174" s="16" t="s">
        <v>478</v>
      </c>
      <c r="G174" s="16" t="s">
        <v>665</v>
      </c>
      <c r="H174" s="9" t="s">
        <v>666</v>
      </c>
    </row>
    <row r="175" spans="4:8">
      <c r="D175" s="16" t="str">
        <f t="shared" si="6"/>
        <v>4º GRUPO I</v>
      </c>
      <c r="E175" s="16" t="s">
        <v>478</v>
      </c>
      <c r="G175" s="16" t="s">
        <v>667</v>
      </c>
      <c r="H175" s="9" t="s">
        <v>668</v>
      </c>
    </row>
    <row r="176" spans="4:8">
      <c r="D176" s="16" t="str">
        <f t="shared" si="6"/>
        <v>1º GRUPO J</v>
      </c>
      <c r="E176" s="16" t="s">
        <v>478</v>
      </c>
      <c r="G176" s="16" t="s">
        <v>669</v>
      </c>
      <c r="H176" s="9" t="s">
        <v>670</v>
      </c>
    </row>
    <row r="177" spans="4:8">
      <c r="D177" s="16" t="str">
        <f t="shared" si="6"/>
        <v>2º GRUPO J</v>
      </c>
      <c r="E177" s="16" t="s">
        <v>478</v>
      </c>
      <c r="G177" s="16" t="s">
        <v>671</v>
      </c>
      <c r="H177" s="9" t="s">
        <v>672</v>
      </c>
    </row>
    <row r="178" spans="4:8">
      <c r="D178" s="16" t="str">
        <f t="shared" si="6"/>
        <v>3º GRUPO J</v>
      </c>
      <c r="E178" s="16" t="s">
        <v>478</v>
      </c>
      <c r="G178" s="16" t="s">
        <v>673</v>
      </c>
      <c r="H178" s="9" t="s">
        <v>674</v>
      </c>
    </row>
    <row r="179" spans="4:8">
      <c r="D179" s="16" t="str">
        <f t="shared" si="6"/>
        <v>4º GRUPO J</v>
      </c>
      <c r="E179" s="16" t="s">
        <v>478</v>
      </c>
      <c r="G179" s="16" t="s">
        <v>675</v>
      </c>
      <c r="H179" s="9" t="s">
        <v>676</v>
      </c>
    </row>
    <row r="180" spans="4:8">
      <c r="D180" s="16" t="str">
        <f t="shared" si="6"/>
        <v>1º GRUPO K</v>
      </c>
      <c r="E180" s="16" t="s">
        <v>478</v>
      </c>
      <c r="G180" s="16" t="s">
        <v>677</v>
      </c>
      <c r="H180" s="9" t="s">
        <v>678</v>
      </c>
    </row>
    <row r="181" spans="4:8">
      <c r="D181" s="16" t="str">
        <f t="shared" si="6"/>
        <v>2º GRUPO K</v>
      </c>
      <c r="E181" s="16" t="s">
        <v>478</v>
      </c>
      <c r="G181" s="16" t="s">
        <v>679</v>
      </c>
      <c r="H181" s="9" t="s">
        <v>680</v>
      </c>
    </row>
    <row r="182" spans="4:8">
      <c r="D182" s="16" t="str">
        <f t="shared" si="6"/>
        <v>3º GRUPO K</v>
      </c>
      <c r="E182" s="16" t="s">
        <v>478</v>
      </c>
      <c r="G182" s="16" t="s">
        <v>681</v>
      </c>
      <c r="H182" s="9" t="s">
        <v>682</v>
      </c>
    </row>
    <row r="183" spans="4:8">
      <c r="D183" s="16" t="str">
        <f t="shared" si="6"/>
        <v>4º GRUPO K</v>
      </c>
      <c r="E183" s="16" t="s">
        <v>478</v>
      </c>
      <c r="G183" s="16" t="s">
        <v>683</v>
      </c>
      <c r="H183" s="9" t="s">
        <v>684</v>
      </c>
    </row>
    <row r="184" spans="4:8">
      <c r="D184" s="16" t="str">
        <f t="shared" si="6"/>
        <v>1º GRUPO L</v>
      </c>
      <c r="E184" s="16" t="s">
        <v>478</v>
      </c>
      <c r="G184" s="16" t="s">
        <v>685</v>
      </c>
      <c r="H184" s="9" t="s">
        <v>686</v>
      </c>
    </row>
    <row r="185" spans="4:8">
      <c r="D185" s="16" t="str">
        <f t="shared" si="6"/>
        <v>2º GRUPO L</v>
      </c>
      <c r="E185" s="16" t="s">
        <v>478</v>
      </c>
      <c r="G185" s="16" t="s">
        <v>687</v>
      </c>
      <c r="H185" s="9" t="s">
        <v>688</v>
      </c>
    </row>
    <row r="186" spans="4:8">
      <c r="D186" s="16" t="str">
        <f t="shared" si="6"/>
        <v>3º GRUPO L</v>
      </c>
      <c r="E186" s="16" t="s">
        <v>478</v>
      </c>
      <c r="G186" s="16" t="s">
        <v>689</v>
      </c>
      <c r="H186" s="9" t="s">
        <v>690</v>
      </c>
    </row>
    <row r="187" spans="4:8">
      <c r="D187" s="16" t="str">
        <f t="shared" si="6"/>
        <v>4º GRUPO L</v>
      </c>
      <c r="E187" s="16" t="s">
        <v>478</v>
      </c>
      <c r="G187" s="16" t="s">
        <v>691</v>
      </c>
      <c r="H187" s="9" t="s">
        <v>692</v>
      </c>
    </row>
    <row r="188" spans="4:8">
      <c r="D188" s="16" t="str">
        <f t="shared" si="6"/>
        <v>Dieciseisavofinalista</v>
      </c>
      <c r="E188" s="16" t="s">
        <v>478</v>
      </c>
      <c r="F188" s="16" t="s">
        <v>693</v>
      </c>
      <c r="G188" s="16" t="s">
        <v>694</v>
      </c>
      <c r="H188" s="9" t="s">
        <v>695</v>
      </c>
    </row>
    <row r="189" spans="4:8">
      <c r="D189" s="16" t="str">
        <f t="shared" si="6"/>
        <v>Octavofinalista</v>
      </c>
      <c r="E189" s="16" t="s">
        <v>478</v>
      </c>
      <c r="G189" s="16" t="s">
        <v>696</v>
      </c>
      <c r="H189" s="9" t="s">
        <v>697</v>
      </c>
    </row>
    <row r="190" spans="4:8">
      <c r="D190" s="16" t="str">
        <f t="shared" si="6"/>
        <v>Cuartofinalista</v>
      </c>
      <c r="E190" s="16" t="s">
        <v>478</v>
      </c>
      <c r="F190" s="16" t="s">
        <v>698</v>
      </c>
      <c r="G190" s="16" t="s">
        <v>699</v>
      </c>
      <c r="H190" s="9" t="s">
        <v>700</v>
      </c>
    </row>
    <row r="191" spans="4:8">
      <c r="D191" s="16" t="str">
        <f t="shared" si="6"/>
        <v>Semifinalista</v>
      </c>
      <c r="E191" s="16" t="s">
        <v>478</v>
      </c>
      <c r="F191" s="16" t="s">
        <v>701</v>
      </c>
      <c r="G191" s="16" t="s">
        <v>702</v>
      </c>
      <c r="H191" s="9" t="s">
        <v>703</v>
      </c>
    </row>
    <row r="192" spans="4:8">
      <c r="D192" s="16" t="str">
        <f t="shared" si="6"/>
        <v>3º y 4º puesto</v>
      </c>
      <c r="E192" s="16" t="s">
        <v>478</v>
      </c>
      <c r="G192" s="16" t="s">
        <v>348</v>
      </c>
      <c r="H192" s="9" t="s">
        <v>349</v>
      </c>
    </row>
    <row r="193" spans="2:11">
      <c r="D193" s="16" t="str">
        <f t="shared" si="6"/>
        <v>Finalista</v>
      </c>
      <c r="E193" s="16" t="s">
        <v>478</v>
      </c>
      <c r="F193" s="16" t="s">
        <v>704</v>
      </c>
      <c r="G193" s="16" t="s">
        <v>705</v>
      </c>
      <c r="H193" s="9" t="s">
        <v>706</v>
      </c>
    </row>
    <row r="197" spans="2:11">
      <c r="J197" s="593"/>
      <c r="K197" s="581"/>
    </row>
    <row r="199" spans="2:11">
      <c r="J199" s="593"/>
    </row>
    <row r="201" spans="2:11">
      <c r="C201" s="16" t="s">
        <v>707</v>
      </c>
    </row>
    <row r="202" spans="2:11">
      <c r="B202" s="16">
        <v>1</v>
      </c>
      <c r="C202" s="16">
        <v>17</v>
      </c>
      <c r="D202" s="16" t="str">
        <f t="shared" ref="D202:D249" ca="1" si="7">IF($B$2,G202,H202)</f>
        <v>Alemania</v>
      </c>
      <c r="E202" s="16" t="s">
        <v>708</v>
      </c>
      <c r="F202" s="16" t="s">
        <v>259</v>
      </c>
      <c r="G202" s="16" t="str">
        <f ca="1">Credits!EU6119</f>
        <v>Alemania</v>
      </c>
      <c r="H202" s="16" t="str">
        <f ca="1">Credits!EV6119</f>
        <v>Germany</v>
      </c>
    </row>
    <row r="203" spans="2:11">
      <c r="B203" s="16">
        <v>2</v>
      </c>
      <c r="C203" s="16">
        <v>31</v>
      </c>
      <c r="D203" s="16" t="str">
        <f t="shared" ca="1" si="7"/>
        <v>Arabia Saudita</v>
      </c>
      <c r="E203" s="16" t="s">
        <v>708</v>
      </c>
      <c r="F203" s="16" t="s">
        <v>271</v>
      </c>
      <c r="G203" s="16" t="str">
        <f ca="1">Credits!EU6120</f>
        <v>Arabia Saudita</v>
      </c>
      <c r="H203" s="16" t="str">
        <f ca="1">Credits!EV6120</f>
        <v>Saudi Arabia</v>
      </c>
    </row>
    <row r="204" spans="2:11">
      <c r="B204" s="16">
        <v>3</v>
      </c>
      <c r="C204" s="16">
        <v>38</v>
      </c>
      <c r="D204" s="16" t="str">
        <f t="shared" ca="1" si="7"/>
        <v>Argelia</v>
      </c>
      <c r="E204" s="16" t="s">
        <v>708</v>
      </c>
      <c r="F204" s="16" t="s">
        <v>709</v>
      </c>
      <c r="G204" s="16" t="str">
        <f ca="1">Credits!EU6121</f>
        <v>Argelia</v>
      </c>
      <c r="H204" s="16" t="str">
        <f ca="1">Credits!EV6121</f>
        <v>Algeria</v>
      </c>
    </row>
    <row r="205" spans="2:11">
      <c r="B205" s="16">
        <v>4</v>
      </c>
      <c r="C205" s="16">
        <v>37</v>
      </c>
      <c r="D205" s="16" t="str">
        <f t="shared" ca="1" si="7"/>
        <v>Argentina</v>
      </c>
      <c r="E205" s="16" t="s">
        <v>708</v>
      </c>
      <c r="F205" s="16" t="s">
        <v>710</v>
      </c>
      <c r="G205" s="16" t="str">
        <f ca="1">Credits!EU6122</f>
        <v>Argentina</v>
      </c>
      <c r="H205" s="16" t="str">
        <f ca="1">Credits!EV6122</f>
        <v>Argentina</v>
      </c>
    </row>
    <row r="206" spans="2:11">
      <c r="B206" s="16">
        <v>5</v>
      </c>
      <c r="C206" s="16">
        <v>15</v>
      </c>
      <c r="D206" s="16" t="str">
        <f t="shared" ca="1" si="7"/>
        <v>Australia</v>
      </c>
      <c r="E206" s="16" t="s">
        <v>708</v>
      </c>
      <c r="F206" s="16" t="s">
        <v>711</v>
      </c>
      <c r="G206" s="16" t="str">
        <f ca="1">Credits!EU6123</f>
        <v>Australia</v>
      </c>
      <c r="H206" s="16" t="str">
        <f ca="1">Credits!EV6123</f>
        <v>Australia</v>
      </c>
    </row>
    <row r="207" spans="2:11">
      <c r="B207" s="16">
        <v>6</v>
      </c>
      <c r="C207" s="16">
        <v>39</v>
      </c>
      <c r="D207" s="16" t="str">
        <f t="shared" ca="1" si="7"/>
        <v>Austria</v>
      </c>
      <c r="E207" s="16" t="s">
        <v>708</v>
      </c>
      <c r="F207" s="16" t="s">
        <v>712</v>
      </c>
      <c r="G207" s="16" t="str">
        <f ca="1">Credits!EU6124</f>
        <v>Austria</v>
      </c>
      <c r="H207" s="16" t="str">
        <f ca="1">Credits!EV6124</f>
        <v>Austria</v>
      </c>
    </row>
    <row r="208" spans="2:11">
      <c r="B208" s="16">
        <v>7</v>
      </c>
      <c r="C208" s="16">
        <v>25</v>
      </c>
      <c r="D208" s="16" t="str">
        <f t="shared" ca="1" si="7"/>
        <v>Bélgica</v>
      </c>
      <c r="E208" s="16" t="s">
        <v>708</v>
      </c>
      <c r="F208" s="16" t="s">
        <v>713</v>
      </c>
      <c r="G208" s="16" t="str">
        <f ca="1">Credits!EU6125</f>
        <v>Bélgica</v>
      </c>
      <c r="H208" s="16" t="str">
        <f ca="1">Credits!EV6125</f>
        <v>Belgium</v>
      </c>
    </row>
    <row r="209" spans="2:8">
      <c r="B209" s="16">
        <v>8</v>
      </c>
      <c r="C209" s="16">
        <v>9</v>
      </c>
      <c r="D209" s="16" t="str">
        <f t="shared" ca="1" si="7"/>
        <v>Brasil</v>
      </c>
      <c r="E209" s="16" t="s">
        <v>708</v>
      </c>
      <c r="F209" s="16" t="s">
        <v>714</v>
      </c>
      <c r="G209" s="16" t="str">
        <f ca="1">Credits!EU6126</f>
        <v>Brasil</v>
      </c>
      <c r="H209" s="16" t="str">
        <f ca="1">Credits!EV6126</f>
        <v>Brazil</v>
      </c>
    </row>
    <row r="210" spans="2:8">
      <c r="B210" s="16">
        <v>9</v>
      </c>
      <c r="C210" s="16">
        <v>30</v>
      </c>
      <c r="D210" s="16" t="str">
        <f t="shared" ca="1" si="7"/>
        <v>Cabo Verde</v>
      </c>
      <c r="E210" s="16" t="s">
        <v>708</v>
      </c>
      <c r="F210" s="16" t="s">
        <v>715</v>
      </c>
      <c r="G210" s="16" t="str">
        <f ca="1">Credits!EU6127</f>
        <v>Cabo Verde</v>
      </c>
      <c r="H210" s="16" t="str">
        <f ca="1">Credits!EV6127</f>
        <v>Cape Verde</v>
      </c>
    </row>
    <row r="211" spans="2:8">
      <c r="B211" s="16">
        <v>10</v>
      </c>
      <c r="C211" s="16">
        <v>5</v>
      </c>
      <c r="D211" s="16" t="str">
        <f t="shared" ca="1" si="7"/>
        <v>Canadá</v>
      </c>
      <c r="E211" s="16" t="s">
        <v>708</v>
      </c>
      <c r="F211" s="16" t="s">
        <v>716</v>
      </c>
      <c r="G211" s="16" t="str">
        <f ca="1">Credits!EU6128</f>
        <v>Canadá</v>
      </c>
      <c r="H211" s="16" t="str">
        <f ca="1">Credits!EV6128</f>
        <v>Canada</v>
      </c>
    </row>
    <row r="212" spans="2:8">
      <c r="B212" s="16">
        <v>11</v>
      </c>
      <c r="C212" s="16">
        <v>7</v>
      </c>
      <c r="D212" s="16" t="str">
        <f t="shared" ca="1" si="7"/>
        <v>Catar</v>
      </c>
      <c r="E212" s="16" t="s">
        <v>708</v>
      </c>
      <c r="F212" s="16" t="s">
        <v>717</v>
      </c>
      <c r="G212" s="16" t="str">
        <f ca="1">Credits!EU6129</f>
        <v>Catar</v>
      </c>
      <c r="H212" s="16" t="str">
        <f ca="1">Credits!EV6129</f>
        <v>Qatar</v>
      </c>
    </row>
    <row r="213" spans="2:8">
      <c r="B213" s="16">
        <v>12</v>
      </c>
      <c r="C213" s="16">
        <v>44</v>
      </c>
      <c r="D213" s="16" t="str">
        <f t="shared" ca="1" si="7"/>
        <v>Colombia</v>
      </c>
      <c r="E213" s="16" t="s">
        <v>708</v>
      </c>
      <c r="F213" s="16" t="s">
        <v>718</v>
      </c>
      <c r="G213" s="16" t="str">
        <f ca="1">Credits!EU6130</f>
        <v>Colombia</v>
      </c>
      <c r="H213" s="16" t="str">
        <f ca="1">Credits!EV6130</f>
        <v>Colombia</v>
      </c>
    </row>
    <row r="214" spans="2:8">
      <c r="B214" s="16">
        <v>13</v>
      </c>
      <c r="C214" s="16">
        <v>3</v>
      </c>
      <c r="D214" s="16" t="str">
        <f t="shared" ca="1" si="7"/>
        <v>Corea del Sur</v>
      </c>
      <c r="E214" s="16" t="s">
        <v>708</v>
      </c>
      <c r="F214" s="16" t="s">
        <v>719</v>
      </c>
      <c r="G214" s="16" t="str">
        <f ca="1">Credits!EU6131</f>
        <v>Corea del Sur</v>
      </c>
      <c r="H214" s="16" t="str">
        <f ca="1">Credits!EV6131</f>
        <v>South Korea</v>
      </c>
    </row>
    <row r="215" spans="2:8">
      <c r="B215" s="16">
        <v>14</v>
      </c>
      <c r="C215" s="16">
        <v>19</v>
      </c>
      <c r="D215" s="16" t="str">
        <f t="shared" ca="1" si="7"/>
        <v>Costa de Marfil</v>
      </c>
      <c r="E215" s="16" t="s">
        <v>708</v>
      </c>
      <c r="F215" s="16" t="s">
        <v>720</v>
      </c>
      <c r="G215" s="16" t="str">
        <f ca="1">Credits!EU6132</f>
        <v>Costa de Marfil</v>
      </c>
      <c r="H215" s="16" t="str">
        <f ca="1">Credits!EV6132</f>
        <v>Ivory Coast</v>
      </c>
    </row>
    <row r="216" spans="2:8">
      <c r="B216" s="16">
        <v>15</v>
      </c>
      <c r="C216" s="16">
        <v>46</v>
      </c>
      <c r="D216" s="16" t="str">
        <f t="shared" ca="1" si="7"/>
        <v>Croacia</v>
      </c>
      <c r="E216" s="16" t="s">
        <v>708</v>
      </c>
      <c r="F216" s="16" t="s">
        <v>721</v>
      </c>
      <c r="G216" s="16" t="str">
        <f ca="1">Credits!EU6133</f>
        <v>Croacia</v>
      </c>
      <c r="H216" s="16" t="str">
        <f ca="1">Credits!EV6133</f>
        <v>Croatia</v>
      </c>
    </row>
    <row r="217" spans="2:8">
      <c r="B217" s="16">
        <v>16</v>
      </c>
      <c r="C217" s="16">
        <v>18</v>
      </c>
      <c r="D217" s="16" t="str">
        <f t="shared" ca="1" si="7"/>
        <v>Curazao</v>
      </c>
      <c r="E217" s="16" t="s">
        <v>708</v>
      </c>
      <c r="F217" s="16" t="s">
        <v>722</v>
      </c>
      <c r="G217" s="16" t="str">
        <f ca="1">Credits!EU6134</f>
        <v>Curazao</v>
      </c>
      <c r="H217" s="16" t="str">
        <f ca="1">Credits!EV6134</f>
        <v>Curaçao</v>
      </c>
    </row>
    <row r="218" spans="2:8">
      <c r="B218" s="16">
        <v>17</v>
      </c>
      <c r="C218" s="16">
        <v>20</v>
      </c>
      <c r="D218" s="16" t="str">
        <f t="shared" ca="1" si="7"/>
        <v>Ecuador</v>
      </c>
      <c r="E218" s="16" t="s">
        <v>708</v>
      </c>
      <c r="F218" s="16" t="s">
        <v>723</v>
      </c>
      <c r="G218" s="16" t="str">
        <f ca="1">Credits!EU6135</f>
        <v>Ecuador</v>
      </c>
      <c r="H218" s="16" t="str">
        <f ca="1">Credits!EV6135</f>
        <v>Ecuador</v>
      </c>
    </row>
    <row r="219" spans="2:8">
      <c r="B219" s="16">
        <v>18</v>
      </c>
      <c r="C219" s="16">
        <v>26</v>
      </c>
      <c r="D219" s="16" t="str">
        <f t="shared" ca="1" si="7"/>
        <v>Egipto</v>
      </c>
      <c r="E219" s="16" t="s">
        <v>708</v>
      </c>
      <c r="F219" s="16" t="s">
        <v>724</v>
      </c>
      <c r="G219" s="16" t="str">
        <f ca="1">Credits!EU6136</f>
        <v>Egipto</v>
      </c>
      <c r="H219" s="16" t="str">
        <f ca="1">Credits!EV6136</f>
        <v>Egypt</v>
      </c>
    </row>
    <row r="220" spans="2:8">
      <c r="B220" s="16">
        <v>19</v>
      </c>
      <c r="C220" s="16">
        <v>12</v>
      </c>
      <c r="D220" s="16" t="str">
        <f t="shared" ca="1" si="7"/>
        <v>Escocia</v>
      </c>
      <c r="E220" s="16" t="s">
        <v>708</v>
      </c>
      <c r="F220" s="16" t="s">
        <v>725</v>
      </c>
      <c r="G220" s="16" t="str">
        <f ca="1">Credits!EU6137</f>
        <v>Escocia</v>
      </c>
      <c r="H220" s="16" t="str">
        <f ca="1">Credits!EV6137</f>
        <v>Scotland</v>
      </c>
    </row>
    <row r="221" spans="2:8">
      <c r="B221" s="16">
        <v>20</v>
      </c>
      <c r="C221" s="16">
        <v>29</v>
      </c>
      <c r="D221" s="16" t="str">
        <f t="shared" ca="1" si="7"/>
        <v>España</v>
      </c>
      <c r="E221" s="16" t="s">
        <v>708</v>
      </c>
      <c r="F221" s="16" t="s">
        <v>726</v>
      </c>
      <c r="G221" s="16" t="str">
        <f ca="1">Credits!EU6138</f>
        <v>España</v>
      </c>
      <c r="H221" s="16" t="str">
        <f ca="1">Credits!EV6138</f>
        <v>Spain</v>
      </c>
    </row>
    <row r="222" spans="2:8">
      <c r="B222" s="16">
        <v>21</v>
      </c>
      <c r="C222" s="16">
        <v>13</v>
      </c>
      <c r="D222" s="16" t="str">
        <f t="shared" ca="1" si="7"/>
        <v>Estados Unidos</v>
      </c>
      <c r="E222" s="16" t="s">
        <v>708</v>
      </c>
      <c r="F222" s="16" t="s">
        <v>727</v>
      </c>
      <c r="G222" s="16" t="str">
        <f ca="1">Credits!EU6139</f>
        <v>Estados Unidos</v>
      </c>
      <c r="H222" s="16" t="str">
        <f ca="1">Credits!EV6139</f>
        <v>United States</v>
      </c>
    </row>
    <row r="223" spans="2:8">
      <c r="B223" s="16">
        <v>22</v>
      </c>
      <c r="C223" s="16">
        <v>33</v>
      </c>
      <c r="D223" s="16" t="str">
        <f t="shared" ca="1" si="7"/>
        <v>Francia</v>
      </c>
      <c r="E223" s="16" t="s">
        <v>708</v>
      </c>
      <c r="F223" s="16" t="s">
        <v>728</v>
      </c>
      <c r="G223" s="16" t="str">
        <f ca="1">Credits!EU6140</f>
        <v>Francia</v>
      </c>
      <c r="H223" s="16" t="str">
        <f ca="1">Credits!EV6140</f>
        <v>France</v>
      </c>
    </row>
    <row r="224" spans="2:8">
      <c r="B224" s="16">
        <v>23</v>
      </c>
      <c r="C224" s="16">
        <v>47</v>
      </c>
      <c r="D224" s="16" t="str">
        <f t="shared" ca="1" si="7"/>
        <v>Ghana</v>
      </c>
      <c r="E224" s="16" t="s">
        <v>708</v>
      </c>
      <c r="F224" s="16" t="s">
        <v>729</v>
      </c>
      <c r="G224" s="16" t="str">
        <f ca="1">Credits!EU6141</f>
        <v>Ghana</v>
      </c>
      <c r="H224" s="16" t="str">
        <f ca="1">Credits!EV6141</f>
        <v>Ghana</v>
      </c>
    </row>
    <row r="225" spans="2:8">
      <c r="B225" s="16">
        <v>24</v>
      </c>
      <c r="C225" s="16">
        <v>11</v>
      </c>
      <c r="D225" s="16" t="str">
        <f t="shared" ca="1" si="7"/>
        <v>Haití</v>
      </c>
      <c r="E225" s="16" t="s">
        <v>708</v>
      </c>
      <c r="F225" s="16" t="s">
        <v>730</v>
      </c>
      <c r="G225" s="16" t="str">
        <f ca="1">Credits!EU6142</f>
        <v>Haití</v>
      </c>
      <c r="H225" s="16" t="str">
        <f ca="1">Credits!EV6142</f>
        <v>Haiti</v>
      </c>
    </row>
    <row r="226" spans="2:8">
      <c r="B226" s="16">
        <v>25</v>
      </c>
      <c r="C226" s="16">
        <v>45</v>
      </c>
      <c r="D226" s="16" t="str">
        <f t="shared" ca="1" si="7"/>
        <v>Inglaterra</v>
      </c>
      <c r="E226" s="16" t="s">
        <v>708</v>
      </c>
      <c r="F226" s="16" t="s">
        <v>731</v>
      </c>
      <c r="G226" s="16" t="str">
        <f ca="1">Credits!EU6143</f>
        <v>Inglaterra</v>
      </c>
      <c r="H226" s="16" t="str">
        <f ca="1">Credits!EV6143</f>
        <v>England</v>
      </c>
    </row>
    <row r="227" spans="2:8">
      <c r="B227" s="16">
        <v>26</v>
      </c>
      <c r="C227" s="16">
        <v>27</v>
      </c>
      <c r="D227" s="16" t="str">
        <f t="shared" ca="1" si="7"/>
        <v>Irán</v>
      </c>
      <c r="E227" s="16" t="s">
        <v>708</v>
      </c>
      <c r="F227" s="16" t="s">
        <v>732</v>
      </c>
      <c r="G227" s="16" t="str">
        <f ca="1">Credits!EU6144</f>
        <v>Irán</v>
      </c>
      <c r="H227" s="16" t="str">
        <f ca="1">Credits!EV6144</f>
        <v>Iran</v>
      </c>
    </row>
    <row r="228" spans="2:8">
      <c r="B228" s="16">
        <v>27</v>
      </c>
      <c r="C228" s="16">
        <v>22</v>
      </c>
      <c r="D228" s="16" t="str">
        <f t="shared" ca="1" si="7"/>
        <v>Japón</v>
      </c>
      <c r="E228" s="16" t="s">
        <v>708</v>
      </c>
      <c r="F228" s="16" t="s">
        <v>733</v>
      </c>
      <c r="G228" s="16" t="str">
        <f ca="1">Credits!EU6145</f>
        <v>Japón</v>
      </c>
      <c r="H228" s="16" t="str">
        <f ca="1">Credits!EV6145</f>
        <v>Japan</v>
      </c>
    </row>
    <row r="229" spans="2:8">
      <c r="B229" s="16">
        <v>28</v>
      </c>
      <c r="C229" s="16">
        <v>40</v>
      </c>
      <c r="D229" s="16" t="str">
        <f t="shared" ca="1" si="7"/>
        <v>Jordania</v>
      </c>
      <c r="E229" s="16" t="s">
        <v>708</v>
      </c>
      <c r="F229" s="16" t="s">
        <v>734</v>
      </c>
      <c r="G229" s="16" t="str">
        <f ca="1">Credits!EU6146</f>
        <v>Jordania</v>
      </c>
      <c r="H229" s="16" t="str">
        <f ca="1">Credits!EV6146</f>
        <v>Jordan</v>
      </c>
    </row>
    <row r="230" spans="2:8">
      <c r="B230" s="16">
        <v>29</v>
      </c>
      <c r="C230" s="16">
        <v>10</v>
      </c>
      <c r="D230" s="16" t="str">
        <f t="shared" ca="1" si="7"/>
        <v>Marruecos</v>
      </c>
      <c r="E230" s="16" t="s">
        <v>708</v>
      </c>
      <c r="F230" s="16" t="s">
        <v>735</v>
      </c>
      <c r="G230" s="16" t="str">
        <f ca="1">Credits!EU6147</f>
        <v>Marruecos</v>
      </c>
      <c r="H230" s="16" t="str">
        <f ca="1">Credits!EV6147</f>
        <v>Morocco</v>
      </c>
    </row>
    <row r="231" spans="2:8">
      <c r="B231" s="16">
        <v>30</v>
      </c>
      <c r="C231" s="16">
        <v>1</v>
      </c>
      <c r="D231" s="16" t="str">
        <f t="shared" ca="1" si="7"/>
        <v>México</v>
      </c>
      <c r="E231" s="16" t="s">
        <v>708</v>
      </c>
      <c r="F231" s="16" t="s">
        <v>736</v>
      </c>
      <c r="G231" s="16" t="str">
        <f ca="1">Credits!EU6148</f>
        <v>México</v>
      </c>
      <c r="H231" s="16" t="str">
        <f ca="1">Credits!EV6148</f>
        <v>Mexico</v>
      </c>
    </row>
    <row r="232" spans="2:8">
      <c r="B232" s="16">
        <v>31</v>
      </c>
      <c r="C232" s="16">
        <v>36</v>
      </c>
      <c r="D232" s="16" t="str">
        <f t="shared" ca="1" si="7"/>
        <v>Noruega</v>
      </c>
      <c r="E232" s="16" t="s">
        <v>708</v>
      </c>
      <c r="F232" s="16" t="s">
        <v>737</v>
      </c>
      <c r="G232" s="16" t="str">
        <f ca="1">Credits!EU6149</f>
        <v>Noruega</v>
      </c>
      <c r="H232" s="16" t="str">
        <f ca="1">Credits!EV6149</f>
        <v>Norway</v>
      </c>
    </row>
    <row r="233" spans="2:8">
      <c r="B233" s="16">
        <v>32</v>
      </c>
      <c r="C233" s="16">
        <v>28</v>
      </c>
      <c r="D233" s="16" t="str">
        <f t="shared" ca="1" si="7"/>
        <v>Nueva Zelanda</v>
      </c>
      <c r="E233" s="16" t="s">
        <v>708</v>
      </c>
      <c r="F233" s="16" t="s">
        <v>738</v>
      </c>
      <c r="G233" s="16" t="str">
        <f ca="1">Credits!EU6150</f>
        <v>Nueva Zelanda</v>
      </c>
      <c r="H233" s="16" t="str">
        <f ca="1">Credits!EV6150</f>
        <v>New Zealand</v>
      </c>
    </row>
    <row r="234" spans="2:8">
      <c r="B234" s="16">
        <v>33</v>
      </c>
      <c r="C234" s="16">
        <v>21</v>
      </c>
      <c r="D234" s="16" t="str">
        <f t="shared" ca="1" si="7"/>
        <v>Países Bajos</v>
      </c>
      <c r="E234" s="16" t="s">
        <v>708</v>
      </c>
      <c r="F234" s="16" t="s">
        <v>739</v>
      </c>
      <c r="G234" s="16" t="str">
        <f ca="1">Credits!EU6151</f>
        <v>Países Bajos</v>
      </c>
      <c r="H234" s="16" t="str">
        <f ca="1">Credits!EV6151</f>
        <v>Netherlands</v>
      </c>
    </row>
    <row r="235" spans="2:8">
      <c r="B235" s="16">
        <v>34</v>
      </c>
      <c r="C235" s="16">
        <v>48</v>
      </c>
      <c r="D235" s="16" t="str">
        <f t="shared" ca="1" si="7"/>
        <v>Panamá</v>
      </c>
      <c r="E235" s="16" t="s">
        <v>708</v>
      </c>
      <c r="F235" s="16" t="s">
        <v>740</v>
      </c>
      <c r="G235" s="16" t="str">
        <f ca="1">Credits!EU6152</f>
        <v>Panamá</v>
      </c>
      <c r="H235" s="16" t="str">
        <f ca="1">Credits!EV6152</f>
        <v>Panama</v>
      </c>
    </row>
    <row r="236" spans="2:8">
      <c r="B236" s="16">
        <v>35</v>
      </c>
      <c r="C236" s="16">
        <v>14</v>
      </c>
      <c r="D236" s="16" t="str">
        <f t="shared" ca="1" si="7"/>
        <v>Paraguay</v>
      </c>
      <c r="E236" s="16" t="s">
        <v>708</v>
      </c>
      <c r="F236" s="16" t="s">
        <v>741</v>
      </c>
      <c r="G236" s="16" t="str">
        <f ca="1">Credits!EU6153</f>
        <v>Paraguay</v>
      </c>
      <c r="H236" s="16" t="str">
        <f ca="1">Credits!EV6153</f>
        <v>Paraguay</v>
      </c>
    </row>
    <row r="237" spans="2:8">
      <c r="B237" s="16">
        <v>36</v>
      </c>
      <c r="C237" s="16">
        <v>41</v>
      </c>
      <c r="D237" s="16" t="str">
        <f t="shared" ca="1" si="7"/>
        <v>Portugal</v>
      </c>
      <c r="E237" s="16" t="s">
        <v>708</v>
      </c>
      <c r="F237" s="16" t="s">
        <v>742</v>
      </c>
      <c r="G237" s="16" t="str">
        <f ca="1">Credits!EU6154</f>
        <v>Portugal</v>
      </c>
      <c r="H237" s="16" t="str">
        <f ca="1">Credits!EV6154</f>
        <v>Portugal</v>
      </c>
    </row>
    <row r="238" spans="2:8">
      <c r="B238" s="16">
        <v>37</v>
      </c>
      <c r="C238" s="16">
        <v>34</v>
      </c>
      <c r="D238" s="16" t="str">
        <f t="shared" ca="1" si="7"/>
        <v>Senegal</v>
      </c>
      <c r="E238" s="16" t="s">
        <v>708</v>
      </c>
      <c r="F238" s="16" t="s">
        <v>743</v>
      </c>
      <c r="G238" s="16" t="str">
        <f ca="1">Credits!EU6155</f>
        <v>Senegal</v>
      </c>
      <c r="H238" s="16" t="str">
        <f ca="1">Credits!EV6155</f>
        <v>Senegal</v>
      </c>
    </row>
    <row r="239" spans="2:8">
      <c r="B239" s="16">
        <v>38</v>
      </c>
      <c r="C239" s="16">
        <v>2</v>
      </c>
      <c r="D239" s="16" t="str">
        <f t="shared" ca="1" si="7"/>
        <v>Sudáfrica</v>
      </c>
      <c r="E239" s="16" t="s">
        <v>708</v>
      </c>
      <c r="F239" s="16" t="s">
        <v>744</v>
      </c>
      <c r="G239" s="16" t="str">
        <f ca="1">Credits!EU6156</f>
        <v>Sudáfrica</v>
      </c>
      <c r="H239" s="16" t="str">
        <f ca="1">Credits!EV6156</f>
        <v>South Africa</v>
      </c>
    </row>
    <row r="240" spans="2:8">
      <c r="B240" s="16">
        <v>39</v>
      </c>
      <c r="C240" s="16">
        <v>8</v>
      </c>
      <c r="D240" s="16" t="str">
        <f t="shared" ca="1" si="7"/>
        <v>Suiza</v>
      </c>
      <c r="E240" s="16" t="s">
        <v>708</v>
      </c>
      <c r="F240" s="16" t="s">
        <v>745</v>
      </c>
      <c r="G240" s="16" t="str">
        <f ca="1">Credits!EU6157</f>
        <v>Suiza</v>
      </c>
      <c r="H240" s="16" t="str">
        <f ca="1">Credits!EV6157</f>
        <v>Switzerland</v>
      </c>
    </row>
    <row r="241" spans="2:8">
      <c r="B241" s="16">
        <v>40</v>
      </c>
      <c r="C241" s="16">
        <v>24</v>
      </c>
      <c r="D241" s="16" t="str">
        <f t="shared" ca="1" si="7"/>
        <v>Túnez</v>
      </c>
      <c r="E241" s="16" t="s">
        <v>708</v>
      </c>
      <c r="F241" s="16" t="s">
        <v>746</v>
      </c>
      <c r="G241" s="16" t="str">
        <f ca="1">Credits!EU6158</f>
        <v>Túnez</v>
      </c>
      <c r="H241" s="16" t="str">
        <f ca="1">Credits!EV6158</f>
        <v>Tunisia</v>
      </c>
    </row>
    <row r="242" spans="2:8">
      <c r="B242" s="16">
        <v>41</v>
      </c>
      <c r="C242" s="16">
        <v>32</v>
      </c>
      <c r="D242" s="16" t="str">
        <f t="shared" ca="1" si="7"/>
        <v>Uruguay</v>
      </c>
      <c r="E242" s="16" t="s">
        <v>708</v>
      </c>
      <c r="F242" s="16" t="s">
        <v>747</v>
      </c>
      <c r="G242" s="16" t="str">
        <f ca="1">Credits!EU6159</f>
        <v>Uruguay</v>
      </c>
      <c r="H242" s="16" t="str">
        <f ca="1">Credits!EV6159</f>
        <v>Uruguay</v>
      </c>
    </row>
    <row r="243" spans="2:8">
      <c r="B243" s="16">
        <v>42</v>
      </c>
      <c r="C243" s="16">
        <v>43</v>
      </c>
      <c r="D243" s="16" t="str">
        <f t="shared" ca="1" si="7"/>
        <v>Uzbekistán</v>
      </c>
      <c r="E243" s="16" t="s">
        <v>708</v>
      </c>
      <c r="F243" s="16" t="s">
        <v>748</v>
      </c>
      <c r="G243" s="16" t="str">
        <f ca="1">Credits!EU6160</f>
        <v>Uzbekistán</v>
      </c>
      <c r="H243" s="16" t="str">
        <f ca="1">Credits!EV6160</f>
        <v>Uzbekistan</v>
      </c>
    </row>
    <row r="244" spans="2:8">
      <c r="B244" s="16">
        <v>43</v>
      </c>
      <c r="C244" s="16">
        <v>42</v>
      </c>
      <c r="D244" s="16" t="str">
        <f t="shared" ca="1" si="7"/>
        <v>RD Congo</v>
      </c>
      <c r="E244" s="16" t="s">
        <v>708</v>
      </c>
      <c r="F244" s="16" t="s">
        <v>749</v>
      </c>
      <c r="G244" s="16" t="str">
        <f ca="1">Credits!EU6161</f>
        <v>RD Congo</v>
      </c>
      <c r="H244" s="16" t="str">
        <f ca="1">Credits!EV6161</f>
        <v>DR Congo</v>
      </c>
    </row>
    <row r="245" spans="2:8">
      <c r="B245" s="16">
        <v>44</v>
      </c>
      <c r="C245" s="16">
        <v>35</v>
      </c>
      <c r="D245" s="16" t="str">
        <f t="shared" ca="1" si="7"/>
        <v>Irak</v>
      </c>
      <c r="E245" s="16" t="s">
        <v>708</v>
      </c>
      <c r="F245" s="16" t="s">
        <v>750</v>
      </c>
      <c r="G245" s="16" t="str">
        <f ca="1">Credits!EU6162</f>
        <v>Irak</v>
      </c>
      <c r="H245" s="16" t="str">
        <f ca="1">Credits!EV6162</f>
        <v>Iraq</v>
      </c>
    </row>
    <row r="246" spans="2:8">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c r="B247" s="16">
        <v>46</v>
      </c>
      <c r="C247" s="16">
        <v>23</v>
      </c>
      <c r="D247" s="16" t="str">
        <f t="shared" ca="1" si="7"/>
        <v>Suecia</v>
      </c>
      <c r="E247" s="16" t="s">
        <v>708</v>
      </c>
      <c r="F247" s="16" t="s">
        <v>752</v>
      </c>
      <c r="G247" s="16" t="str">
        <f ca="1">Credits!EU6164</f>
        <v>Suecia</v>
      </c>
      <c r="H247" s="16" t="str">
        <f ca="1">Credits!EV6164</f>
        <v>Sweden</v>
      </c>
    </row>
    <row r="248" spans="2:8">
      <c r="B248" s="16">
        <v>47</v>
      </c>
      <c r="C248" s="16">
        <v>16</v>
      </c>
      <c r="D248" s="16" t="str">
        <f t="shared" ca="1" si="7"/>
        <v>Turquía</v>
      </c>
      <c r="E248" s="16" t="s">
        <v>708</v>
      </c>
      <c r="F248" s="16" t="s">
        <v>753</v>
      </c>
      <c r="G248" s="16" t="str">
        <f ca="1">Credits!EU6165</f>
        <v>Turquía</v>
      </c>
      <c r="H248" s="16" t="str">
        <f ca="1">Credits!EV6165</f>
        <v>Turkey</v>
      </c>
    </row>
    <row r="249" spans="2:8">
      <c r="B249" s="16">
        <v>48</v>
      </c>
      <c r="C249" s="16">
        <v>4</v>
      </c>
      <c r="D249" s="16" t="str">
        <f t="shared" ca="1" si="7"/>
        <v>República Checa</v>
      </c>
      <c r="E249" s="16" t="s">
        <v>708</v>
      </c>
      <c r="F249" s="16" t="s">
        <v>754</v>
      </c>
      <c r="G249" s="16" t="str">
        <f ca="1">Credits!EU6166</f>
        <v>República Checa</v>
      </c>
      <c r="H249" s="16" t="str">
        <f ca="1">Credits!EV6166</f>
        <v>Czech Republic</v>
      </c>
    </row>
    <row r="252" spans="2:8">
      <c r="C252" s="16" t="s">
        <v>755</v>
      </c>
      <c r="D252" s="16" t="str">
        <f>IF($B$2,G252,H252)</f>
        <v>Estados Unidos</v>
      </c>
      <c r="E252" s="16" t="s">
        <v>756</v>
      </c>
      <c r="F252" s="16" t="s">
        <v>757</v>
      </c>
      <c r="G252" s="16" t="s">
        <v>758</v>
      </c>
      <c r="H252" s="16" t="s">
        <v>759</v>
      </c>
    </row>
    <row r="255" spans="2:8">
      <c r="D255" s="16" t="str">
        <f t="shared" ref="D255:D271" si="8">IF($B$2,G255,H255)</f>
        <v>Campeón</v>
      </c>
      <c r="E255" s="16" t="s">
        <v>760</v>
      </c>
      <c r="G255" s="16" t="s">
        <v>356</v>
      </c>
      <c r="H255" s="16" t="s">
        <v>357</v>
      </c>
    </row>
    <row r="256" spans="2:8">
      <c r="D256" s="16" t="str">
        <f t="shared" si="8"/>
        <v>Subcampeón</v>
      </c>
      <c r="E256" s="16" t="s">
        <v>760</v>
      </c>
      <c r="G256" s="16" t="s">
        <v>359</v>
      </c>
      <c r="H256" s="16" t="s">
        <v>360</v>
      </c>
    </row>
    <row r="257" spans="4:8">
      <c r="D257" s="16" t="str">
        <f t="shared" si="8"/>
        <v>3º puesto</v>
      </c>
      <c r="E257" s="16" t="s">
        <v>760</v>
      </c>
      <c r="G257" s="16" t="s">
        <v>361</v>
      </c>
      <c r="H257" s="16" t="s">
        <v>362</v>
      </c>
    </row>
    <row r="258" spans="4:8">
      <c r="D258" s="16" t="str">
        <f t="shared" si="8"/>
        <v>Semifinales</v>
      </c>
      <c r="E258" s="16" t="s">
        <v>760</v>
      </c>
      <c r="G258" s="16" t="s">
        <v>346</v>
      </c>
      <c r="H258" s="16" t="s">
        <v>347</v>
      </c>
    </row>
    <row r="259" spans="4:8">
      <c r="D259" s="16" t="str">
        <f t="shared" si="8"/>
        <v>Cuartos de final</v>
      </c>
      <c r="E259" s="16" t="s">
        <v>760</v>
      </c>
      <c r="G259" s="16" t="s">
        <v>343</v>
      </c>
      <c r="H259" s="16" t="s">
        <v>344</v>
      </c>
    </row>
    <row r="260" spans="4:8">
      <c r="D260" s="16" t="str">
        <f t="shared" si="8"/>
        <v>Octavos de final</v>
      </c>
      <c r="E260" s="16" t="s">
        <v>760</v>
      </c>
      <c r="G260" s="16" t="s">
        <v>340</v>
      </c>
      <c r="H260" s="16" t="s">
        <v>341</v>
      </c>
    </row>
    <row r="261" spans="4:8">
      <c r="D261" s="16" t="str">
        <f t="shared" si="8"/>
        <v>Dieciseisavos de final</v>
      </c>
      <c r="E261" s="16" t="s">
        <v>760</v>
      </c>
      <c r="G261" s="16" t="s">
        <v>337</v>
      </c>
      <c r="H261" s="16" t="s">
        <v>338</v>
      </c>
    </row>
    <row r="262" spans="4:8">
      <c r="D262" s="16" t="str">
        <f t="shared" si="8"/>
        <v>Fase de grupos</v>
      </c>
      <c r="E262" s="16" t="s">
        <v>760</v>
      </c>
      <c r="G262" s="16" t="s">
        <v>761</v>
      </c>
      <c r="H262" s="16" t="s">
        <v>762</v>
      </c>
    </row>
    <row r="263" spans="4:8">
      <c r="D263" s="16" t="str">
        <f t="shared" si="8"/>
        <v>Pronóstica la ronda</v>
      </c>
      <c r="E263" s="16" t="s">
        <v>760</v>
      </c>
      <c r="G263" s="16" t="s">
        <v>763</v>
      </c>
      <c r="H263" s="16" t="s">
        <v>764</v>
      </c>
    </row>
    <row r="264" spans="4:8">
      <c r="D264" s="16" t="str">
        <f t="shared" si="8"/>
        <v>Predice la selección</v>
      </c>
      <c r="E264" s="16" t="s">
        <v>760</v>
      </c>
      <c r="G264" s="16" t="s">
        <v>765</v>
      </c>
      <c r="H264" s="16" t="s">
        <v>766</v>
      </c>
    </row>
    <row r="265" spans="4:8">
      <c r="D265" s="16" t="str">
        <f t="shared" si="8"/>
        <v>Ronda</v>
      </c>
      <c r="E265" s="16" t="s">
        <v>760</v>
      </c>
      <c r="G265" s="16" t="s">
        <v>767</v>
      </c>
      <c r="H265" s="16" t="s">
        <v>768</v>
      </c>
    </row>
    <row r="266" spans="4:8">
      <c r="D266" s="16" t="str">
        <f t="shared" si="8"/>
        <v>·Selecciona para cada ronda el la selección o selecciones que crees que van a llegar hasta esa ronda.</v>
      </c>
      <c r="E266" s="16" t="s">
        <v>760</v>
      </c>
      <c r="G266" s="16" t="s">
        <v>769</v>
      </c>
      <c r="H266" s="16" t="s">
        <v>770</v>
      </c>
    </row>
    <row r="267" spans="4:8">
      <c r="D267" s="16" t="str">
        <f t="shared" si="8"/>
        <v>·Una vez elijas una selección, dejará de aparecer en la lista</v>
      </c>
      <c r="E267" s="16" t="s">
        <v>760</v>
      </c>
      <c r="G267" s="16" t="s">
        <v>771</v>
      </c>
      <c r="H267" s="16" t="s">
        <v>772</v>
      </c>
    </row>
    <row r="268" spans="4:8">
      <c r="D268" s="16" t="str">
        <f t="shared" si="8"/>
        <v xml:space="preserve">·Si has rellenado todos y quieres hacer un cambio, </v>
      </c>
      <c r="E268" s="16" t="s">
        <v>760</v>
      </c>
      <c r="G268" s="16" t="s">
        <v>773</v>
      </c>
      <c r="H268" s="16" t="s">
        <v>774</v>
      </c>
    </row>
    <row r="269" spans="4:8">
      <c r="D269" s="16" t="str">
        <f t="shared" si="8"/>
        <v xml:space="preserve"> borra las selecciones que quieras cambiar y podrás volver a elegirlas</v>
      </c>
      <c r="E269" s="16" t="s">
        <v>760</v>
      </c>
      <c r="G269" s="16" t="s">
        <v>775</v>
      </c>
      <c r="H269" s="16" t="s">
        <v>776</v>
      </c>
    </row>
    <row r="270" spans="4:8">
      <c r="D270" s="16" t="str">
        <f t="shared" si="8"/>
        <v>Rellenar antes del comienzo del Mundial</v>
      </c>
      <c r="E270" s="16" t="s">
        <v>760</v>
      </c>
      <c r="G270" s="16" t="s">
        <v>777</v>
      </c>
      <c r="H270" s="16" t="s">
        <v>778</v>
      </c>
    </row>
    <row r="271" spans="4:8">
      <c r="D271" s="16" t="str">
        <f t="shared" si="8"/>
        <v>·Si en tu grupo no vais a usar el predictor, puedes dejarlo sin rellenar</v>
      </c>
      <c r="E271" s="16" t="s">
        <v>760</v>
      </c>
      <c r="G271" s="16" t="s">
        <v>779</v>
      </c>
      <c r="H271" s="16" t="s">
        <v>780</v>
      </c>
    </row>
    <row r="273" spans="4:8">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c r="D922" s="16" t="s">
        <v>236</v>
      </c>
    </row>
    <row r="923" spans="4:4">
      <c r="D923" s="16" t="s">
        <v>783</v>
      </c>
    </row>
  </sheetData>
  <conditionalFormatting sqref="C202:C249">
    <cfRule type="duplicateValues" dxfId="11"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77734375" defaultRowHeight="14.4"/>
  <cols>
    <col min="1" max="1" width="9.44140625" style="16" bestFit="1" customWidth="1"/>
    <col min="2" max="2" width="6" style="16" bestFit="1" customWidth="1"/>
    <col min="3" max="13" width="10.77734375" style="16" customWidth="1"/>
    <col min="14" max="14" width="9.44140625" style="16" bestFit="1" customWidth="1"/>
    <col min="15" max="15" width="6.44140625" style="16" bestFit="1" customWidth="1"/>
    <col min="16" max="18" width="10.77734375" style="16" customWidth="1"/>
    <col min="19" max="16384" width="10.77734375" style="16"/>
  </cols>
  <sheetData>
    <row r="1" spans="1:23">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c r="A2" s="9" t="s">
        <v>787</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c r="A3" s="9" t="s">
        <v>788</v>
      </c>
      <c r="B3" s="9">
        <f ca="1">+IF(A3=WORLDCUP!$BI$112,1,0)</f>
        <v>0</v>
      </c>
      <c r="C3" s="9" t="str">
        <f ca="1">+WORLDCUP!BD65</f>
        <v>Arabia Saudita</v>
      </c>
      <c r="D3" s="9" t="str">
        <f ca="1">+WORLDCUP!BD64</f>
        <v>Irán</v>
      </c>
      <c r="E3" s="9" t="str">
        <f ca="1">+WORLDCUP!BD66</f>
        <v>Irak</v>
      </c>
      <c r="F3" s="9" t="str">
        <f ca="1">+WORLDCUP!BD61</f>
        <v>Turquía</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c r="A4" s="9" t="s">
        <v>789</v>
      </c>
      <c r="B4" s="9">
        <f ca="1">+IF(A4=WORLDCUP!$BI$112,1,0)</f>
        <v>0</v>
      </c>
      <c r="C4" s="9" t="str">
        <f ca="1">+WORLDCUP!BD62</f>
        <v>Costa de Marfil</v>
      </c>
      <c r="D4" s="9" t="str">
        <f ca="1">+WORLDCUP!BD67</f>
        <v>Austria</v>
      </c>
      <c r="E4" s="9" t="str">
        <f ca="1">+WORLDCUP!BD66</f>
        <v>Irak</v>
      </c>
      <c r="F4" s="9" t="str">
        <f ca="1">+WORLDCUP!BD61</f>
        <v>Turquía</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c r="A5" s="9" t="s">
        <v>790</v>
      </c>
      <c r="B5" s="9">
        <f ca="1">+IF(A5=WORLDCUP!$BI$112,1,0)</f>
        <v>0</v>
      </c>
      <c r="C5" s="9" t="str">
        <f ca="1">+WORLDCUP!BD62</f>
        <v>Costa de Marfil</v>
      </c>
      <c r="D5" s="9" t="str">
        <f ca="1">+WORLDCUP!BD67</f>
        <v>Austria</v>
      </c>
      <c r="E5" s="9" t="str">
        <f ca="1">+WORLDCUP!BD66</f>
        <v>Irak</v>
      </c>
      <c r="F5" s="9" t="str">
        <f ca="1">+WORLDCUP!BD61</f>
        <v>Turquía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c r="A6" s="9" t="s">
        <v>791</v>
      </c>
      <c r="B6" s="9">
        <f ca="1">+IF(A6=WORLDCUP!$BI$112,1,0)</f>
        <v>0</v>
      </c>
      <c r="C6" s="9" t="str">
        <f ca="1">+WORLDCUP!BD62</f>
        <v>Costa de Marfil</v>
      </c>
      <c r="D6" s="9" t="str">
        <f ca="1">+WORLDCUP!BD64</f>
        <v>Irán</v>
      </c>
      <c r="E6" s="9" t="str">
        <f ca="1">+WORLDCUP!BD66</f>
        <v>Irak</v>
      </c>
      <c r="F6" s="9" t="str">
        <f ca="1">+WORLDCUP!BD61</f>
        <v>Turquía</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c r="A7" s="9" t="s">
        <v>792</v>
      </c>
      <c r="B7" s="9">
        <f ca="1">+IF(A7=WORLDCUP!$BI$112,1,0)</f>
        <v>0</v>
      </c>
      <c r="C7" s="9" t="str">
        <f ca="1">+WORLDCUP!BD62</f>
        <v>Costa de Marfil</v>
      </c>
      <c r="D7" s="9" t="str">
        <f ca="1">+WORLDCUP!BD64</f>
        <v>Irán</v>
      </c>
      <c r="E7" s="9" t="str">
        <f ca="1">+WORLDCUP!BD67</f>
        <v>Austria</v>
      </c>
      <c r="F7" s="9" t="str">
        <f ca="1">+WORLDCUP!BD61</f>
        <v>Turquía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c r="A8" s="9" t="s">
        <v>793</v>
      </c>
      <c r="B8" s="9">
        <f ca="1">+IF(A8=WORLDCUP!$BI$112,1,0)</f>
        <v>0</v>
      </c>
      <c r="C8" s="9" t="str">
        <f ca="1">+WORLDCUP!BD62</f>
        <v>Costa de Marfil</v>
      </c>
      <c r="D8" s="9" t="str">
        <f ca="1">+WORLDCUP!BD64</f>
        <v>Irán</v>
      </c>
      <c r="E8" s="9" t="str">
        <f ca="1">+WORLDCUP!BD66</f>
        <v>Irak</v>
      </c>
      <c r="F8" s="9" t="str">
        <f ca="1">+WORLDCUP!BD61</f>
        <v>Turquía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c r="A9" s="9" t="s">
        <v>794</v>
      </c>
      <c r="B9" s="9">
        <f ca="1">+IF(A9=WORLDCUP!$BI$112,1,0)</f>
        <v>0</v>
      </c>
      <c r="C9" s="9" t="str">
        <f ca="1">+WORLDCUP!BD62</f>
        <v>Costa de Marfil</v>
      </c>
      <c r="D9" s="9" t="str">
        <f ca="1">+WORLDCUP!BD64</f>
        <v>Irán</v>
      </c>
      <c r="E9" s="9" t="str">
        <f ca="1">+WORLDCUP!BD67</f>
        <v>Austria</v>
      </c>
      <c r="F9" s="9" t="str">
        <f ca="1">+WORLDCUP!BD61</f>
        <v>Turquía</v>
      </c>
      <c r="G9" s="9" t="str">
        <f ca="1">+WORLDCUP!BD65</f>
        <v>Arabia Saudita</v>
      </c>
      <c r="H9" s="9" t="str">
        <f ca="1">+WORLDCUP!BD63</f>
        <v>Suecia</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c r="A10" s="9" t="s">
        <v>795</v>
      </c>
      <c r="B10" s="9">
        <f ca="1">+IF(A10=WORLDCUP!$BI$112,1,0)</f>
        <v>0</v>
      </c>
      <c r="C10" s="9" t="str">
        <f ca="1">+WORLDCUP!BD62</f>
        <v>Costa de Marfil</v>
      </c>
      <c r="D10" s="9" t="str">
        <f ca="1">+WORLDCUP!BD64</f>
        <v>Irán</v>
      </c>
      <c r="E10" s="9" t="str">
        <f ca="1">+WORLDCUP!BD67</f>
        <v>Austria</v>
      </c>
      <c r="F10" s="9" t="str">
        <f ca="1">+WORLDCUP!BD61</f>
        <v>Turquía</v>
      </c>
      <c r="G10" s="9" t="str">
        <f ca="1">+WORLDCUP!BD65</f>
        <v>Arabia Saudita</v>
      </c>
      <c r="H10" s="9" t="str">
        <f ca="1">+WORLDCUP!BD63</f>
        <v>Suecia</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c r="A11" s="9" t="s">
        <v>796</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c r="A12" s="9" t="s">
        <v>797</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c r="A13" s="9" t="s">
        <v>798</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c r="A14" s="9" t="s">
        <v>799</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c r="A15" s="9" t="s">
        <v>800</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c r="A16" s="9" t="s">
        <v>801</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c r="A17" s="9" t="s">
        <v>802</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c r="A18" s="9" t="s">
        <v>803</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c r="A19" s="9" t="s">
        <v>804</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c r="A20" s="9" t="s">
        <v>805</v>
      </c>
      <c r="B20" s="9">
        <f ca="1">+IF(A20=WORLDCUP!$BI$112,1,0)</f>
        <v>0</v>
      </c>
      <c r="C20" s="9" t="str">
        <f ca="1">+WORLDCUP!BD60</f>
        <v>Haití</v>
      </c>
      <c r="D20" s="9" t="str">
        <f ca="1">+WORLDCUP!BD67</f>
        <v>Austria</v>
      </c>
      <c r="E20" s="9" t="str">
        <f ca="1">+WORLDCUP!BD66</f>
        <v>Irak</v>
      </c>
      <c r="F20" s="9" t="str">
        <f ca="1">+WORLDCUP!BD61</f>
        <v>Turquía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c r="A21" s="9" t="s">
        <v>806</v>
      </c>
      <c r="B21" s="9">
        <f ca="1">+IF(A21=WORLDCUP!$BI$112,1,0)</f>
        <v>0</v>
      </c>
      <c r="C21" s="9" t="str">
        <f ca="1">+WORLDCUP!BD60</f>
        <v>Haití</v>
      </c>
      <c r="D21" s="9" t="str">
        <f ca="1">+WORLDCUP!BD64</f>
        <v>Irán</v>
      </c>
      <c r="E21" s="9" t="str">
        <f ca="1">+WORLDCUP!BD66</f>
        <v>Irak</v>
      </c>
      <c r="F21" s="9" t="str">
        <f ca="1">+WORLDCUP!BD61</f>
        <v>Turquía</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c r="A22" s="9" t="s">
        <v>807</v>
      </c>
      <c r="B22" s="9">
        <f ca="1">+IF(A22=WORLDCUP!$BI$112,1,0)</f>
        <v>0</v>
      </c>
      <c r="C22" s="9" t="str">
        <f ca="1">+WORLDCUP!BD60</f>
        <v>Haití</v>
      </c>
      <c r="D22" s="9" t="str">
        <f ca="1">+WORLDCUP!BD64</f>
        <v>Irán</v>
      </c>
      <c r="E22" s="9" t="str">
        <f ca="1">+WORLDCUP!BD67</f>
        <v>Austria</v>
      </c>
      <c r="F22" s="9" t="str">
        <f ca="1">+WORLDCUP!BD61</f>
        <v>Turquía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c r="A23" s="9" t="s">
        <v>808</v>
      </c>
      <c r="B23" s="9">
        <f ca="1">+IF(A23=WORLDCUP!$BI$112,1,0)</f>
        <v>0</v>
      </c>
      <c r="C23" s="9" t="str">
        <f ca="1">+WORLDCUP!BD60</f>
        <v>Haití</v>
      </c>
      <c r="D23" s="9" t="str">
        <f ca="1">+WORLDCUP!BD64</f>
        <v>Irán</v>
      </c>
      <c r="E23" s="9" t="str">
        <f ca="1">+WORLDCUP!BD66</f>
        <v>Irak</v>
      </c>
      <c r="F23" s="9" t="str">
        <f ca="1">+WORLDCUP!BD61</f>
        <v>Turquía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c r="A24" s="9" t="s">
        <v>809</v>
      </c>
      <c r="B24" s="9">
        <f ca="1">+IF(A24=WORLDCUP!$BI$112,1,0)</f>
        <v>0</v>
      </c>
      <c r="C24" s="9" t="str">
        <f ca="1">+WORLDCUP!BD60</f>
        <v>Haití</v>
      </c>
      <c r="D24" s="9" t="str">
        <f ca="1">+WORLDCUP!BD64</f>
        <v>Irán</v>
      </c>
      <c r="E24" s="9" t="str">
        <f ca="1">+WORLDCUP!BD67</f>
        <v>Austria</v>
      </c>
      <c r="F24" s="9" t="str">
        <f ca="1">+WORLDCUP!BD61</f>
        <v>Turquía</v>
      </c>
      <c r="G24" s="9" t="str">
        <f ca="1">+WORLDCUP!BD65</f>
        <v>Arabia Saudita</v>
      </c>
      <c r="H24" s="9" t="str">
        <f ca="1">+WORLDCUP!BD63</f>
        <v>Suecia</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c r="A25" s="9" t="s">
        <v>810</v>
      </c>
      <c r="B25" s="9">
        <f ca="1">+IF(A25=WORLDCUP!$BI$112,1,0)</f>
        <v>0</v>
      </c>
      <c r="C25" s="9" t="str">
        <f ca="1">+WORLDCUP!BD60</f>
        <v>Haití</v>
      </c>
      <c r="D25" s="9" t="str">
        <f ca="1">+WORLDCUP!BD64</f>
        <v>Irán</v>
      </c>
      <c r="E25" s="9" t="str">
        <f ca="1">+WORLDCUP!BD67</f>
        <v>Austria</v>
      </c>
      <c r="F25" s="9" t="str">
        <f ca="1">+WORLDCUP!BD61</f>
        <v>Turquía</v>
      </c>
      <c r="G25" s="9" t="str">
        <f ca="1">+WORLDCUP!BD65</f>
        <v>Arabia Saudita</v>
      </c>
      <c r="H25" s="9" t="str">
        <f ca="1">+WORLDCUP!BD63</f>
        <v>Suecia</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c r="A26" s="9" t="s">
        <v>811</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c r="A27" s="9" t="s">
        <v>812</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c r="A28" s="9" t="s">
        <v>813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c r="A29" s="9" t="s">
        <v>814</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c r="A30" s="9" t="s">
        <v>815</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Turquía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c r="A31" s="9" t="s">
        <v>816</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Turquía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c r="A32" s="9" t="s">
        <v>817</v>
      </c>
      <c r="B32" s="9">
        <f ca="1">+IF(A32=WORLDCUP!$BI$112,1,0)</f>
        <v>0</v>
      </c>
      <c r="C32" s="9" t="str">
        <f ca="1">+WORLDCUP!BD60</f>
        <v>Haití</v>
      </c>
      <c r="D32" s="9" t="str">
        <f ca="1">+WORLDCUP!BD67</f>
        <v>Austria</v>
      </c>
      <c r="E32" s="9" t="str">
        <f ca="1">+WORLDCUP!BD62</f>
        <v>Costa de Marfil</v>
      </c>
      <c r="F32" s="9" t="str">
        <f ca="1">+WORLDCUP!BD61</f>
        <v>Turquía</v>
      </c>
      <c r="G32" s="9" t="str">
        <f ca="1">+WORLDCUP!BD66</f>
        <v>Irak</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c r="A33" s="9" t="s">
        <v>818</v>
      </c>
      <c r="B33" s="9">
        <f ca="1">+IF(A33=WORLDCUP!$BI$112,1,0)</f>
        <v>0</v>
      </c>
      <c r="C33" s="9" t="str">
        <f ca="1">+WORLDCUP!BD60</f>
        <v>Haití</v>
      </c>
      <c r="D33" s="9" t="str">
        <f ca="1">+WORLDCUP!BD67</f>
        <v>Austria</v>
      </c>
      <c r="E33" s="9" t="str">
        <f ca="1">+WORLDCUP!BD62</f>
        <v>Costa de Marfil</v>
      </c>
      <c r="F33" s="9" t="str">
        <f ca="1">+WORLDCUP!BD61</f>
        <v>Turquía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c r="A34" s="9" t="s">
        <v>819</v>
      </c>
      <c r="B34" s="9">
        <f ca="1">+IF(A34=WORLDCUP!$BI$112,1,0)</f>
        <v>0</v>
      </c>
      <c r="C34" s="9" t="str">
        <f ca="1">+WORLDCUP!BD60</f>
        <v>Haití</v>
      </c>
      <c r="D34" s="9" t="str">
        <f ca="1">+WORLDCUP!BD62</f>
        <v>Costa de Marfil</v>
      </c>
      <c r="E34" s="9" t="str">
        <f ca="1">+WORLDCUP!BD66</f>
        <v>Irak</v>
      </c>
      <c r="F34" s="9" t="str">
        <f ca="1">+WORLDCUP!BD61</f>
        <v>Turquía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c r="A35" s="9" t="s">
        <v>820</v>
      </c>
      <c r="B35" s="9">
        <f ca="1">+IF(A35=WORLDCUP!$BI$112,1,0)</f>
        <v>0</v>
      </c>
      <c r="C35" s="9" t="str">
        <f ca="1">+WORLDCUP!BD60</f>
        <v>Haití</v>
      </c>
      <c r="D35" s="9" t="str">
        <f ca="1">+WORLDCUP!BD67</f>
        <v>Austria</v>
      </c>
      <c r="E35" s="9" t="str">
        <f ca="1">+WORLDCUP!BD62</f>
        <v>Costa de Marfil</v>
      </c>
      <c r="F35" s="9" t="str">
        <f ca="1">+WORLDCUP!BD61</f>
        <v>Turquía</v>
      </c>
      <c r="G35" s="9" t="str">
        <f ca="1">+WORLDCUP!BD65</f>
        <v>Arabia Saudita</v>
      </c>
      <c r="H35" s="9" t="str">
        <f ca="1">+WORLDCUP!BD63</f>
        <v>Suecia</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c r="A36" s="9" t="s">
        <v>821</v>
      </c>
      <c r="B36" s="9">
        <f ca="1">+IF(A36=WORLDCUP!$BI$112,1,0)</f>
        <v>0</v>
      </c>
      <c r="C36" s="9" t="str">
        <f ca="1">+WORLDCUP!BD60</f>
        <v>Haití</v>
      </c>
      <c r="D36" s="9" t="str">
        <f ca="1">+WORLDCUP!BD67</f>
        <v>Austria</v>
      </c>
      <c r="E36" s="9" t="str">
        <f ca="1">+WORLDCUP!BD62</f>
        <v>Costa de Marfil</v>
      </c>
      <c r="F36" s="9" t="str">
        <f ca="1">+WORLDCUP!BD61</f>
        <v>Turquía</v>
      </c>
      <c r="G36" s="9" t="str">
        <f ca="1">+WORLDCUP!BD65</f>
        <v>Arabia Saudita</v>
      </c>
      <c r="H36" s="9" t="str">
        <f ca="1">+WORLDCUP!BD63</f>
        <v>Suecia</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c r="A37" s="9" t="s">
        <v>822</v>
      </c>
      <c r="B37" s="9">
        <f ca="1">+IF(A37=WORLDCUP!$BI$112,1,0)</f>
        <v>0</v>
      </c>
      <c r="C37" s="9" t="str">
        <f ca="1">+WORLDCUP!BD60</f>
        <v>Haití</v>
      </c>
      <c r="D37" s="9" t="str">
        <f ca="1">+WORLDCUP!BD64</f>
        <v>Irán</v>
      </c>
      <c r="E37" s="9" t="str">
        <f ca="1">+WORLDCUP!BD62</f>
        <v>Costa de Marfil</v>
      </c>
      <c r="F37" s="9" t="str">
        <f ca="1">+WORLDCUP!BD61</f>
        <v>Turquía</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c r="A38" s="9" t="s">
        <v>823</v>
      </c>
      <c r="B38" s="9">
        <f ca="1">+IF(A38=WORLDCUP!$BI$112,1,0)</f>
        <v>0</v>
      </c>
      <c r="C38" s="9" t="str">
        <f ca="1">+WORLDCUP!BD60</f>
        <v>Haití</v>
      </c>
      <c r="D38" s="9" t="str">
        <f ca="1">+WORLDCUP!BD64</f>
        <v>Irán</v>
      </c>
      <c r="E38" s="9" t="str">
        <f ca="1">+WORLDCUP!BD62</f>
        <v>Costa de Marfil</v>
      </c>
      <c r="F38" s="9" t="str">
        <f ca="1">+WORLDCUP!BD61</f>
        <v>Turquía</v>
      </c>
      <c r="G38" s="9" t="str">
        <f ca="1">+WORLDCUP!BD66</f>
        <v>Irak</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c r="A39" s="9" t="s">
        <v>824</v>
      </c>
      <c r="B39" s="9">
        <f ca="1">+IF(A39=WORLDCUP!$BI$112,1,0)</f>
        <v>0</v>
      </c>
      <c r="C39" s="9" t="str">
        <f ca="1">+WORLDCUP!BD60</f>
        <v>Haití</v>
      </c>
      <c r="D39" s="9" t="str">
        <f ca="1">+WORLDCUP!BD64</f>
        <v>Irán</v>
      </c>
      <c r="E39" s="9" t="str">
        <f ca="1">+WORLDCUP!BD62</f>
        <v>Costa de Marfil</v>
      </c>
      <c r="F39" s="9" t="str">
        <f ca="1">+WORLDCUP!BD61</f>
        <v>Turquía</v>
      </c>
      <c r="G39" s="9" t="str">
        <f ca="1">+WORLDCUP!BD67</f>
        <v>Austria</v>
      </c>
      <c r="H39" s="9" t="str">
        <f ca="1">+WORLDCUP!BD63</f>
        <v>Suecia</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c r="A40" s="9" t="s">
        <v>825</v>
      </c>
      <c r="B40" s="9">
        <f ca="1">+IF(A40=WORLDCUP!$BI$112,1,0)</f>
        <v>0</v>
      </c>
      <c r="C40" s="9" t="str">
        <f ca="1">+WORLDCUP!BD60</f>
        <v>Haití</v>
      </c>
      <c r="D40" s="9" t="str">
        <f ca="1">+WORLDCUP!BD64</f>
        <v>Irán</v>
      </c>
      <c r="E40" s="9" t="str">
        <f ca="1">+WORLDCUP!BD62</f>
        <v>Costa de Marfil</v>
      </c>
      <c r="F40" s="9" t="str">
        <f ca="1">+WORLDCUP!BD61</f>
        <v>Turquía</v>
      </c>
      <c r="G40" s="9" t="str">
        <f ca="1">+WORLDCUP!BD67</f>
        <v>Austria</v>
      </c>
      <c r="H40" s="9" t="str">
        <f ca="1">+WORLDCUP!BD63</f>
        <v>Suecia</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c r="A41" s="9" t="s">
        <v>826</v>
      </c>
      <c r="B41" s="9">
        <f ca="1">+IF(A41=WORLDCUP!$BI$112,1,0)</f>
        <v>0</v>
      </c>
      <c r="C41" s="9" t="str">
        <f ca="1">+WORLDCUP!BD60</f>
        <v>Haití</v>
      </c>
      <c r="D41" s="9" t="str">
        <f ca="1">+WORLDCUP!BD64</f>
        <v>Irán</v>
      </c>
      <c r="E41" s="9" t="str">
        <f ca="1">+WORLDCUP!BD62</f>
        <v>Costa de Marfil</v>
      </c>
      <c r="F41" s="9" t="str">
        <f ca="1">+WORLDCUP!BD61</f>
        <v>Turquía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c r="A42" s="9" t="s">
        <v>827</v>
      </c>
      <c r="B42" s="9">
        <f ca="1">+IF(A42=WORLDCUP!$BI$112,1,0)</f>
        <v>0</v>
      </c>
      <c r="C42" s="9" t="str">
        <f ca="1">+WORLDCUP!BD60</f>
        <v>Haití</v>
      </c>
      <c r="D42" s="9" t="str">
        <f ca="1">+WORLDCUP!BD64</f>
        <v>Irán</v>
      </c>
      <c r="E42" s="9" t="str">
        <f ca="1">+WORLDCUP!BD67</f>
        <v>Austria</v>
      </c>
      <c r="F42" s="9" t="str">
        <f ca="1">+WORLDCUP!BD61</f>
        <v>Turquía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c r="A43" s="9" t="s">
        <v>828</v>
      </c>
      <c r="B43" s="9">
        <f ca="1">+IF(A43=WORLDCUP!$BI$112,1,0)</f>
        <v>0</v>
      </c>
      <c r="C43" s="9" t="str">
        <f ca="1">+WORLDCUP!BD60</f>
        <v>Haití</v>
      </c>
      <c r="D43" s="9" t="str">
        <f ca="1">+WORLDCUP!BD64</f>
        <v>Irán</v>
      </c>
      <c r="E43" s="9" t="str">
        <f ca="1">+WORLDCUP!BD67</f>
        <v>Austria</v>
      </c>
      <c r="F43" s="9" t="str">
        <f ca="1">+WORLDCUP!BD61</f>
        <v>Turquía</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c r="A44" s="9" t="s">
        <v>829</v>
      </c>
      <c r="B44" s="9">
        <f ca="1">+IF(A44=WORLDCUP!$BI$112,1,0)</f>
        <v>0</v>
      </c>
      <c r="C44" s="9" t="str">
        <f ca="1">+WORLDCUP!BD60</f>
        <v>Haití</v>
      </c>
      <c r="D44" s="9" t="str">
        <f ca="1">+WORLDCUP!BD64</f>
        <v>Irán</v>
      </c>
      <c r="E44" s="9" t="str">
        <f ca="1">+WORLDCUP!BD62</f>
        <v>Costa de Marfil</v>
      </c>
      <c r="F44" s="9" t="str">
        <f ca="1">+WORLDCUP!BD61</f>
        <v>Turquía</v>
      </c>
      <c r="G44" s="9" t="str">
        <f ca="1">+WORLDCUP!BD65</f>
        <v>Arabia Saudita</v>
      </c>
      <c r="H44" s="9" t="str">
        <f ca="1">+WORLDCUP!BD63</f>
        <v>Suecia</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c r="A45" s="9" t="s">
        <v>830</v>
      </c>
      <c r="B45" s="9">
        <f ca="1">+IF(A45=WORLDCUP!$BI$112,1,0)</f>
        <v>0</v>
      </c>
      <c r="C45" s="9" t="str">
        <f ca="1">+WORLDCUP!BD60</f>
        <v>Haití</v>
      </c>
      <c r="D45" s="9" t="str">
        <f ca="1">+WORLDCUP!BD64</f>
        <v>Irán</v>
      </c>
      <c r="E45" s="9" t="str">
        <f ca="1">+WORLDCUP!BD62</f>
        <v>Costa de Marfil</v>
      </c>
      <c r="F45" s="9" t="str">
        <f ca="1">+WORLDCUP!BD61</f>
        <v>Turquía</v>
      </c>
      <c r="G45" s="9" t="str">
        <f ca="1">+WORLDCUP!BD65</f>
        <v>Arabia Saudita</v>
      </c>
      <c r="H45" s="9" t="str">
        <f ca="1">+WORLDCUP!BD63</f>
        <v>Suecia</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c r="A46" s="9" t="s">
        <v>831</v>
      </c>
      <c r="B46" s="9">
        <f ca="1">+IF(A46=WORLDCUP!$BI$112,1,0)</f>
        <v>0</v>
      </c>
      <c r="C46" s="9" t="str">
        <f ca="1">+WORLDCUP!BD60</f>
        <v>Haití</v>
      </c>
      <c r="D46" s="9" t="str">
        <f ca="1">+WORLDCUP!BD64</f>
        <v>Irán</v>
      </c>
      <c r="E46" s="9" t="str">
        <f ca="1">+WORLDCUP!BD67</f>
        <v>Austria</v>
      </c>
      <c r="F46" s="9" t="str">
        <f ca="1">+WORLDCUP!BD61</f>
        <v>Turquía</v>
      </c>
      <c r="G46" s="9" t="str">
        <f ca="1">+WORLDCUP!BD65</f>
        <v>Arabia Saudita</v>
      </c>
      <c r="H46" s="9" t="str">
        <f ca="1">+WORLDCUP!BD63</f>
        <v>Suecia</v>
      </c>
      <c r="I46" s="9" t="str">
        <f ca="1">+WORLDCUP!BD62</f>
        <v>Costa de Marfil</v>
      </c>
      <c r="J46" s="9" t="str">
        <f ca="1">+WORLDCUP!BD66</f>
        <v>Irak</v>
      </c>
      <c r="N46" s="16" t="s">
        <v>831</v>
      </c>
      <c r="O46" s="16">
        <v>45</v>
      </c>
      <c r="P46" s="16" t="s">
        <v>81</v>
      </c>
      <c r="Q46" s="16" t="s">
        <v>99</v>
      </c>
      <c r="R46" s="16" t="s">
        <v>113</v>
      </c>
      <c r="S46" s="16" t="s">
        <v>86</v>
      </c>
      <c r="T46" s="16" t="s">
        <v>104</v>
      </c>
      <c r="U46" s="16" t="s">
        <v>95</v>
      </c>
      <c r="V46" s="16" t="s">
        <v>90</v>
      </c>
      <c r="W46" s="16" t="s">
        <v>108</v>
      </c>
    </row>
    <row r="47" spans="1:23">
      <c r="A47" s="9" t="s">
        <v>832</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c r="A48" s="9" t="s">
        <v>833</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c r="A49" s="9" t="s">
        <v>834</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c r="A50" s="9" t="s">
        <v>835</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c r="A51" s="9" t="s">
        <v>836</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c r="A53" s="9" t="s">
        <v>838</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c r="A54" s="9" t="s">
        <v>839</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c r="A55" s="9" t="s">
        <v>840</v>
      </c>
      <c r="B55" s="9">
        <f ca="1">+IF(A55=WORLDCUP!$BI$112,1,0)</f>
        <v>0</v>
      </c>
      <c r="C55" s="9" t="str">
        <f ca="1">+WORLDCUP!BD65</f>
        <v>Arabia Saudita</v>
      </c>
      <c r="D55" s="9" t="str">
        <f ca="1">+WORLDCUP!BD67</f>
        <v>Austria</v>
      </c>
      <c r="E55" s="9" t="str">
        <f ca="1">+WORLDCUP!BD59</f>
        <v>Catar</v>
      </c>
      <c r="F55" s="9" t="str">
        <f ca="1">+WORLDCUP!BD61</f>
        <v>Turquía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c r="A56" s="9" t="s">
        <v>841</v>
      </c>
      <c r="B56" s="9">
        <f ca="1">+IF(A56=WORLDCUP!$BI$112,1,0)</f>
        <v>0</v>
      </c>
      <c r="C56" s="9" t="str">
        <f ca="1">+WORLDCUP!BD65</f>
        <v>Arabia Saudita</v>
      </c>
      <c r="D56" s="9" t="str">
        <f ca="1">+WORLDCUP!BD67</f>
        <v>Austria</v>
      </c>
      <c r="E56" s="9" t="str">
        <f ca="1">+WORLDCUP!BD59</f>
        <v>Catar</v>
      </c>
      <c r="F56" s="9" t="str">
        <f ca="1">+WORLDCUP!BD61</f>
        <v>Turquía</v>
      </c>
      <c r="G56" s="9" t="str">
        <f ca="1">+WORLDCUP!BD66</f>
        <v>Irak</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c r="A57" s="9" t="s">
        <v>842</v>
      </c>
      <c r="B57" s="9">
        <f ca="1">+IF(A57=WORLDCUP!$BI$112,1,0)</f>
        <v>0</v>
      </c>
      <c r="C57" s="9" t="str">
        <f ca="1">+WORLDCUP!BD66</f>
        <v>Irak</v>
      </c>
      <c r="D57" s="9" t="str">
        <f ca="1">+WORLDCUP!BD64</f>
        <v>Irán</v>
      </c>
      <c r="E57" s="9" t="str">
        <f ca="1">+WORLDCUP!BD59</f>
        <v>Catar</v>
      </c>
      <c r="F57" s="9" t="str">
        <f ca="1">+WORLDCUP!BD61</f>
        <v>Turquía</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c r="A58" s="9" t="s">
        <v>843</v>
      </c>
      <c r="B58" s="9">
        <f ca="1">+IF(A58=WORLDCUP!$BI$112,1,0)</f>
        <v>0</v>
      </c>
      <c r="C58" s="9" t="str">
        <f ca="1">+WORLDCUP!BD65</f>
        <v>Arabia Saudita</v>
      </c>
      <c r="D58" s="9" t="str">
        <f ca="1">+WORLDCUP!BD64</f>
        <v>Irán</v>
      </c>
      <c r="E58" s="9" t="str">
        <f ca="1">+WORLDCUP!BD59</f>
        <v>Catar</v>
      </c>
      <c r="F58" s="9" t="str">
        <f ca="1">+WORLDCUP!BD61</f>
        <v>Turquía</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c r="A59" s="9" t="s">
        <v>844</v>
      </c>
      <c r="B59" s="9">
        <f ca="1">+IF(A59=WORLDCUP!$BI$112,1,0)</f>
        <v>0</v>
      </c>
      <c r="C59" s="9" t="str">
        <f ca="1">+WORLDCUP!BD65</f>
        <v>Arabia Saudita</v>
      </c>
      <c r="D59" s="9" t="str">
        <f ca="1">+WORLDCUP!BD64</f>
        <v>Irán</v>
      </c>
      <c r="E59" s="9" t="str">
        <f ca="1">+WORLDCUP!BD59</f>
        <v>Catar</v>
      </c>
      <c r="F59" s="9" t="str">
        <f ca="1">+WORLDCUP!BD61</f>
        <v>Turquía</v>
      </c>
      <c r="G59" s="9" t="str">
        <f ca="1">+WORLDCUP!BD66</f>
        <v>Irak</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c r="A60" s="9" t="s">
        <v>845</v>
      </c>
      <c r="B60" s="9">
        <f ca="1">+IF(A60=WORLDCUP!$BI$112,1,0)</f>
        <v>0</v>
      </c>
      <c r="C60" s="9" t="str">
        <f ca="1">+WORLDCUP!BD65</f>
        <v>Arabia Saudita</v>
      </c>
      <c r="D60" s="9" t="str">
        <f ca="1">+WORLDCUP!BD64</f>
        <v>Irán</v>
      </c>
      <c r="E60" s="9" t="str">
        <f ca="1">+WORLDCUP!BD59</f>
        <v>Catar</v>
      </c>
      <c r="F60" s="9" t="str">
        <f ca="1">+WORLDCUP!BD61</f>
        <v>Turquía</v>
      </c>
      <c r="G60" s="9" t="str">
        <f ca="1">+WORLDCUP!BD67</f>
        <v>Austria</v>
      </c>
      <c r="H60" s="9" t="str">
        <f ca="1">+WORLDCUP!BD63</f>
        <v>Suecia</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c r="A61" s="9" t="s">
        <v>846</v>
      </c>
      <c r="B61" s="9">
        <f ca="1">+IF(A61=WORLDCUP!$BI$112,1,0)</f>
        <v>0</v>
      </c>
      <c r="C61" s="9" t="str">
        <f ca="1">+WORLDCUP!BD65</f>
        <v>Arabia Saudita</v>
      </c>
      <c r="D61" s="9" t="str">
        <f ca="1">+WORLDCUP!BD64</f>
        <v>Irán</v>
      </c>
      <c r="E61" s="9" t="str">
        <f ca="1">+WORLDCUP!BD59</f>
        <v>Catar</v>
      </c>
      <c r="F61" s="9" t="str">
        <f ca="1">+WORLDCUP!BD61</f>
        <v>Turquía</v>
      </c>
      <c r="G61" s="9" t="str">
        <f ca="1">+WORLDCUP!BD67</f>
        <v>Austria</v>
      </c>
      <c r="H61" s="9" t="str">
        <f ca="1">+WORLDCUP!BD63</f>
        <v>Suecia</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c r="A62" s="9" t="s">
        <v>847</v>
      </c>
      <c r="B62" s="9">
        <f ca="1">+IF(A62=WORLDCUP!$BI$112,1,0)</f>
        <v>0</v>
      </c>
      <c r="C62" s="9" t="str">
        <f ca="1">+WORLDCUP!BD62</f>
        <v>Costa de Marfil</v>
      </c>
      <c r="D62" s="9" t="str">
        <f ca="1">+WORLDCUP!BD67</f>
        <v>Austria</v>
      </c>
      <c r="E62" s="9" t="str">
        <f ca="1">+WORLDCUP!BD59</f>
        <v>Catar</v>
      </c>
      <c r="F62" s="9" t="str">
        <f ca="1">+WORLDCUP!BD61</f>
        <v>Turquía</v>
      </c>
      <c r="G62" s="9" t="str">
        <f ca="1">+WORLDCUP!BD66</f>
        <v>Irak</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c r="A63" s="9" t="s">
        <v>848</v>
      </c>
      <c r="B63" s="9">
        <f ca="1">+IF(A63=WORLDCUP!$BI$112,1,0)</f>
        <v>0</v>
      </c>
      <c r="C63" s="9" t="str">
        <f ca="1">+WORLDCUP!BD62</f>
        <v>Costa de Marfil</v>
      </c>
      <c r="D63" s="9" t="str">
        <f ca="1">+WORLDCUP!BD67</f>
        <v>Austria</v>
      </c>
      <c r="E63" s="9" t="str">
        <f ca="1">+WORLDCUP!BD59</f>
        <v>Catar</v>
      </c>
      <c r="F63" s="9" t="str">
        <f ca="1">+WORLDCUP!BD61</f>
        <v>Turquía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c r="A64" s="9" t="s">
        <v>849</v>
      </c>
      <c r="B64" s="9">
        <f ca="1">+IF(A64=WORLDCUP!$BI$112,1,0)</f>
        <v>0</v>
      </c>
      <c r="C64" s="9" t="str">
        <f ca="1">+WORLDCUP!BD62</f>
        <v>Costa de Marfil</v>
      </c>
      <c r="D64" s="9" t="str">
        <f ca="1">+WORLDCUP!BD67</f>
        <v>Austria</v>
      </c>
      <c r="E64" s="9" t="str">
        <f ca="1">+WORLDCUP!BD59</f>
        <v>Catar</v>
      </c>
      <c r="F64" s="9" t="str">
        <f ca="1">+WORLDCUP!BD61</f>
        <v>Turquía</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c r="A65" s="9" t="s">
        <v>850</v>
      </c>
      <c r="B65" s="9">
        <f ca="1">+IF(A65=WORLDCUP!$BI$112,1,0)</f>
        <v>0</v>
      </c>
      <c r="C65" s="9" t="str">
        <f ca="1">+WORLDCUP!BD62</f>
        <v>Costa de Marfil</v>
      </c>
      <c r="D65" s="9" t="str">
        <f ca="1">+WORLDCUP!BD64</f>
        <v>Irán</v>
      </c>
      <c r="E65" s="9" t="str">
        <f ca="1">+WORLDCUP!BD59</f>
        <v>Catar</v>
      </c>
      <c r="F65" s="9" t="str">
        <f ca="1">+WORLDCUP!BD61</f>
        <v>Turquía</v>
      </c>
      <c r="G65" s="9" t="str">
        <f ca="1">+WORLDCUP!BD66</f>
        <v>Irak</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c r="A66" s="9" t="s">
        <v>851</v>
      </c>
      <c r="B66" s="9">
        <f ca="1">+IF(A66=WORLDCUP!$BI$112,1,0)</f>
        <v>0</v>
      </c>
      <c r="C66" s="9" t="str">
        <f ca="1">+WORLDCUP!BD62</f>
        <v>Costa de Marfil</v>
      </c>
      <c r="D66" s="9" t="str">
        <f ca="1">+WORLDCUP!BD67</f>
        <v>Austria</v>
      </c>
      <c r="E66" s="9" t="str">
        <f ca="1">+WORLDCUP!BD59</f>
        <v>Catar</v>
      </c>
      <c r="F66" s="9" t="str">
        <f ca="1">+WORLDCUP!BD61</f>
        <v>Turquía</v>
      </c>
      <c r="G66" s="9" t="str">
        <f ca="1">+WORLDCUP!BD65</f>
        <v>Arabia Saudita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c r="A67" s="9" t="s">
        <v>852</v>
      </c>
      <c r="B67" s="9">
        <f ca="1">+IF(A67=WORLDCUP!$BI$112,1,0)</f>
        <v>0</v>
      </c>
      <c r="C67" s="9" t="str">
        <f ca="1">+WORLDCUP!BD62</f>
        <v>Costa de Marfil</v>
      </c>
      <c r="D67" s="9" t="str">
        <f ca="1">+WORLDCUP!BD67</f>
        <v>Austria</v>
      </c>
      <c r="E67" s="9" t="str">
        <f ca="1">+WORLDCUP!BD59</f>
        <v>Catar</v>
      </c>
      <c r="F67" s="9" t="str">
        <f ca="1">+WORLDCUP!BD61</f>
        <v>Turquía</v>
      </c>
      <c r="G67" s="9" t="str">
        <f ca="1">+WORLDCUP!BD65</f>
        <v>Arabia Saudita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c r="A68" s="9" t="s">
        <v>853</v>
      </c>
      <c r="B68" s="9">
        <f ca="1">+IF(A68=WORLDCUP!$BI$112,1,0)</f>
        <v>0</v>
      </c>
      <c r="C68" s="9" t="str">
        <f ca="1">+WORLDCUP!BD62</f>
        <v>Costa de Marfil</v>
      </c>
      <c r="D68" s="9" t="str">
        <f ca="1">+WORLDCUP!BD67</f>
        <v>Austria</v>
      </c>
      <c r="E68" s="9" t="str">
        <f ca="1">+WORLDCUP!BD59</f>
        <v>Catar</v>
      </c>
      <c r="F68" s="9" t="str">
        <f ca="1">+WORLDCUP!BD61</f>
        <v>Turquía</v>
      </c>
      <c r="G68" s="9" t="str">
        <f ca="1">+WORLDCUP!BD66</f>
        <v>Irak</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c r="A69" s="9" t="s">
        <v>854</v>
      </c>
      <c r="B69" s="9">
        <f ca="1">+IF(A69=WORLDCUP!$BI$112,1,0)</f>
        <v>0</v>
      </c>
      <c r="C69" s="9" t="str">
        <f ca="1">+WORLDCUP!BD62</f>
        <v>Costa de Marfil</v>
      </c>
      <c r="D69" s="9" t="str">
        <f ca="1">+WORLDCUP!BD67</f>
        <v>Austria</v>
      </c>
      <c r="E69" s="9" t="str">
        <f ca="1">+WORLDCUP!BD59</f>
        <v>Catar</v>
      </c>
      <c r="F69" s="9" t="str">
        <f ca="1">+WORLDCUP!BD61</f>
        <v>Turquía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c r="A70" s="9" t="s">
        <v>855</v>
      </c>
      <c r="B70" s="9">
        <f ca="1">+IF(A70=WORLDCUP!$BI$112,1,0)</f>
        <v>0</v>
      </c>
      <c r="C70" s="9" t="str">
        <f ca="1">+WORLDCUP!BD62</f>
        <v>Costa de Marfil</v>
      </c>
      <c r="D70" s="9" t="str">
        <f ca="1">+WORLDCUP!BD66</f>
        <v>Irak</v>
      </c>
      <c r="E70" s="9" t="str">
        <f ca="1">+WORLDCUP!BD59</f>
        <v>Catar</v>
      </c>
      <c r="F70" s="9" t="str">
        <f ca="1">+WORLDCUP!BD61</f>
        <v>Turquía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c r="A71" s="9" t="s">
        <v>856</v>
      </c>
      <c r="B71" s="9">
        <f ca="1">+IF(A71=WORLDCUP!$BI$112,1,0)</f>
        <v>0</v>
      </c>
      <c r="C71" s="9" t="str">
        <f ca="1">+WORLDCUP!BD62</f>
        <v>Costa de Marfil</v>
      </c>
      <c r="D71" s="9" t="str">
        <f ca="1">+WORLDCUP!BD67</f>
        <v>Austria</v>
      </c>
      <c r="E71" s="9" t="str">
        <f ca="1">+WORLDCUP!BD59</f>
        <v>Catar</v>
      </c>
      <c r="F71" s="9" t="str">
        <f ca="1">+WORLDCUP!BD61</f>
        <v>Turquía</v>
      </c>
      <c r="G71" s="9" t="str">
        <f ca="1">+WORLDCUP!BD65</f>
        <v>Arabia Saudita</v>
      </c>
      <c r="H71" s="9" t="str">
        <f ca="1">+WORLDCUP!BD63</f>
        <v>Suecia</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c r="A72" s="9" t="s">
        <v>857</v>
      </c>
      <c r="B72" s="9">
        <f ca="1">+IF(A72=WORLDCUP!$BI$112,1,0)</f>
        <v>0</v>
      </c>
      <c r="C72" s="9" t="str">
        <f ca="1">+WORLDCUP!BD62</f>
        <v>Costa de Marfil</v>
      </c>
      <c r="D72" s="9" t="str">
        <f ca="1">+WORLDCUP!BD67</f>
        <v>Austria</v>
      </c>
      <c r="E72" s="9" t="str">
        <f ca="1">+WORLDCUP!BD59</f>
        <v>Catar</v>
      </c>
      <c r="F72" s="9" t="str">
        <f ca="1">+WORLDCUP!BD61</f>
        <v>Turquía</v>
      </c>
      <c r="G72" s="9" t="str">
        <f ca="1">+WORLDCUP!BD65</f>
        <v>Arabia Saudita</v>
      </c>
      <c r="H72" s="9" t="str">
        <f ca="1">+WORLDCUP!BD63</f>
        <v>Suecia</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c r="A73" s="9" t="s">
        <v>858</v>
      </c>
      <c r="B73" s="9">
        <f ca="1">+IF(A73=WORLDCUP!$BI$112,1,0)</f>
        <v>0</v>
      </c>
      <c r="C73" s="9" t="str">
        <f ca="1">+WORLDCUP!BD62</f>
        <v>Costa de Marfil</v>
      </c>
      <c r="D73" s="9" t="str">
        <f ca="1">+WORLDCUP!BD64</f>
        <v>Irán</v>
      </c>
      <c r="E73" s="9" t="str">
        <f ca="1">+WORLDCUP!BD59</f>
        <v>Catar</v>
      </c>
      <c r="F73" s="9" t="str">
        <f ca="1">+WORLDCUP!BD61</f>
        <v>Turquía</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c r="A74" s="9" t="s">
        <v>859</v>
      </c>
      <c r="B74" s="9">
        <f ca="1">+IF(A74=WORLDCUP!$BI$112,1,0)</f>
        <v>0</v>
      </c>
      <c r="C74" s="9" t="str">
        <f ca="1">+WORLDCUP!BD62</f>
        <v>Costa de Marfil</v>
      </c>
      <c r="D74" s="9" t="str">
        <f ca="1">+WORLDCUP!BD64</f>
        <v>Irán</v>
      </c>
      <c r="E74" s="9" t="str">
        <f ca="1">+WORLDCUP!BD59</f>
        <v>Catar</v>
      </c>
      <c r="F74" s="9" t="str">
        <f ca="1">+WORLDCUP!BD61</f>
        <v>Turquía</v>
      </c>
      <c r="G74" s="9" t="str">
        <f ca="1">+WORLDCUP!BD66</f>
        <v>Irak</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c r="A75" s="9" t="s">
        <v>860</v>
      </c>
      <c r="B75" s="9">
        <f ca="1">+IF(A75=WORLDCUP!$BI$112,1,0)</f>
        <v>0</v>
      </c>
      <c r="C75" s="9" t="str">
        <f ca="1">+WORLDCUP!BD62</f>
        <v>Costa de Marfil</v>
      </c>
      <c r="D75" s="9" t="str">
        <f ca="1">+WORLDCUP!BD64</f>
        <v>Irán</v>
      </c>
      <c r="E75" s="9" t="str">
        <f ca="1">+WORLDCUP!BD59</f>
        <v>Catar</v>
      </c>
      <c r="F75" s="9" t="str">
        <f ca="1">+WORLDCUP!BD61</f>
        <v>Turquía</v>
      </c>
      <c r="G75" s="9" t="str">
        <f ca="1">+WORLDCUP!BD67</f>
        <v>Austria</v>
      </c>
      <c r="H75" s="9" t="str">
        <f ca="1">+WORLDCUP!BD63</f>
        <v>Suecia</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c r="A76" s="9" t="s">
        <v>861</v>
      </c>
      <c r="B76" s="9">
        <f ca="1">+IF(A76=WORLDCUP!$BI$112,1,0)</f>
        <v>0</v>
      </c>
      <c r="C76" s="9" t="str">
        <f ca="1">+WORLDCUP!BD62</f>
        <v>Costa de Marfil</v>
      </c>
      <c r="D76" s="9" t="str">
        <f ca="1">+WORLDCUP!BD64</f>
        <v>Irán</v>
      </c>
      <c r="E76" s="9" t="str">
        <f ca="1">+WORLDCUP!BD59</f>
        <v>Catar</v>
      </c>
      <c r="F76" s="9" t="str">
        <f ca="1">+WORLDCUP!BD61</f>
        <v>Turquía</v>
      </c>
      <c r="G76" s="9" t="str">
        <f ca="1">+WORLDCUP!BD67</f>
        <v>Austria</v>
      </c>
      <c r="H76" s="9" t="str">
        <f ca="1">+WORLDCUP!BD63</f>
        <v>Suecia</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c r="A77" s="9" t="s">
        <v>862</v>
      </c>
      <c r="B77" s="9">
        <f ca="1">+IF(A77=WORLDCUP!$BI$112,1,0)</f>
        <v>0</v>
      </c>
      <c r="C77" s="9" t="str">
        <f ca="1">+WORLDCUP!BD62</f>
        <v>Costa de Marfil</v>
      </c>
      <c r="D77" s="9" t="str">
        <f ca="1">+WORLDCUP!BD64</f>
        <v>Irán</v>
      </c>
      <c r="E77" s="9" t="str">
        <f ca="1">+WORLDCUP!BD59</f>
        <v>Catar</v>
      </c>
      <c r="F77" s="9" t="str">
        <f ca="1">+WORLDCUP!BD61</f>
        <v>Turquía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c r="A78" s="9" t="s">
        <v>863</v>
      </c>
      <c r="B78" s="9">
        <f ca="1">+IF(A78=WORLDCUP!$BI$112,1,0)</f>
        <v>0</v>
      </c>
      <c r="C78" s="9" t="str">
        <f ca="1">+WORLDCUP!BD65</f>
        <v>Arabia Saudita</v>
      </c>
      <c r="D78" s="9" t="str">
        <f ca="1">+WORLDCUP!BD64</f>
        <v>Irán</v>
      </c>
      <c r="E78" s="9" t="str">
        <f ca="1">+WORLDCUP!BD59</f>
        <v>Catar</v>
      </c>
      <c r="F78" s="9" t="str">
        <f ca="1">+WORLDCUP!BD61</f>
        <v>Turquía</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c r="A79" s="9" t="s">
        <v>864</v>
      </c>
      <c r="B79" s="9">
        <f ca="1">+IF(A79=WORLDCUP!$BI$112,1,0)</f>
        <v>0</v>
      </c>
      <c r="C79" s="9" t="str">
        <f ca="1">+WORLDCUP!BD65</f>
        <v>Arabia Saudita</v>
      </c>
      <c r="D79" s="9" t="str">
        <f ca="1">+WORLDCUP!BD64</f>
        <v>Irán</v>
      </c>
      <c r="E79" s="9" t="str">
        <f ca="1">+WORLDCUP!BD59</f>
        <v>Catar</v>
      </c>
      <c r="F79" s="9" t="str">
        <f ca="1">+WORLDCUP!BD61</f>
        <v>Turquía</v>
      </c>
      <c r="G79" s="9" t="str">
        <f ca="1">+WORLDCUP!BD67</f>
        <v>Austria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c r="A80" s="9" t="s">
        <v>865</v>
      </c>
      <c r="B80" s="9">
        <f ca="1">+IF(A80=WORLDCUP!$BI$112,1,0)</f>
        <v>0</v>
      </c>
      <c r="C80" s="9" t="str">
        <f ca="1">+WORLDCUP!BD62</f>
        <v>Costa de Marfil</v>
      </c>
      <c r="D80" s="9" t="str">
        <f ca="1">+WORLDCUP!BD64</f>
        <v>Irán</v>
      </c>
      <c r="E80" s="9" t="str">
        <f ca="1">+WORLDCUP!BD59</f>
        <v>Catar</v>
      </c>
      <c r="F80" s="9" t="str">
        <f ca="1">+WORLDCUP!BD61</f>
        <v>Turquía</v>
      </c>
      <c r="G80" s="9" t="str">
        <f ca="1">+WORLDCUP!BD65</f>
        <v>Arabia Saudita</v>
      </c>
      <c r="H80" s="9" t="str">
        <f ca="1">+WORLDCUP!BD63</f>
        <v>Suecia</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c r="A81" s="9" t="s">
        <v>866</v>
      </c>
      <c r="B81" s="9">
        <f ca="1">+IF(A81=WORLDCUP!$BI$112,1,0)</f>
        <v>0</v>
      </c>
      <c r="C81" s="9" t="str">
        <f ca="1">+WORLDCUP!BD62</f>
        <v>Costa de Marfil</v>
      </c>
      <c r="D81" s="9" t="str">
        <f ca="1">+WORLDCUP!BD64</f>
        <v>Irán</v>
      </c>
      <c r="E81" s="9" t="str">
        <f ca="1">+WORLDCUP!BD59</f>
        <v>Catar</v>
      </c>
      <c r="F81" s="9" t="str">
        <f ca="1">+WORLDCUP!BD61</f>
        <v>Turquía</v>
      </c>
      <c r="G81" s="9" t="str">
        <f ca="1">+WORLDCUP!BD65</f>
        <v>Arabia Saudita</v>
      </c>
      <c r="H81" s="9" t="str">
        <f ca="1">+WORLDCUP!BD63</f>
        <v>Suecia</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c r="A82" s="9" t="s">
        <v>867</v>
      </c>
      <c r="B82" s="9">
        <f ca="1">+IF(A82=WORLDCUP!$BI$112,1,0)</f>
        <v>0</v>
      </c>
      <c r="C82" s="9" t="str">
        <f ca="1">+WORLDCUP!BD65</f>
        <v>Arabia Saudita</v>
      </c>
      <c r="D82" s="9" t="str">
        <f ca="1">+WORLDCUP!BD64</f>
        <v>Irán</v>
      </c>
      <c r="E82" s="9" t="str">
        <f ca="1">+WORLDCUP!BD59</f>
        <v>Catar</v>
      </c>
      <c r="F82" s="9" t="str">
        <f ca="1">+WORLDCUP!BD61</f>
        <v>Turquía</v>
      </c>
      <c r="G82" s="9" t="str">
        <f ca="1">+WORLDCUP!BD67</f>
        <v>Austria</v>
      </c>
      <c r="H82" s="9" t="str">
        <f ca="1">+WORLDCUP!BD63</f>
        <v>Suecia</v>
      </c>
      <c r="I82" s="9" t="str">
        <f ca="1">+WORLDCUP!BD62</f>
        <v>Costa de Marfil</v>
      </c>
      <c r="J82" s="9" t="str">
        <f ca="1">+WORLDCUP!BD66</f>
        <v>Irak</v>
      </c>
      <c r="N82" s="16" t="s">
        <v>867</v>
      </c>
      <c r="O82" s="16">
        <v>81</v>
      </c>
      <c r="P82" s="16" t="s">
        <v>104</v>
      </c>
      <c r="Q82" s="16" t="s">
        <v>99</v>
      </c>
      <c r="R82" s="16" t="s">
        <v>77</v>
      </c>
      <c r="S82" s="16" t="s">
        <v>86</v>
      </c>
      <c r="T82" s="16" t="s">
        <v>113</v>
      </c>
      <c r="U82" s="16" t="s">
        <v>95</v>
      </c>
      <c r="V82" s="16" t="s">
        <v>90</v>
      </c>
      <c r="W82" s="16" t="s">
        <v>108</v>
      </c>
    </row>
    <row r="83" spans="1:23">
      <c r="A83" s="9" t="s">
        <v>868</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c r="A84" s="9" t="s">
        <v>869</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c r="A85" s="9" t="s">
        <v>870</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c r="A86" s="9" t="s">
        <v>871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c r="A87" s="9" t="s">
        <v>872</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c r="A88" s="9" t="s">
        <v>873</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c r="A89" s="9" t="s">
        <v>874</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c r="A90" s="9" t="s">
        <v>875</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c r="A91" s="9" t="s">
        <v>876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c r="A92" s="9" t="s">
        <v>877</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c r="A93" s="9" t="s">
        <v>878</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c r="A94" s="9" t="s">
        <v>879</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c r="A95" s="9" t="s">
        <v>880</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c r="A96" s="9" t="s">
        <v>881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c r="A97" s="9" t="s">
        <v>882</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c r="A98" s="9" t="s">
        <v>883</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c r="A99" s="9" t="s">
        <v>884</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c r="A100" s="9" t="s">
        <v>885</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c r="A101" s="9" t="s">
        <v>886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c r="A102" s="9" t="s">
        <v>887</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c r="A103" s="9" t="s">
        <v>888</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c r="A104" s="9" t="s">
        <v>889</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c r="A105" s="9" t="s">
        <v>890</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c r="A106" s="9" t="s">
        <v>891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c r="A107" s="9" t="s">
        <v>892</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c r="A108" s="9" t="s">
        <v>893</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c r="A109" s="9" t="s">
        <v>894</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c r="A110" s="9" t="s">
        <v>895</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c r="A111" s="9" t="s">
        <v>896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c r="A112" s="9" t="s">
        <v>897</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c r="A113" s="9" t="s">
        <v>898</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c r="A114" s="9" t="s">
        <v>899</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c r="A115" s="9" t="s">
        <v>900</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Turquía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c r="A116" s="9" t="s">
        <v>901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Turquía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c r="A117" s="9" t="s">
        <v>902</v>
      </c>
      <c r="B117" s="9">
        <f ca="1">+IF(A117=WORLDCUP!$BI$112,1,0)</f>
        <v>0</v>
      </c>
      <c r="C117" s="9" t="str">
        <f ca="1">+WORLDCUP!BD60</f>
        <v>Haití</v>
      </c>
      <c r="D117" s="9" t="str">
        <f ca="1">+WORLDCUP!BD67</f>
        <v>Austria</v>
      </c>
      <c r="E117" s="9" t="str">
        <f ca="1">+WORLDCUP!BD59</f>
        <v>Catar</v>
      </c>
      <c r="F117" s="9" t="str">
        <f ca="1">+WORLDCUP!BD61</f>
        <v>Turquía</v>
      </c>
      <c r="G117" s="9" t="str">
        <f ca="1">+WORLDCUP!BD66</f>
        <v>Irak</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c r="A118" s="9" t="s">
        <v>903</v>
      </c>
      <c r="B118" s="9">
        <f ca="1">+IF(A118=WORLDCUP!$BI$112,1,0)</f>
        <v>0</v>
      </c>
      <c r="C118" s="9" t="str">
        <f ca="1">+WORLDCUP!BD60</f>
        <v>Haití</v>
      </c>
      <c r="D118" s="9" t="str">
        <f ca="1">+WORLDCUP!BD67</f>
        <v>Austria</v>
      </c>
      <c r="E118" s="9" t="str">
        <f ca="1">+WORLDCUP!BD59</f>
        <v>Catar</v>
      </c>
      <c r="F118" s="9" t="str">
        <f ca="1">+WORLDCUP!BD61</f>
        <v>Turquía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c r="A119" s="9" t="s">
        <v>904</v>
      </c>
      <c r="B119" s="9">
        <f ca="1">+IF(A119=WORLDCUP!$BI$112,1,0)</f>
        <v>0</v>
      </c>
      <c r="C119" s="9" t="str">
        <f ca="1">+WORLDCUP!BD60</f>
        <v>Haití</v>
      </c>
      <c r="D119" s="9" t="str">
        <f ca="1">+WORLDCUP!BD66</f>
        <v>Irak</v>
      </c>
      <c r="E119" s="9" t="str">
        <f ca="1">+WORLDCUP!BD59</f>
        <v>Catar</v>
      </c>
      <c r="F119" s="9" t="str">
        <f ca="1">+WORLDCUP!BD61</f>
        <v>Turquía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c r="A120" s="9" t="s">
        <v>905</v>
      </c>
      <c r="B120" s="9">
        <f ca="1">+IF(A120=WORLDCUP!$BI$112,1,0)</f>
        <v>0</v>
      </c>
      <c r="C120" s="9" t="str">
        <f ca="1">+WORLDCUP!BD60</f>
        <v>Haití</v>
      </c>
      <c r="D120" s="9" t="str">
        <f ca="1">+WORLDCUP!BD67</f>
        <v>Austria</v>
      </c>
      <c r="E120" s="9" t="str">
        <f ca="1">+WORLDCUP!BD59</f>
        <v>Catar</v>
      </c>
      <c r="F120" s="9" t="str">
        <f ca="1">+WORLDCUP!BD61</f>
        <v>Turquía</v>
      </c>
      <c r="G120" s="9" t="str">
        <f ca="1">+WORLDCUP!BD65</f>
        <v>Arabia Saudita</v>
      </c>
      <c r="H120" s="9" t="str">
        <f ca="1">+WORLDCUP!BD63</f>
        <v>Suecia</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c r="A121" s="9" t="s">
        <v>906</v>
      </c>
      <c r="B121" s="9">
        <f ca="1">+IF(A121=WORLDCUP!$BI$112,1,0)</f>
        <v>0</v>
      </c>
      <c r="C121" s="9" t="str">
        <f ca="1">+WORLDCUP!BD60</f>
        <v>Haití</v>
      </c>
      <c r="D121" s="9" t="str">
        <f ca="1">+WORLDCUP!BD67</f>
        <v>Austria</v>
      </c>
      <c r="E121" s="9" t="str">
        <f ca="1">+WORLDCUP!BD59</f>
        <v>Catar</v>
      </c>
      <c r="F121" s="9" t="str">
        <f ca="1">+WORLDCUP!BD61</f>
        <v>Turquía</v>
      </c>
      <c r="G121" s="9" t="str">
        <f ca="1">+WORLDCUP!BD65</f>
        <v>Arabia Saudita</v>
      </c>
      <c r="H121" s="9" t="str">
        <f ca="1">+WORLDCUP!BD63</f>
        <v>Suecia</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c r="A122" s="9" t="s">
        <v>907</v>
      </c>
      <c r="B122" s="9">
        <f ca="1">+IF(A122=WORLDCUP!$BI$112,1,0)</f>
        <v>0</v>
      </c>
      <c r="C122" s="9" t="str">
        <f ca="1">+WORLDCUP!BD60</f>
        <v>Haití</v>
      </c>
      <c r="D122" s="9" t="str">
        <f ca="1">+WORLDCUP!BD64</f>
        <v>Irán</v>
      </c>
      <c r="E122" s="9" t="str">
        <f ca="1">+WORLDCUP!BD59</f>
        <v>Catar</v>
      </c>
      <c r="F122" s="9" t="str">
        <f ca="1">+WORLDCUP!BD61</f>
        <v>Turquía</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c r="A123" s="9" t="s">
        <v>908</v>
      </c>
      <c r="B123" s="9">
        <f ca="1">+IF(A123=WORLDCUP!$BI$112,1,0)</f>
        <v>0</v>
      </c>
      <c r="C123" s="9" t="str">
        <f ca="1">+WORLDCUP!BD60</f>
        <v>Haití</v>
      </c>
      <c r="D123" s="9" t="str">
        <f ca="1">+WORLDCUP!BD64</f>
        <v>Irán</v>
      </c>
      <c r="E123" s="9" t="str">
        <f ca="1">+WORLDCUP!BD59</f>
        <v>Catar</v>
      </c>
      <c r="F123" s="9" t="str">
        <f ca="1">+WORLDCUP!BD61</f>
        <v>Turquía</v>
      </c>
      <c r="G123" s="9" t="str">
        <f ca="1">+WORLDCUP!BD66</f>
        <v>Irak</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c r="A124" s="9" t="s">
        <v>909</v>
      </c>
      <c r="B124" s="9">
        <f ca="1">+IF(A124=WORLDCUP!$BI$112,1,0)</f>
        <v>0</v>
      </c>
      <c r="C124" s="9" t="str">
        <f ca="1">+WORLDCUP!BD60</f>
        <v>Haití</v>
      </c>
      <c r="D124" s="9" t="str">
        <f ca="1">+WORLDCUP!BD64</f>
        <v>Irán</v>
      </c>
      <c r="E124" s="9" t="str">
        <f ca="1">+WORLDCUP!BD59</f>
        <v>Catar</v>
      </c>
      <c r="F124" s="9" t="str">
        <f ca="1">+WORLDCUP!BD61</f>
        <v>Turquía</v>
      </c>
      <c r="G124" s="9" t="str">
        <f ca="1">+WORLDCUP!BD67</f>
        <v>Austria</v>
      </c>
      <c r="H124" s="9" t="str">
        <f ca="1">+WORLDCUP!BD63</f>
        <v>Suecia</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c r="A125" s="9" t="s">
        <v>910</v>
      </c>
      <c r="B125" s="9">
        <f ca="1">+IF(A125=WORLDCUP!$BI$112,1,0)</f>
        <v>0</v>
      </c>
      <c r="C125" s="9" t="str">
        <f ca="1">+WORLDCUP!BD60</f>
        <v>Haití</v>
      </c>
      <c r="D125" s="9" t="str">
        <f ca="1">+WORLDCUP!BD64</f>
        <v>Irán</v>
      </c>
      <c r="E125" s="9" t="str">
        <f ca="1">+WORLDCUP!BD59</f>
        <v>Catar</v>
      </c>
      <c r="F125" s="9" t="str">
        <f ca="1">+WORLDCUP!BD61</f>
        <v>Turquía</v>
      </c>
      <c r="G125" s="9" t="str">
        <f ca="1">+WORLDCUP!BD67</f>
        <v>Austria</v>
      </c>
      <c r="H125" s="9" t="str">
        <f ca="1">+WORLDCUP!BD63</f>
        <v>Suecia</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c r="A126" s="9" t="s">
        <v>911</v>
      </c>
      <c r="B126" s="9">
        <f ca="1">+IF(A126=WORLDCUP!$BI$112,1,0)</f>
        <v>0</v>
      </c>
      <c r="C126" s="9" t="str">
        <f ca="1">+WORLDCUP!BD60</f>
        <v>Haití</v>
      </c>
      <c r="D126" s="9" t="str">
        <f ca="1">+WORLDCUP!BD64</f>
        <v>Irán</v>
      </c>
      <c r="E126" s="9" t="str">
        <f ca="1">+WORLDCUP!BD59</f>
        <v>Catar</v>
      </c>
      <c r="F126" s="9" t="str">
        <f ca="1">+WORLDCUP!BD61</f>
        <v>Turquía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c r="A127" s="9" t="s">
        <v>912</v>
      </c>
      <c r="B127" s="9">
        <f ca="1">+IF(A127=WORLDCUP!$BI$112,1,0)</f>
        <v>0</v>
      </c>
      <c r="C127" s="9" t="str">
        <f ca="1">+WORLDCUP!BD60</f>
        <v>Haití</v>
      </c>
      <c r="D127" s="9" t="str">
        <f ca="1">+WORLDCUP!BD64</f>
        <v>Irán</v>
      </c>
      <c r="E127" s="9" t="str">
        <f ca="1">+WORLDCUP!BD59</f>
        <v>Catar</v>
      </c>
      <c r="F127" s="9" t="str">
        <f ca="1">+WORLDCUP!BD61</f>
        <v>Turquía</v>
      </c>
      <c r="G127" s="9" t="str">
        <f ca="1">+WORLDCUP!BD65</f>
        <v>Arabia Saudita</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c r="A128" s="9" t="s">
        <v>913</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c r="A129" s="9" t="s">
        <v>914</v>
      </c>
      <c r="B129" s="9">
        <f ca="1">+IF(A129=WORLDCUP!$BI$112,1,0)</f>
        <v>0</v>
      </c>
      <c r="C129" s="9" t="str">
        <f ca="1">+WORLDCUP!BD60</f>
        <v>Haití</v>
      </c>
      <c r="D129" s="9" t="str">
        <f ca="1">+WORLDCUP!BD64</f>
        <v>Irán</v>
      </c>
      <c r="E129" s="9" t="str">
        <f ca="1">+WORLDCUP!BD59</f>
        <v>Catar</v>
      </c>
      <c r="F129" s="9" t="str">
        <f ca="1">+WORLDCUP!BD61</f>
        <v>Turquía</v>
      </c>
      <c r="G129" s="9" t="str">
        <f ca="1">+WORLDCUP!BD65</f>
        <v>Arabia Saudita</v>
      </c>
      <c r="H129" s="9" t="str">
        <f ca="1">+WORLDCUP!BD63</f>
        <v>Suecia</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c r="A130" s="9" t="s">
        <v>915</v>
      </c>
      <c r="B130" s="9">
        <f ca="1">+IF(A130=WORLDCUP!$BI$112,1,0)</f>
        <v>0</v>
      </c>
      <c r="C130" s="9" t="str">
        <f ca="1">+WORLDCUP!BD60</f>
        <v>Haití</v>
      </c>
      <c r="D130" s="9" t="str">
        <f ca="1">+WORLDCUP!BD64</f>
        <v>Irán</v>
      </c>
      <c r="E130" s="9" t="str">
        <f ca="1">+WORLDCUP!BD59</f>
        <v>Catar</v>
      </c>
      <c r="F130" s="9" t="str">
        <f ca="1">+WORLDCUP!BD61</f>
        <v>Turquía</v>
      </c>
      <c r="G130" s="9" t="str">
        <f ca="1">+WORLDCUP!BD65</f>
        <v>Arabia Saudita</v>
      </c>
      <c r="H130" s="9" t="str">
        <f ca="1">+WORLDCUP!BD63</f>
        <v>Suecia</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c r="A131" s="9" t="s">
        <v>916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Turquía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c r="A132" s="9" t="s">
        <v>917</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c r="A133" s="9" t="s">
        <v>918</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c r="A134" s="9" t="s">
        <v>919</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c r="A135" s="9" t="s">
        <v>920</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Turquía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c r="A136" s="9" t="s">
        <v>921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Turquía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c r="A137" s="9" t="s">
        <v>922</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c r="A138" s="9" t="s">
        <v>923</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c r="A139" s="9" t="s">
        <v>924</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Turquía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c r="A140" s="9" t="s">
        <v>925</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Turquía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c r="A141" s="9" t="s">
        <v>926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c r="A142" s="9" t="s">
        <v>927</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c r="A143" s="9" t="s">
        <v>928</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Turquía</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c r="A144" s="9" t="s">
        <v>929</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Turquía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c r="A145" s="9" t="s">
        <v>930</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Turquía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c r="A146" s="9" t="s">
        <v>931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Turquía</v>
      </c>
      <c r="I146" s="9" t="str">
        <f ca="1">+WORLDCUP!BD62</f>
        <v>Costa de Marfil</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c r="A147" s="9" t="s">
        <v>932</v>
      </c>
      <c r="B147" s="9">
        <f ca="1">+IF(A147=WORLDCUP!$BI$112,1,0)</f>
        <v>0</v>
      </c>
      <c r="C147" s="9" t="str">
        <f ca="1">+WORLDCUP!BD60</f>
        <v>Haití</v>
      </c>
      <c r="D147" s="9" t="str">
        <f ca="1">+WORLDCUP!BD67</f>
        <v>Austria</v>
      </c>
      <c r="E147" s="9" t="str">
        <f ca="1">+WORLDCUP!BD59</f>
        <v>Catar</v>
      </c>
      <c r="F147" s="9" t="str">
        <f ca="1">+WORLDCUP!BD61</f>
        <v>Turquía</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c r="A148" s="9" t="s">
        <v>933</v>
      </c>
      <c r="B148" s="9">
        <f ca="1">+IF(A148=WORLDCUP!$BI$112,1,0)</f>
        <v>0</v>
      </c>
      <c r="C148" s="9" t="str">
        <f ca="1">+WORLDCUP!BD60</f>
        <v>Haití</v>
      </c>
      <c r="D148" s="9" t="str">
        <f ca="1">+WORLDCUP!BD62</f>
        <v>Costa de Marfil</v>
      </c>
      <c r="E148" s="9" t="str">
        <f ca="1">+WORLDCUP!BD59</f>
        <v>Catar</v>
      </c>
      <c r="F148" s="9" t="str">
        <f ca="1">+WORLDCUP!BD61</f>
        <v>Turquía</v>
      </c>
      <c r="G148" s="9" t="str">
        <f ca="1">+WORLDCUP!BD66</f>
        <v>Irak</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c r="A149" s="9" t="s">
        <v>934</v>
      </c>
      <c r="B149" s="9">
        <f ca="1">+IF(A149=WORLDCUP!$BI$112,1,0)</f>
        <v>0</v>
      </c>
      <c r="C149" s="9" t="str">
        <f ca="1">+WORLDCUP!BD60</f>
        <v>Haití</v>
      </c>
      <c r="D149" s="9" t="str">
        <f ca="1">+WORLDCUP!BD67</f>
        <v>Austria</v>
      </c>
      <c r="E149" s="9" t="str">
        <f ca="1">+WORLDCUP!BD59</f>
        <v>Catar</v>
      </c>
      <c r="F149" s="9" t="str">
        <f ca="1">+WORLDCUP!BD61</f>
        <v>Turquía</v>
      </c>
      <c r="G149" s="9" t="str">
        <f ca="1">+WORLDCUP!BD62</f>
        <v>Costa de Marfil</v>
      </c>
      <c r="H149" s="9" t="str">
        <f ca="1">+WORLDCUP!BD63</f>
        <v>Suecia</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c r="A150" s="9" t="s">
        <v>935</v>
      </c>
      <c r="B150" s="9">
        <f ca="1">+IF(A150=WORLDCUP!$BI$112,1,0)</f>
        <v>0</v>
      </c>
      <c r="C150" s="9" t="str">
        <f ca="1">+WORLDCUP!BD60</f>
        <v>Haití</v>
      </c>
      <c r="D150" s="9" t="str">
        <f ca="1">+WORLDCUP!BD67</f>
        <v>Austria</v>
      </c>
      <c r="E150" s="9" t="str">
        <f ca="1">+WORLDCUP!BD59</f>
        <v>Catar</v>
      </c>
      <c r="F150" s="9" t="str">
        <f ca="1">+WORLDCUP!BD61</f>
        <v>Turquía</v>
      </c>
      <c r="G150" s="9" t="str">
        <f ca="1">+WORLDCUP!BD62</f>
        <v>Costa de Marfil</v>
      </c>
      <c r="H150" s="9" t="str">
        <f ca="1">+WORLDCUP!BD63</f>
        <v>Suecia</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c r="A151" s="9" t="s">
        <v>936</v>
      </c>
      <c r="B151" s="9">
        <f ca="1">+IF(A151=WORLDCUP!$BI$112,1,0)</f>
        <v>0</v>
      </c>
      <c r="C151" s="9" t="str">
        <f ca="1">+WORLDCUP!BD60</f>
        <v>Haití</v>
      </c>
      <c r="D151" s="9" t="str">
        <f ca="1">+WORLDCUP!BD62</f>
        <v>Costa de Marfil</v>
      </c>
      <c r="E151" s="9" t="str">
        <f ca="1">+WORLDCUP!BD59</f>
        <v>Catar</v>
      </c>
      <c r="F151" s="9" t="str">
        <f ca="1">+WORLDCUP!BD61</f>
        <v>Turquía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c r="A152" s="9" t="s">
        <v>937</v>
      </c>
      <c r="B152" s="9">
        <f ca="1">+IF(A152=WORLDCUP!$BI$112,1,0)</f>
        <v>0</v>
      </c>
      <c r="C152" s="9" t="str">
        <f ca="1">+WORLDCUP!BD60</f>
        <v>Haití</v>
      </c>
      <c r="D152" s="9" t="str">
        <f ca="1">+WORLDCUP!BD67</f>
        <v>Austria</v>
      </c>
      <c r="E152" s="9" t="str">
        <f ca="1">+WORLDCUP!BD59</f>
        <v>Catar</v>
      </c>
      <c r="F152" s="9" t="str">
        <f ca="1">+WORLDCUP!BD61</f>
        <v>Turquía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c r="A153" s="9" t="s">
        <v>938</v>
      </c>
      <c r="B153" s="9">
        <f ca="1">+IF(A153=WORLDCUP!$BI$112,1,0)</f>
        <v>0</v>
      </c>
      <c r="C153" s="9" t="str">
        <f ca="1">+WORLDCUP!BD60</f>
        <v>Haití</v>
      </c>
      <c r="D153" s="9" t="str">
        <f ca="1">+WORLDCUP!BD67</f>
        <v>Austria</v>
      </c>
      <c r="E153" s="9" t="str">
        <f ca="1">+WORLDCUP!BD59</f>
        <v>Catar</v>
      </c>
      <c r="F153" s="9" t="str">
        <f ca="1">+WORLDCUP!BD61</f>
        <v>Turquía</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c r="A154" s="9" t="s">
        <v>939</v>
      </c>
      <c r="B154" s="9">
        <f ca="1">+IF(A154=WORLDCUP!$BI$112,1,0)</f>
        <v>0</v>
      </c>
      <c r="C154" s="9" t="str">
        <f ca="1">+WORLDCUP!BD60</f>
        <v>Haití</v>
      </c>
      <c r="D154" s="9" t="str">
        <f ca="1">+WORLDCUP!BD62</f>
        <v>Costa de Marfil</v>
      </c>
      <c r="E154" s="9" t="str">
        <f ca="1">+WORLDCUP!BD59</f>
        <v>Catar</v>
      </c>
      <c r="F154" s="9" t="str">
        <f ca="1">+WORLDCUP!BD61</f>
        <v>Turquía</v>
      </c>
      <c r="G154" s="9" t="str">
        <f ca="1">+WORLDCUP!BD65</f>
        <v>Arabia Saudita</v>
      </c>
      <c r="H154" s="9" t="str">
        <f ca="1">+WORLDCUP!BD63</f>
        <v>Suecia</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c r="A155" s="9" t="s">
        <v>940</v>
      </c>
      <c r="B155" s="9">
        <f ca="1">+IF(A155=WORLDCUP!$BI$112,1,0)</f>
        <v>0</v>
      </c>
      <c r="C155" s="9" t="str">
        <f ca="1">+WORLDCUP!BD60</f>
        <v>Haití</v>
      </c>
      <c r="D155" s="9" t="str">
        <f ca="1">+WORLDCUP!BD62</f>
        <v>Costa de Marfil</v>
      </c>
      <c r="E155" s="9" t="str">
        <f ca="1">+WORLDCUP!BD59</f>
        <v>Catar</v>
      </c>
      <c r="F155" s="9" t="str">
        <f ca="1">+WORLDCUP!BD61</f>
        <v>Turquía</v>
      </c>
      <c r="G155" s="9" t="str">
        <f ca="1">+WORLDCUP!BD65</f>
        <v>Arabia Saudita</v>
      </c>
      <c r="H155" s="9" t="str">
        <f ca="1">+WORLDCUP!BD63</f>
        <v>Suecia</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c r="A156" s="9" t="s">
        <v>941</v>
      </c>
      <c r="B156" s="9">
        <f ca="1">+IF(A156=WORLDCUP!$BI$112,1,0)</f>
        <v>0</v>
      </c>
      <c r="C156" s="9" t="str">
        <f ca="1">+WORLDCUP!BD60</f>
        <v>Haití</v>
      </c>
      <c r="D156" s="9" t="str">
        <f ca="1">+WORLDCUP!BD67</f>
        <v>Austria</v>
      </c>
      <c r="E156" s="9" t="str">
        <f ca="1">+WORLDCUP!BD59</f>
        <v>Catar</v>
      </c>
      <c r="F156" s="9" t="str">
        <f ca="1">+WORLDCUP!BD61</f>
        <v>Turquía</v>
      </c>
      <c r="G156" s="9" t="str">
        <f ca="1">+WORLDCUP!BD65</f>
        <v>Arabia Saudita</v>
      </c>
      <c r="H156" s="9" t="str">
        <f ca="1">+WORLDCUP!BD63</f>
        <v>Suecia</v>
      </c>
      <c r="I156" s="9" t="str">
        <f ca="1">+WORLDCUP!BD62</f>
        <v>Costa de Marfil</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c r="A157" s="9" t="s">
        <v>942</v>
      </c>
      <c r="B157" s="9">
        <f ca="1">+IF(A157=WORLDCUP!$BI$112,1,0)</f>
        <v>0</v>
      </c>
      <c r="C157" s="9" t="str">
        <f ca="1">+WORLDCUP!BD60</f>
        <v>Haití</v>
      </c>
      <c r="D157" s="9" t="str">
        <f ca="1">+WORLDCUP!BD64</f>
        <v>Irán</v>
      </c>
      <c r="E157" s="9" t="str">
        <f ca="1">+WORLDCUP!BD59</f>
        <v>Catar</v>
      </c>
      <c r="F157" s="9" t="str">
        <f ca="1">+WORLDCUP!BD61</f>
        <v>Turquía</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c r="A158" s="9" t="s">
        <v>943</v>
      </c>
      <c r="B158" s="9">
        <f ca="1">+IF(A158=WORLDCUP!$BI$112,1,0)</f>
        <v>0</v>
      </c>
      <c r="C158" s="9" t="str">
        <f ca="1">+WORLDCUP!BD60</f>
        <v>Haití</v>
      </c>
      <c r="D158" s="9" t="str">
        <f ca="1">+WORLDCUP!BD64</f>
        <v>Irán</v>
      </c>
      <c r="E158" s="9" t="str">
        <f ca="1">+WORLDCUP!BD59</f>
        <v>Catar</v>
      </c>
      <c r="F158" s="9" t="str">
        <f ca="1">+WORLDCUP!BD61</f>
        <v>Turquía</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c r="A159" s="9" t="s">
        <v>944</v>
      </c>
      <c r="B159" s="9">
        <f ca="1">+IF(A159=WORLDCUP!$BI$112,1,0)</f>
        <v>0</v>
      </c>
      <c r="C159" s="9" t="str">
        <f ca="1">+WORLDCUP!BD60</f>
        <v>Haití</v>
      </c>
      <c r="D159" s="9" t="str">
        <f ca="1">+WORLDCUP!BD64</f>
        <v>Irán</v>
      </c>
      <c r="E159" s="9" t="str">
        <f ca="1">+WORLDCUP!BD59</f>
        <v>Catar</v>
      </c>
      <c r="F159" s="9" t="str">
        <f ca="1">+WORLDCUP!BD61</f>
        <v>Turquía</v>
      </c>
      <c r="G159" s="9" t="str">
        <f ca="1">+WORLDCUP!BD67</f>
        <v>Austria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c r="A160" s="9" t="s">
        <v>945</v>
      </c>
      <c r="B160" s="9">
        <f ca="1">+IF(A160=WORLDCUP!$BI$112,1,0)</f>
        <v>0</v>
      </c>
      <c r="C160" s="9" t="str">
        <f ca="1">+WORLDCUP!BD60</f>
        <v>Haití</v>
      </c>
      <c r="D160" s="9" t="str">
        <f ca="1">+WORLDCUP!BD64</f>
        <v>Irán</v>
      </c>
      <c r="E160" s="9" t="str">
        <f ca="1">+WORLDCUP!BD59</f>
        <v>Catar</v>
      </c>
      <c r="F160" s="9" t="str">
        <f ca="1">+WORLDCUP!BD61</f>
        <v>Turquía</v>
      </c>
      <c r="G160" s="9" t="str">
        <f ca="1">+WORLDCUP!BD62</f>
        <v>Costa de Marfil</v>
      </c>
      <c r="H160" s="9" t="str">
        <f ca="1">+WORLDCUP!BD63</f>
        <v>Suecia</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c r="A161" s="9" t="s">
        <v>946</v>
      </c>
      <c r="B161" s="9">
        <f ca="1">+IF(A161=WORLDCUP!$BI$112,1,0)</f>
        <v>0</v>
      </c>
      <c r="C161" s="9" t="str">
        <f ca="1">+WORLDCUP!BD60</f>
        <v>Haití</v>
      </c>
      <c r="D161" s="9" t="str">
        <f ca="1">+WORLDCUP!BD64</f>
        <v>Irán</v>
      </c>
      <c r="E161" s="9" t="str">
        <f ca="1">+WORLDCUP!BD59</f>
        <v>Catar</v>
      </c>
      <c r="F161" s="9" t="str">
        <f ca="1">+WORLDCUP!BD61</f>
        <v>Turquía</v>
      </c>
      <c r="G161" s="9" t="str">
        <f ca="1">+WORLDCUP!BD62</f>
        <v>Costa de Marfil</v>
      </c>
      <c r="H161" s="9" t="str">
        <f ca="1">+WORLDCUP!BD63</f>
        <v>Suecia</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c r="A162" s="9" t="s">
        <v>947</v>
      </c>
      <c r="B162" s="9">
        <f ca="1">+IF(A162=WORLDCUP!$BI$112,1,0)</f>
        <v>0</v>
      </c>
      <c r="C162" s="9" t="str">
        <f ca="1">+WORLDCUP!BD60</f>
        <v>Haití</v>
      </c>
      <c r="D162" s="9" t="str">
        <f ca="1">+WORLDCUP!BD64</f>
        <v>Irán</v>
      </c>
      <c r="E162" s="9" t="str">
        <f ca="1">+WORLDCUP!BD59</f>
        <v>Catar</v>
      </c>
      <c r="F162" s="9" t="str">
        <f ca="1">+WORLDCUP!BD61</f>
        <v>Turquía</v>
      </c>
      <c r="G162" s="9" t="str">
        <f ca="1">+WORLDCUP!BD67</f>
        <v>Austria</v>
      </c>
      <c r="H162" s="9" t="str">
        <f ca="1">+WORLDCUP!BD63</f>
        <v>Suecia</v>
      </c>
      <c r="I162" s="9" t="str">
        <f ca="1">+WORLDCUP!BD62</f>
        <v>Costa de Marfil</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c r="A163" s="9" t="s">
        <v>948</v>
      </c>
      <c r="B163" s="9">
        <f ca="1">+IF(A163=WORLDCUP!$BI$112,1,0)</f>
        <v>0</v>
      </c>
      <c r="C163" s="9" t="str">
        <f ca="1">+WORLDCUP!BD60</f>
        <v>Haití</v>
      </c>
      <c r="D163" s="9" t="str">
        <f ca="1">+WORLDCUP!BD64</f>
        <v>Irán</v>
      </c>
      <c r="E163" s="9" t="str">
        <f ca="1">+WORLDCUP!BD59</f>
        <v>Catar</v>
      </c>
      <c r="F163" s="9" t="str">
        <f ca="1">+WORLDCUP!BD61</f>
        <v>Turquía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c r="A164" s="9" t="s">
        <v>949</v>
      </c>
      <c r="B164" s="9">
        <f ca="1">+IF(A164=WORLDCUP!$BI$112,1,0)</f>
        <v>0</v>
      </c>
      <c r="C164" s="9" t="str">
        <f ca="1">+WORLDCUP!BD60</f>
        <v>Haití</v>
      </c>
      <c r="D164" s="9" t="str">
        <f ca="1">+WORLDCUP!BD64</f>
        <v>Irán</v>
      </c>
      <c r="E164" s="9" t="str">
        <f ca="1">+WORLDCUP!BD59</f>
        <v>Catar</v>
      </c>
      <c r="F164" s="9" t="str">
        <f ca="1">+WORLDCUP!BD61</f>
        <v>Turquía</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c r="A165" s="9" t="s">
        <v>950</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c r="A166" s="9" t="s">
        <v>951</v>
      </c>
      <c r="B166" s="9">
        <f ca="1">+IF(A166=WORLDCUP!$BI$112,1,0)</f>
        <v>0</v>
      </c>
      <c r="C166" s="9" t="str">
        <f ca="1">+WORLDCUP!BD60</f>
        <v>Haití</v>
      </c>
      <c r="D166" s="9" t="str">
        <f ca="1">+WORLDCUP!BD64</f>
        <v>Irán</v>
      </c>
      <c r="E166" s="9" t="str">
        <f ca="1">+WORLDCUP!BD59</f>
        <v>Catar</v>
      </c>
      <c r="F166" s="9" t="str">
        <f ca="1">+WORLDCUP!BD61</f>
        <v>Turquía</v>
      </c>
      <c r="G166" s="9" t="str">
        <f ca="1">+WORLDCUP!BD65</f>
        <v>Arabia Saudita</v>
      </c>
      <c r="H166" s="9" t="str">
        <f ca="1">+WORLDCUP!BD63</f>
        <v>Suecia</v>
      </c>
      <c r="I166" s="9" t="str">
        <f ca="1">+WORLDCUP!BD62</f>
        <v>Costa de Marfil</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c r="A167" s="9" t="s">
        <v>952</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c r="A168" s="9" t="s">
        <v>953</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c r="A169" s="9" t="s">
        <v>954</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c r="A170" s="9" t="s">
        <v>955</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c r="A171" s="9" t="s">
        <v>956</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c r="A172" s="9" t="s">
        <v>957</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c r="A173" s="9" t="s">
        <v>958</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c r="A174" s="9" t="s">
        <v>959</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c r="A175" s="9" t="s">
        <v>960</v>
      </c>
      <c r="B175" s="9">
        <f ca="1">+IF(A175=WORLDCUP!$BI$112,1,0)</f>
        <v>0</v>
      </c>
      <c r="C175" s="9" t="str">
        <f ca="1">+WORLDCUP!BD65</f>
        <v>Arabia Saudita</v>
      </c>
      <c r="D175" s="9" t="str">
        <f ca="1">+WORLDCUP!BD67</f>
        <v>Austria</v>
      </c>
      <c r="E175" s="9" t="str">
        <f ca="1">+WORLDCUP!BD66</f>
        <v>Irak</v>
      </c>
      <c r="F175" s="9" t="str">
        <f ca="1">+WORLDCUP!BD61</f>
        <v>Turquía</v>
      </c>
      <c r="G175" s="9" t="str">
        <f ca="1">+WORLDCUP!BD58</f>
        <v>República Checa</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c r="A176" s="9" t="s">
        <v>961</v>
      </c>
      <c r="B176" s="9">
        <f ca="1">+IF(A176=WORLDCUP!$BI$112,1,0)</f>
        <v>0</v>
      </c>
      <c r="C176" s="9" t="str">
        <f ca="1">+WORLDCUP!BD65</f>
        <v>Arabia Saudita</v>
      </c>
      <c r="D176" s="9" t="str">
        <f ca="1">+WORLDCUP!BD67</f>
        <v>Austria</v>
      </c>
      <c r="E176" s="9" t="str">
        <f ca="1">+WORLDCUP!BD66</f>
        <v>Irak</v>
      </c>
      <c r="F176" s="9" t="str">
        <f ca="1">+WORLDCUP!BD61</f>
        <v>Turquía</v>
      </c>
      <c r="G176" s="9" t="str">
        <f ca="1">+WORLDCUP!BD58</f>
        <v>República Checa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c r="A177" s="9" t="s">
        <v>962</v>
      </c>
      <c r="B177" s="9">
        <f ca="1">+IF(A177=WORLDCUP!$BI$112,1,0)</f>
        <v>0</v>
      </c>
      <c r="C177" s="9" t="str">
        <f ca="1">+WORLDCUP!BD66</f>
        <v>Irak</v>
      </c>
      <c r="D177" s="9" t="str">
        <f ca="1">+WORLDCUP!BD64</f>
        <v>Irán</v>
      </c>
      <c r="E177" s="9" t="str">
        <f ca="1">+WORLDCUP!BD67</f>
        <v>Austria</v>
      </c>
      <c r="F177" s="9" t="str">
        <f ca="1">+WORLDCUP!BD61</f>
        <v>Turquía</v>
      </c>
      <c r="G177" s="9" t="str">
        <f ca="1">+WORLDCUP!BD58</f>
        <v>República Checa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c r="A178" s="9" t="s">
        <v>963</v>
      </c>
      <c r="B178" s="9">
        <f ca="1">+IF(A178=WORLDCUP!$BI$112,1,0)</f>
        <v>0</v>
      </c>
      <c r="C178" s="9" t="str">
        <f ca="1">+WORLDCUP!BD65</f>
        <v>Arabia Saudita</v>
      </c>
      <c r="D178" s="9" t="str">
        <f ca="1">+WORLDCUP!BD64</f>
        <v>Irán</v>
      </c>
      <c r="E178" s="9" t="str">
        <f ca="1">+WORLDCUP!BD67</f>
        <v>Austria</v>
      </c>
      <c r="F178" s="9" t="str">
        <f ca="1">+WORLDCUP!BD61</f>
        <v>Turquía</v>
      </c>
      <c r="G178" s="9" t="str">
        <f ca="1">+WORLDCUP!BD58</f>
        <v>República Checa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c r="A179" s="9" t="s">
        <v>964</v>
      </c>
      <c r="B179" s="9">
        <f ca="1">+IF(A179=WORLDCUP!$BI$112,1,0)</f>
        <v>0</v>
      </c>
      <c r="C179" s="9" t="str">
        <f ca="1">+WORLDCUP!BD65</f>
        <v>Arabia Saudita</v>
      </c>
      <c r="D179" s="9" t="str">
        <f ca="1">+WORLDCUP!BD64</f>
        <v>Irán</v>
      </c>
      <c r="E179" s="9" t="str">
        <f ca="1">+WORLDCUP!BD66</f>
        <v>Irak</v>
      </c>
      <c r="F179" s="9" t="str">
        <f ca="1">+WORLDCUP!BD61</f>
        <v>Turquía</v>
      </c>
      <c r="G179" s="9" t="str">
        <f ca="1">+WORLDCUP!BD58</f>
        <v>República Checa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c r="A180" s="9" t="s">
        <v>965</v>
      </c>
      <c r="B180" s="9">
        <f ca="1">+IF(A180=WORLDCUP!$BI$112,1,0)</f>
        <v>0</v>
      </c>
      <c r="C180" s="9" t="str">
        <f ca="1">+WORLDCUP!BD65</f>
        <v>Arabia Saudita</v>
      </c>
      <c r="D180" s="9" t="str">
        <f ca="1">+WORLDCUP!BD64</f>
        <v>Irán</v>
      </c>
      <c r="E180" s="9" t="str">
        <f ca="1">+WORLDCUP!BD67</f>
        <v>Austria</v>
      </c>
      <c r="F180" s="9" t="str">
        <f ca="1">+WORLDCUP!BD61</f>
        <v>Turquía</v>
      </c>
      <c r="G180" s="9" t="str">
        <f ca="1">+WORLDCUP!BD58</f>
        <v>República Checa</v>
      </c>
      <c r="H180" s="9" t="str">
        <f ca="1">+WORLDCUP!BD63</f>
        <v>Suecia</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c r="A181" s="9" t="s">
        <v>966</v>
      </c>
      <c r="B181" s="9">
        <f ca="1">+IF(A181=WORLDCUP!$BI$112,1,0)</f>
        <v>0</v>
      </c>
      <c r="C181" s="9" t="str">
        <f ca="1">+WORLDCUP!BD65</f>
        <v>Arabia Saudita</v>
      </c>
      <c r="D181" s="9" t="str">
        <f ca="1">+WORLDCUP!BD64</f>
        <v>Irán</v>
      </c>
      <c r="E181" s="9" t="str">
        <f ca="1">+WORLDCUP!BD67</f>
        <v>Austria</v>
      </c>
      <c r="F181" s="9" t="str">
        <f ca="1">+WORLDCUP!BD61</f>
        <v>Turquía</v>
      </c>
      <c r="G181" s="9" t="str">
        <f ca="1">+WORLDCUP!BD58</f>
        <v>República Checa</v>
      </c>
      <c r="H181" s="9" t="str">
        <f ca="1">+WORLDCUP!BD63</f>
        <v>Suecia</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c r="A182" s="9" t="s">
        <v>967</v>
      </c>
      <c r="B182" s="9">
        <f ca="1">+IF(A182=WORLDCUP!$BI$112,1,0)</f>
        <v>0</v>
      </c>
      <c r="C182" s="9" t="str">
        <f ca="1">+WORLDCUP!BD62</f>
        <v>Costa de Marfil</v>
      </c>
      <c r="D182" s="9" t="str">
        <f ca="1">+WORLDCUP!BD67</f>
        <v>Austria</v>
      </c>
      <c r="E182" s="9" t="str">
        <f ca="1">+WORLDCUP!BD66</f>
        <v>Irak</v>
      </c>
      <c r="F182" s="9" t="str">
        <f ca="1">+WORLDCUP!BD61</f>
        <v>Turquía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c r="A183" s="9" t="s">
        <v>968</v>
      </c>
      <c r="B183" s="9">
        <f ca="1">+IF(A183=WORLDCUP!$BI$112,1,0)</f>
        <v>0</v>
      </c>
      <c r="C183" s="9" t="str">
        <f ca="1">+WORLDCUP!BD62</f>
        <v>Costa de Marfil</v>
      </c>
      <c r="D183" s="9" t="str">
        <f ca="1">+WORLDCUP!BD67</f>
        <v>Austria</v>
      </c>
      <c r="E183" s="9" t="str">
        <f ca="1">+WORLDCUP!BD66</f>
        <v>Irak</v>
      </c>
      <c r="F183" s="9" t="str">
        <f ca="1">+WORLDCUP!BD61</f>
        <v>Turquía</v>
      </c>
      <c r="G183" s="9" t="str">
        <f ca="1">+WORLDCUP!BD58</f>
        <v>República Checa</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c r="A184" s="9" t="s">
        <v>969</v>
      </c>
      <c r="B184" s="9">
        <f ca="1">+IF(A184=WORLDCUP!$BI$112,1,0)</f>
        <v>0</v>
      </c>
      <c r="C184" s="9" t="str">
        <f ca="1">+WORLDCUP!BD62</f>
        <v>Costa de Marfil</v>
      </c>
      <c r="D184" s="9" t="str">
        <f ca="1">+WORLDCUP!BD64</f>
        <v>Irán</v>
      </c>
      <c r="E184" s="9" t="str">
        <f ca="1">+WORLDCUP!BD67</f>
        <v>Austria</v>
      </c>
      <c r="F184" s="9" t="str">
        <f ca="1">+WORLDCUP!BD61</f>
        <v>Turquía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c r="A185" s="9" t="s">
        <v>970</v>
      </c>
      <c r="B185" s="9">
        <f ca="1">+IF(A185=WORLDCUP!$BI$112,1,0)</f>
        <v>0</v>
      </c>
      <c r="C185" s="9" t="str">
        <f ca="1">+WORLDCUP!BD62</f>
        <v>Costa de Marfil</v>
      </c>
      <c r="D185" s="9" t="str">
        <f ca="1">+WORLDCUP!BD64</f>
        <v>Irán</v>
      </c>
      <c r="E185" s="9" t="str">
        <f ca="1">+WORLDCUP!BD66</f>
        <v>Irak</v>
      </c>
      <c r="F185" s="9" t="str">
        <f ca="1">+WORLDCUP!BD61</f>
        <v>Turquía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c r="A186" s="9" t="s">
        <v>971</v>
      </c>
      <c r="B186" s="9">
        <f ca="1">+IF(A186=WORLDCUP!$BI$112,1,0)</f>
        <v>0</v>
      </c>
      <c r="C186" s="9" t="str">
        <f ca="1">+WORLDCUP!BD62</f>
        <v>Costa de Marfil</v>
      </c>
      <c r="D186" s="9" t="str">
        <f ca="1">+WORLDCUP!BD64</f>
        <v>Irán</v>
      </c>
      <c r="E186" s="9" t="str">
        <f ca="1">+WORLDCUP!BD67</f>
        <v>Austria</v>
      </c>
      <c r="F186" s="9" t="str">
        <f ca="1">+WORLDCUP!BD61</f>
        <v>Turquía</v>
      </c>
      <c r="G186" s="9" t="str">
        <f ca="1">+WORLDCUP!BD58</f>
        <v>República Checa</v>
      </c>
      <c r="H186" s="9" t="str">
        <f ca="1">+WORLDCUP!BD65</f>
        <v>Arabia Saudita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c r="A187" s="9" t="s">
        <v>972</v>
      </c>
      <c r="B187" s="9">
        <f ca="1">+IF(A187=WORLDCUP!$BI$112,1,0)</f>
        <v>0</v>
      </c>
      <c r="C187" s="9" t="str">
        <f ca="1">+WORLDCUP!BD62</f>
        <v>Costa de Marfil</v>
      </c>
      <c r="D187" s="9" t="str">
        <f ca="1">+WORLDCUP!BD64</f>
        <v>Irán</v>
      </c>
      <c r="E187" s="9" t="str">
        <f ca="1">+WORLDCUP!BD67</f>
        <v>Austria</v>
      </c>
      <c r="F187" s="9" t="str">
        <f ca="1">+WORLDCUP!BD61</f>
        <v>Turquía</v>
      </c>
      <c r="G187" s="9" t="str">
        <f ca="1">+WORLDCUP!BD58</f>
        <v>República Checa</v>
      </c>
      <c r="H187" s="9" t="str">
        <f ca="1">+WORLDCUP!BD65</f>
        <v>Arabia Saudita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c r="A188" s="9" t="s">
        <v>973</v>
      </c>
      <c r="B188" s="9">
        <f ca="1">+IF(A188=WORLDCUP!$BI$112,1,0)</f>
        <v>0</v>
      </c>
      <c r="C188" s="9" t="str">
        <f ca="1">+WORLDCUP!BD62</f>
        <v>Costa de Marfil</v>
      </c>
      <c r="D188" s="9" t="str">
        <f ca="1">+WORLDCUP!BD67</f>
        <v>Austria</v>
      </c>
      <c r="E188" s="9" t="str">
        <f ca="1">+WORLDCUP!BD66</f>
        <v>Irak</v>
      </c>
      <c r="F188" s="9" t="str">
        <f ca="1">+WORLDCUP!BD61</f>
        <v>Turquía</v>
      </c>
      <c r="G188" s="9" t="str">
        <f ca="1">+WORLDCUP!BD58</f>
        <v>República Checa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c r="A189" s="9" t="s">
        <v>974</v>
      </c>
      <c r="B189" s="9">
        <f ca="1">+IF(A189=WORLDCUP!$BI$112,1,0)</f>
        <v>0</v>
      </c>
      <c r="C189" s="9" t="str">
        <f ca="1">+WORLDCUP!BD65</f>
        <v>Arabia Saudita</v>
      </c>
      <c r="D189" s="9" t="str">
        <f ca="1">+WORLDCUP!BD67</f>
        <v>Austria</v>
      </c>
      <c r="E189" s="9" t="str">
        <f ca="1">+WORLDCUP!BD62</f>
        <v>Costa de Marfil</v>
      </c>
      <c r="F189" s="9" t="str">
        <f ca="1">+WORLDCUP!BD61</f>
        <v>Turquía</v>
      </c>
      <c r="G189" s="9" t="str">
        <f ca="1">+WORLDCUP!BD58</f>
        <v>República Checa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c r="A190" s="9" t="s">
        <v>975</v>
      </c>
      <c r="B190" s="9">
        <f ca="1">+IF(A190=WORLDCUP!$BI$112,1,0)</f>
        <v>0</v>
      </c>
      <c r="C190" s="9" t="str">
        <f ca="1">+WORLDCUP!BD65</f>
        <v>Arabia Saudita</v>
      </c>
      <c r="D190" s="9" t="str">
        <f ca="1">+WORLDCUP!BD62</f>
        <v>Costa de Marfil</v>
      </c>
      <c r="E190" s="9" t="str">
        <f ca="1">+WORLDCUP!BD66</f>
        <v>Irak</v>
      </c>
      <c r="F190" s="9" t="str">
        <f ca="1">+WORLDCUP!BD61</f>
        <v>Turquía</v>
      </c>
      <c r="G190" s="9" t="str">
        <f ca="1">+WORLDCUP!BD58</f>
        <v>República Checa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c r="A191" s="9" t="s">
        <v>976</v>
      </c>
      <c r="B191" s="9">
        <f ca="1">+IF(A191=WORLDCUP!$BI$112,1,0)</f>
        <v>0</v>
      </c>
      <c r="C191" s="9" t="str">
        <f ca="1">+WORLDCUP!BD65</f>
        <v>Arabia Saudita</v>
      </c>
      <c r="D191" s="9" t="str">
        <f ca="1">+WORLDCUP!BD67</f>
        <v>Austria</v>
      </c>
      <c r="E191" s="9" t="str">
        <f ca="1">+WORLDCUP!BD62</f>
        <v>Costa de Marfil</v>
      </c>
      <c r="F191" s="9" t="str">
        <f ca="1">+WORLDCUP!BD61</f>
        <v>Turquía</v>
      </c>
      <c r="G191" s="9" t="str">
        <f ca="1">+WORLDCUP!BD58</f>
        <v>República Checa</v>
      </c>
      <c r="H191" s="9" t="str">
        <f ca="1">+WORLDCUP!BD63</f>
        <v>Suecia</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c r="A192" s="9" t="s">
        <v>977</v>
      </c>
      <c r="B192" s="9">
        <f ca="1">+IF(A192=WORLDCUP!$BI$112,1,0)</f>
        <v>0</v>
      </c>
      <c r="C192" s="9" t="str">
        <f ca="1">+WORLDCUP!BD65</f>
        <v>Arabia Saudita</v>
      </c>
      <c r="D192" s="9" t="str">
        <f ca="1">+WORLDCUP!BD67</f>
        <v>Austria</v>
      </c>
      <c r="E192" s="9" t="str">
        <f ca="1">+WORLDCUP!BD62</f>
        <v>Costa de Marfil</v>
      </c>
      <c r="F192" s="9" t="str">
        <f ca="1">+WORLDCUP!BD61</f>
        <v>Turquía</v>
      </c>
      <c r="G192" s="9" t="str">
        <f ca="1">+WORLDCUP!BD58</f>
        <v>República Checa</v>
      </c>
      <c r="H192" s="9" t="str">
        <f ca="1">+WORLDCUP!BD63</f>
        <v>Suecia</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c r="A193" s="9" t="s">
        <v>978</v>
      </c>
      <c r="B193" s="9">
        <f ca="1">+IF(A193=WORLDCUP!$BI$112,1,0)</f>
        <v>0</v>
      </c>
      <c r="C193" s="9" t="str">
        <f ca="1">+WORLDCUP!BD62</f>
        <v>Costa de Marfil</v>
      </c>
      <c r="D193" s="9" t="str">
        <f ca="1">+WORLDCUP!BD64</f>
        <v>Irán</v>
      </c>
      <c r="E193" s="9" t="str">
        <f ca="1">+WORLDCUP!BD67</f>
        <v>Austria</v>
      </c>
      <c r="F193" s="9" t="str">
        <f ca="1">+WORLDCUP!BD61</f>
        <v>Turquía</v>
      </c>
      <c r="G193" s="9" t="str">
        <f ca="1">+WORLDCUP!BD58</f>
        <v>República Checa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c r="A194" s="9" t="s">
        <v>979</v>
      </c>
      <c r="B194" s="9">
        <f ca="1">+IF(A194=WORLDCUP!$BI$112,1,0)</f>
        <v>0</v>
      </c>
      <c r="C194" s="9" t="str">
        <f ca="1">+WORLDCUP!BD62</f>
        <v>Costa de Marfil</v>
      </c>
      <c r="D194" s="9" t="str">
        <f ca="1">+WORLDCUP!BD64</f>
        <v>Irán</v>
      </c>
      <c r="E194" s="9" t="str">
        <f ca="1">+WORLDCUP!BD66</f>
        <v>Irak</v>
      </c>
      <c r="F194" s="9" t="str">
        <f ca="1">+WORLDCUP!BD61</f>
        <v>Turquía</v>
      </c>
      <c r="G194" s="9" t="str">
        <f ca="1">+WORLDCUP!BD58</f>
        <v>República Checa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c r="A195" s="9" t="s">
        <v>980</v>
      </c>
      <c r="B195" s="9">
        <f ca="1">+IF(A195=WORLDCUP!$BI$112,1,0)</f>
        <v>0</v>
      </c>
      <c r="C195" s="9" t="str">
        <f ca="1">+WORLDCUP!BD62</f>
        <v>Costa de Marfil</v>
      </c>
      <c r="D195" s="9" t="str">
        <f ca="1">+WORLDCUP!BD64</f>
        <v>Irán</v>
      </c>
      <c r="E195" s="9" t="str">
        <f ca="1">+WORLDCUP!BD67</f>
        <v>Austria</v>
      </c>
      <c r="F195" s="9" t="str">
        <f ca="1">+WORLDCUP!BD61</f>
        <v>Turquía</v>
      </c>
      <c r="G195" s="9" t="str">
        <f ca="1">+WORLDCUP!BD58</f>
        <v>República Checa</v>
      </c>
      <c r="H195" s="9" t="str">
        <f ca="1">+WORLDCUP!BD63</f>
        <v>Suecia</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c r="A196" s="9" t="s">
        <v>981</v>
      </c>
      <c r="B196" s="9">
        <f ca="1">+IF(A196=WORLDCUP!$BI$112,1,0)</f>
        <v>0</v>
      </c>
      <c r="C196" s="9" t="str">
        <f ca="1">+WORLDCUP!BD62</f>
        <v>Costa de Marfil</v>
      </c>
      <c r="D196" s="9" t="str">
        <f ca="1">+WORLDCUP!BD64</f>
        <v>Irán</v>
      </c>
      <c r="E196" s="9" t="str">
        <f ca="1">+WORLDCUP!BD67</f>
        <v>Austria</v>
      </c>
      <c r="F196" s="9" t="str">
        <f ca="1">+WORLDCUP!BD61</f>
        <v>Turquía</v>
      </c>
      <c r="G196" s="9" t="str">
        <f ca="1">+WORLDCUP!BD58</f>
        <v>República Checa</v>
      </c>
      <c r="H196" s="9" t="str">
        <f ca="1">+WORLDCUP!BD63</f>
        <v>Suecia</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c r="A197" s="9" t="s">
        <v>982</v>
      </c>
      <c r="B197" s="9">
        <f ca="1">+IF(A197=WORLDCUP!$BI$112,1,0)</f>
        <v>0</v>
      </c>
      <c r="C197" s="9" t="str">
        <f ca="1">+WORLDCUP!BD65</f>
        <v>Arabia Saudita</v>
      </c>
      <c r="D197" s="9" t="str">
        <f ca="1">+WORLDCUP!BD64</f>
        <v>Irán</v>
      </c>
      <c r="E197" s="9" t="str">
        <f ca="1">+WORLDCUP!BD62</f>
        <v>Costa de Marfil</v>
      </c>
      <c r="F197" s="9" t="str">
        <f ca="1">+WORLDCUP!BD61</f>
        <v>Turquía</v>
      </c>
      <c r="G197" s="9" t="str">
        <f ca="1">+WORLDCUP!BD58</f>
        <v>República Checa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c r="A198" s="9" t="s">
        <v>983</v>
      </c>
      <c r="B198" s="9">
        <f ca="1">+IF(A198=WORLDCUP!$BI$112,1,0)</f>
        <v>0</v>
      </c>
      <c r="C198" s="9" t="str">
        <f ca="1">+WORLDCUP!BD65</f>
        <v>Arabia Saudita</v>
      </c>
      <c r="D198" s="9" t="str">
        <f ca="1">+WORLDCUP!BD64</f>
        <v>Irán</v>
      </c>
      <c r="E198" s="9" t="str">
        <f ca="1">+WORLDCUP!BD67</f>
        <v>Austria</v>
      </c>
      <c r="F198" s="9" t="str">
        <f ca="1">+WORLDCUP!BD61</f>
        <v>Turquía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c r="A199" s="9" t="s">
        <v>984</v>
      </c>
      <c r="B199" s="9">
        <f ca="1">+IF(A199=WORLDCUP!$BI$112,1,0)</f>
        <v>0</v>
      </c>
      <c r="C199" s="9" t="str">
        <f ca="1">+WORLDCUP!BD65</f>
        <v>Arabia Saudita</v>
      </c>
      <c r="D199" s="9" t="str">
        <f ca="1">+WORLDCUP!BD64</f>
        <v>Irán</v>
      </c>
      <c r="E199" s="9" t="str">
        <f ca="1">+WORLDCUP!BD67</f>
        <v>Austria</v>
      </c>
      <c r="F199" s="9" t="str">
        <f ca="1">+WORLDCUP!BD61</f>
        <v>Turquía</v>
      </c>
      <c r="G199" s="9" t="str">
        <f ca="1">+WORLDCUP!BD58</f>
        <v>República Checa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c r="A200" s="9" t="s">
        <v>985</v>
      </c>
      <c r="B200" s="9">
        <f ca="1">+IF(A200=WORLDCUP!$BI$112,1,0)</f>
        <v>0</v>
      </c>
      <c r="C200" s="9" t="str">
        <f ca="1">+WORLDCUP!BD65</f>
        <v>Arabia Saudita</v>
      </c>
      <c r="D200" s="9" t="str">
        <f ca="1">+WORLDCUP!BD64</f>
        <v>Irán</v>
      </c>
      <c r="E200" s="9" t="str">
        <f ca="1">+WORLDCUP!BD62</f>
        <v>Costa de Marfil</v>
      </c>
      <c r="F200" s="9" t="str">
        <f ca="1">+WORLDCUP!BD61</f>
        <v>Turquía</v>
      </c>
      <c r="G200" s="9" t="str">
        <f ca="1">+WORLDCUP!BD58</f>
        <v>República Checa</v>
      </c>
      <c r="H200" s="9" t="str">
        <f ca="1">+WORLDCUP!BD63</f>
        <v>Suecia</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c r="A201" s="9" t="s">
        <v>986</v>
      </c>
      <c r="B201" s="9">
        <f ca="1">+IF(A201=WORLDCUP!$BI$112,1,0)</f>
        <v>0</v>
      </c>
      <c r="C201" s="9" t="str">
        <f ca="1">+WORLDCUP!BD65</f>
        <v>Arabia Saudita</v>
      </c>
      <c r="D201" s="9" t="str">
        <f ca="1">+WORLDCUP!BD64</f>
        <v>Irán</v>
      </c>
      <c r="E201" s="9" t="str">
        <f ca="1">+WORLDCUP!BD62</f>
        <v>Costa de Marfil</v>
      </c>
      <c r="F201" s="9" t="str">
        <f ca="1">+WORLDCUP!BD61</f>
        <v>Turquía</v>
      </c>
      <c r="G201" s="9" t="str">
        <f ca="1">+WORLDCUP!BD58</f>
        <v>República Checa</v>
      </c>
      <c r="H201" s="9" t="str">
        <f ca="1">+WORLDCUP!BD63</f>
        <v>Suecia</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c r="A202" s="9" t="s">
        <v>987</v>
      </c>
      <c r="B202" s="9">
        <f ca="1">+IF(A202=WORLDCUP!$BI$112,1,0)</f>
        <v>0</v>
      </c>
      <c r="C202" s="9" t="str">
        <f ca="1">+WORLDCUP!BD65</f>
        <v>Arabia Saudita</v>
      </c>
      <c r="D202" s="9" t="str">
        <f ca="1">+WORLDCUP!BD64</f>
        <v>Irán</v>
      </c>
      <c r="E202" s="9" t="str">
        <f ca="1">+WORLDCUP!BD67</f>
        <v>Austria</v>
      </c>
      <c r="F202" s="9" t="str">
        <f ca="1">+WORLDCUP!BD61</f>
        <v>Turquía</v>
      </c>
      <c r="G202" s="9" t="str">
        <f ca="1">+WORLDCUP!BD58</f>
        <v>República Checa</v>
      </c>
      <c r="H202" s="9" t="str">
        <f ca="1">+WORLDCUP!BD63</f>
        <v>Suecia</v>
      </c>
      <c r="I202" s="9" t="str">
        <f ca="1">+WORLDCUP!BD62</f>
        <v>Costa de Marfil</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c r="A203" s="9" t="s">
        <v>988</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c r="A204" s="9" t="s">
        <v>989</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c r="A205" s="9" t="s">
        <v>990</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c r="A206" s="9" t="s">
        <v>991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c r="A207" s="9" t="s">
        <v>992</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c r="A208" s="9" t="s">
        <v>993</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c r="A209" s="9" t="s">
        <v>994</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c r="A210" s="9" t="s">
        <v>995</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c r="A211" s="9" t="s">
        <v>996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c r="A212" s="9" t="s">
        <v>997</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c r="A213" s="9" t="s">
        <v>998</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c r="A214" s="9" t="s">
        <v>999</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c r="A215" s="9" t="s">
        <v>1000</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c r="A216" s="9" t="s">
        <v>1001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c r="A217" s="9" t="s">
        <v>1002</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c r="A218" s="9" t="s">
        <v>1003</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c r="A219" s="9" t="s">
        <v>1004</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c r="A220" s="9" t="s">
        <v>1005</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c r="A221" s="9" t="s">
        <v>1006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c r="A222" s="9" t="s">
        <v>1007</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c r="A223" s="9" t="s">
        <v>1008</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c r="A224" s="9" t="s">
        <v>1009</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c r="A225" s="9" t="s">
        <v>1010</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c r="A227" s="9" t="s">
        <v>1012</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c r="A228" s="9" t="s">
        <v>1013</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c r="A229" s="9" t="s">
        <v>1014</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c r="A230" s="9" t="s">
        <v>1015</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c r="A231" s="9" t="s">
        <v>1016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c r="A232" s="9" t="s">
        <v>1017</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c r="A233" s="9" t="s">
        <v>1018</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c r="A234" s="9" t="s">
        <v>1019</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c r="A235" s="9" t="s">
        <v>1020</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Turquía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c r="A236" s="9" t="s">
        <v>1021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Turquía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c r="A237" s="9" t="s">
        <v>1022</v>
      </c>
      <c r="B237" s="9">
        <f ca="1">+IF(A237=WORLDCUP!$BI$112,1,0)</f>
        <v>0</v>
      </c>
      <c r="C237" s="9" t="str">
        <f ca="1">+WORLDCUP!BD60</f>
        <v>Haití</v>
      </c>
      <c r="D237" s="9" t="str">
        <f ca="1">+WORLDCUP!BD67</f>
        <v>Austria</v>
      </c>
      <c r="E237" s="9" t="str">
        <f ca="1">+WORLDCUP!BD66</f>
        <v>Irak</v>
      </c>
      <c r="F237" s="9" t="str">
        <f ca="1">+WORLDCUP!BD61</f>
        <v>Turquía</v>
      </c>
      <c r="G237" s="9" t="str">
        <f ca="1">+WORLDCUP!BD58</f>
        <v>República Checa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c r="A238" s="9" t="s">
        <v>1023</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c r="A239" s="9" t="s">
        <v>1024</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c r="A240" s="9" t="s">
        <v>1025</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Turquía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c r="A241" s="9" t="s">
        <v>1026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Turquía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c r="A242" s="9" t="s">
        <v>1027</v>
      </c>
      <c r="B242" s="9">
        <f ca="1">+IF(A242=WORLDCUP!$BI$112,1,0)</f>
        <v>0</v>
      </c>
      <c r="C242" s="9" t="str">
        <f ca="1">+WORLDCUP!BD60</f>
        <v>Haití</v>
      </c>
      <c r="D242" s="9" t="str">
        <f ca="1">+WORLDCUP!BD64</f>
        <v>Irán</v>
      </c>
      <c r="E242" s="9" t="str">
        <f ca="1">+WORLDCUP!BD67</f>
        <v>Austria</v>
      </c>
      <c r="F242" s="9" t="str">
        <f ca="1">+WORLDCUP!BD61</f>
        <v>Turquía</v>
      </c>
      <c r="G242" s="9" t="str">
        <f ca="1">+WORLDCUP!BD58</f>
        <v>República Checa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c r="A243" s="9" t="s">
        <v>1028</v>
      </c>
      <c r="B243" s="9">
        <f ca="1">+IF(A243=WORLDCUP!$BI$112,1,0)</f>
        <v>0</v>
      </c>
      <c r="C243" s="9" t="str">
        <f ca="1">+WORLDCUP!BD60</f>
        <v>Haití</v>
      </c>
      <c r="D243" s="9" t="str">
        <f ca="1">+WORLDCUP!BD64</f>
        <v>Irán</v>
      </c>
      <c r="E243" s="9" t="str">
        <f ca="1">+WORLDCUP!BD66</f>
        <v>Irak</v>
      </c>
      <c r="F243" s="9" t="str">
        <f ca="1">+WORLDCUP!BD61</f>
        <v>Turquía</v>
      </c>
      <c r="G243" s="9" t="str">
        <f ca="1">+WORLDCUP!BD58</f>
        <v>República Checa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c r="A244" s="9" t="s">
        <v>1029</v>
      </c>
      <c r="B244" s="9">
        <f ca="1">+IF(A244=WORLDCUP!$BI$112,1,0)</f>
        <v>0</v>
      </c>
      <c r="C244" s="9" t="str">
        <f ca="1">+WORLDCUP!BD60</f>
        <v>Haití</v>
      </c>
      <c r="D244" s="9" t="str">
        <f ca="1">+WORLDCUP!BD64</f>
        <v>Irán</v>
      </c>
      <c r="E244" s="9" t="str">
        <f ca="1">+WORLDCUP!BD67</f>
        <v>Austria</v>
      </c>
      <c r="F244" s="9" t="str">
        <f ca="1">+WORLDCUP!BD61</f>
        <v>Turquía</v>
      </c>
      <c r="G244" s="9" t="str">
        <f ca="1">+WORLDCUP!BD58</f>
        <v>República Checa</v>
      </c>
      <c r="H244" s="9" t="str">
        <f ca="1">+WORLDCUP!BD63</f>
        <v>Suecia</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c r="A245" s="9" t="s">
        <v>1030</v>
      </c>
      <c r="B245" s="9">
        <f ca="1">+IF(A245=WORLDCUP!$BI$112,1,0)</f>
        <v>0</v>
      </c>
      <c r="C245" s="9" t="str">
        <f ca="1">+WORLDCUP!BD60</f>
        <v>Haití</v>
      </c>
      <c r="D245" s="9" t="str">
        <f ca="1">+WORLDCUP!BD64</f>
        <v>Irán</v>
      </c>
      <c r="E245" s="9" t="str">
        <f ca="1">+WORLDCUP!BD67</f>
        <v>Austria</v>
      </c>
      <c r="F245" s="9" t="str">
        <f ca="1">+WORLDCUP!BD61</f>
        <v>Turquía</v>
      </c>
      <c r="G245" s="9" t="str">
        <f ca="1">+WORLDCUP!BD58</f>
        <v>República Checa</v>
      </c>
      <c r="H245" s="9" t="str">
        <f ca="1">+WORLDCUP!BD63</f>
        <v>Suecia</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c r="A246" s="9" t="s">
        <v>1031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c r="A247" s="9" t="s">
        <v>1032</v>
      </c>
      <c r="B247" s="9">
        <f ca="1">+IF(A247=WORLDCUP!$BI$112,1,0)</f>
        <v>0</v>
      </c>
      <c r="C247" s="9" t="str">
        <f ca="1">+WORLDCUP!BD60</f>
        <v>Haití</v>
      </c>
      <c r="D247" s="9" t="str">
        <f ca="1">+WORLDCUP!BD64</f>
        <v>Irán</v>
      </c>
      <c r="E247" s="9" t="str">
        <f ca="1">+WORLDCUP!BD67</f>
        <v>Austria</v>
      </c>
      <c r="F247" s="9" t="str">
        <f ca="1">+WORLDCUP!BD61</f>
        <v>Turquía</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c r="A248" s="9" t="s">
        <v>1033</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c r="A249" s="9" t="s">
        <v>1034</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Turquía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c r="A250" s="9" t="s">
        <v>1035</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Turquía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c r="A251" s="9" t="s">
        <v>1036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Turquía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c r="A252" s="9" t="s">
        <v>1037</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c r="A253" s="9" t="s">
        <v>1038</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c r="A254" s="9" t="s">
        <v>1039</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c r="A255" s="9" t="s">
        <v>1040</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Turquía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c r="A256" s="9" t="s">
        <v>1041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Turquía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c r="A257" s="9" t="s">
        <v>1042</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c r="A258" s="9" t="s">
        <v>1043</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c r="A259" s="9" t="s">
        <v>1044</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Turquía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c r="A260" s="9" t="s">
        <v>1045</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Turquía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c r="A261" s="9" t="s">
        <v>1046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c r="A262" s="9" t="s">
        <v>1047</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c r="A263" s="9" t="s">
        <v>1048</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Turquía</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c r="A264" s="9" t="s">
        <v>1049</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Turquía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c r="A265" s="9" t="s">
        <v>1050</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Turquía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c r="A266" s="9" t="s">
        <v>1051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Turquía</v>
      </c>
      <c r="I266" s="9" t="str">
        <f ca="1">+WORLDCUP!BD62</f>
        <v>Costa de Marfil</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c r="A267" s="9" t="s">
        <v>1052</v>
      </c>
      <c r="B267" s="9">
        <f ca="1">+IF(A267=WORLDCUP!$BI$112,1,0)</f>
        <v>0</v>
      </c>
      <c r="C267" s="9" t="str">
        <f ca="1">+WORLDCUP!BD60</f>
        <v>Haití</v>
      </c>
      <c r="D267" s="9" t="str">
        <f ca="1">+WORLDCUP!BD67</f>
        <v>Austria</v>
      </c>
      <c r="E267" s="9" t="str">
        <f ca="1">+WORLDCUP!BD62</f>
        <v>Costa de Marfil</v>
      </c>
      <c r="F267" s="9" t="str">
        <f ca="1">+WORLDCUP!BD61</f>
        <v>Turquía</v>
      </c>
      <c r="G267" s="9" t="str">
        <f ca="1">+WORLDCUP!BD58</f>
        <v>República Checa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c r="A268" s="9" t="s">
        <v>1053</v>
      </c>
      <c r="B268" s="9">
        <f ca="1">+IF(A268=WORLDCUP!$BI$112,1,0)</f>
        <v>0</v>
      </c>
      <c r="C268" s="9" t="str">
        <f ca="1">+WORLDCUP!BD60</f>
        <v>Haití</v>
      </c>
      <c r="D268" s="9" t="str">
        <f ca="1">+WORLDCUP!BD62</f>
        <v>Costa de Marfil</v>
      </c>
      <c r="E268" s="9" t="str">
        <f ca="1">+WORLDCUP!BD66</f>
        <v>Irak</v>
      </c>
      <c r="F268" s="9" t="str">
        <f ca="1">+WORLDCUP!BD61</f>
        <v>Turquía</v>
      </c>
      <c r="G268" s="9" t="str">
        <f ca="1">+WORLDCUP!BD58</f>
        <v>República Checa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c r="A269" s="9" t="s">
        <v>1054</v>
      </c>
      <c r="B269" s="9">
        <f ca="1">+IF(A269=WORLDCUP!$BI$112,1,0)</f>
        <v>0</v>
      </c>
      <c r="C269" s="9" t="str">
        <f ca="1">+WORLDCUP!BD60</f>
        <v>Haití</v>
      </c>
      <c r="D269" s="9" t="str">
        <f ca="1">+WORLDCUP!BD67</f>
        <v>Austria</v>
      </c>
      <c r="E269" s="9" t="str">
        <f ca="1">+WORLDCUP!BD62</f>
        <v>Costa de Marfil</v>
      </c>
      <c r="F269" s="9" t="str">
        <f ca="1">+WORLDCUP!BD61</f>
        <v>Turquía</v>
      </c>
      <c r="G269" s="9" t="str">
        <f ca="1">+WORLDCUP!BD58</f>
        <v>República Checa</v>
      </c>
      <c r="H269" s="9" t="str">
        <f ca="1">+WORLDCUP!BD63</f>
        <v>Suecia</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c r="A270" s="9" t="s">
        <v>1055</v>
      </c>
      <c r="B270" s="9">
        <f ca="1">+IF(A270=WORLDCUP!$BI$112,1,0)</f>
        <v>0</v>
      </c>
      <c r="C270" s="9" t="str">
        <f ca="1">+WORLDCUP!BD60</f>
        <v>Haití</v>
      </c>
      <c r="D270" s="9" t="str">
        <f ca="1">+WORLDCUP!BD67</f>
        <v>Austria</v>
      </c>
      <c r="E270" s="9" t="str">
        <f ca="1">+WORLDCUP!BD62</f>
        <v>Costa de Marfil</v>
      </c>
      <c r="F270" s="9" t="str">
        <f ca="1">+WORLDCUP!BD61</f>
        <v>Turquía</v>
      </c>
      <c r="G270" s="9" t="str">
        <f ca="1">+WORLDCUP!BD58</f>
        <v>República Checa</v>
      </c>
      <c r="H270" s="9" t="str">
        <f ca="1">+WORLDCUP!BD63</f>
        <v>Suecia</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c r="A271" s="9" t="s">
        <v>1056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c r="A272" s="9" t="s">
        <v>1057</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c r="A273" s="9" t="s">
        <v>1058</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c r="A274" s="9" t="s">
        <v>1059</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Turquía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c r="A275" s="9" t="s">
        <v>1060</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Turquía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c r="A276" s="9" t="s">
        <v>1061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Turquía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c r="A277" s="9" t="s">
        <v>1062</v>
      </c>
      <c r="B277" s="9">
        <f ca="1">+IF(A277=WORLDCUP!$BI$112,1,0)</f>
        <v>0</v>
      </c>
      <c r="C277" s="9" t="str">
        <f ca="1">+WORLDCUP!BD60</f>
        <v>Haití</v>
      </c>
      <c r="D277" s="9" t="str">
        <f ca="1">+WORLDCUP!BD64</f>
        <v>Irán</v>
      </c>
      <c r="E277" s="9" t="str">
        <f ca="1">+WORLDCUP!BD62</f>
        <v>Costa de Marfil</v>
      </c>
      <c r="F277" s="9" t="str">
        <f ca="1">+WORLDCUP!BD61</f>
        <v>Turquía</v>
      </c>
      <c r="G277" s="9" t="str">
        <f ca="1">+WORLDCUP!BD58</f>
        <v>República Checa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c r="A278" s="9" t="s">
        <v>1063</v>
      </c>
      <c r="B278" s="9">
        <f ca="1">+IF(A278=WORLDCUP!$BI$112,1,0)</f>
        <v>0</v>
      </c>
      <c r="C278" s="9" t="str">
        <f ca="1">+WORLDCUP!BD60</f>
        <v>Haití</v>
      </c>
      <c r="D278" s="9" t="str">
        <f ca="1">+WORLDCUP!BD64</f>
        <v>Irán</v>
      </c>
      <c r="E278" s="9" t="str">
        <f ca="1">+WORLDCUP!BD67</f>
        <v>Austria</v>
      </c>
      <c r="F278" s="9" t="str">
        <f ca="1">+WORLDCUP!BD61</f>
        <v>Turquía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c r="A279" s="9" t="s">
        <v>1064</v>
      </c>
      <c r="B279" s="9">
        <f ca="1">+IF(A279=WORLDCUP!$BI$112,1,0)</f>
        <v>0</v>
      </c>
      <c r="C279" s="9" t="str">
        <f ca="1">+WORLDCUP!BD60</f>
        <v>Haití</v>
      </c>
      <c r="D279" s="9" t="str">
        <f ca="1">+WORLDCUP!BD64</f>
        <v>Irán</v>
      </c>
      <c r="E279" s="9" t="str">
        <f ca="1">+WORLDCUP!BD67</f>
        <v>Austria</v>
      </c>
      <c r="F279" s="9" t="str">
        <f ca="1">+WORLDCUP!BD61</f>
        <v>Turquía</v>
      </c>
      <c r="G279" s="9" t="str">
        <f ca="1">+WORLDCUP!BD58</f>
        <v>República Checa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c r="A280" s="9" t="s">
        <v>1065</v>
      </c>
      <c r="B280" s="9">
        <f ca="1">+IF(A280=WORLDCUP!$BI$112,1,0)</f>
        <v>0</v>
      </c>
      <c r="C280" s="9" t="str">
        <f ca="1">+WORLDCUP!BD60</f>
        <v>Haití</v>
      </c>
      <c r="D280" s="9" t="str">
        <f ca="1">+WORLDCUP!BD64</f>
        <v>Irán</v>
      </c>
      <c r="E280" s="9" t="str">
        <f ca="1">+WORLDCUP!BD62</f>
        <v>Costa de Marfil</v>
      </c>
      <c r="F280" s="9" t="str">
        <f ca="1">+WORLDCUP!BD61</f>
        <v>Turquía</v>
      </c>
      <c r="G280" s="9" t="str">
        <f ca="1">+WORLDCUP!BD58</f>
        <v>República Checa</v>
      </c>
      <c r="H280" s="9" t="str">
        <f ca="1">+WORLDCUP!BD63</f>
        <v>Suecia</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c r="A281" s="9" t="s">
        <v>1066</v>
      </c>
      <c r="B281" s="9">
        <f ca="1">+IF(A281=WORLDCUP!$BI$112,1,0)</f>
        <v>0</v>
      </c>
      <c r="C281" s="9" t="str">
        <f ca="1">+WORLDCUP!BD60</f>
        <v>Haití</v>
      </c>
      <c r="D281" s="9" t="str">
        <f ca="1">+WORLDCUP!BD64</f>
        <v>Irán</v>
      </c>
      <c r="E281" s="9" t="str">
        <f ca="1">+WORLDCUP!BD62</f>
        <v>Costa de Marfil</v>
      </c>
      <c r="F281" s="9" t="str">
        <f ca="1">+WORLDCUP!BD61</f>
        <v>Turquía</v>
      </c>
      <c r="G281" s="9" t="str">
        <f ca="1">+WORLDCUP!BD58</f>
        <v>República Checa</v>
      </c>
      <c r="H281" s="9" t="str">
        <f ca="1">+WORLDCUP!BD63</f>
        <v>Suecia</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c r="A282" s="9" t="s">
        <v>1067</v>
      </c>
      <c r="B282" s="9">
        <f ca="1">+IF(A282=WORLDCUP!$BI$112,1,0)</f>
        <v>0</v>
      </c>
      <c r="C282" s="9" t="str">
        <f ca="1">+WORLDCUP!BD60</f>
        <v>Haití</v>
      </c>
      <c r="D282" s="9" t="str">
        <f ca="1">+WORLDCUP!BD64</f>
        <v>Irán</v>
      </c>
      <c r="E282" s="9" t="str">
        <f ca="1">+WORLDCUP!BD67</f>
        <v>Austria</v>
      </c>
      <c r="F282" s="9" t="str">
        <f ca="1">+WORLDCUP!BD61</f>
        <v>Turquía</v>
      </c>
      <c r="G282" s="9" t="str">
        <f ca="1">+WORLDCUP!BD58</f>
        <v>República Checa</v>
      </c>
      <c r="H282" s="9" t="str">
        <f ca="1">+WORLDCUP!BD63</f>
        <v>Suecia</v>
      </c>
      <c r="I282" s="9" t="str">
        <f ca="1">+WORLDCUP!BD62</f>
        <v>Costa de Marfil</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c r="A283" s="9" t="s">
        <v>1068</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c r="A284" s="9" t="s">
        <v>1069</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c r="A285" s="9" t="s">
        <v>1070</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c r="A286" s="9" t="s">
        <v>1071</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Turquía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c r="A287" s="9" t="s">
        <v>1072</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c r="A288" s="9" t="s">
        <v>1073</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c r="A289" s="9" t="s">
        <v>1074</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c r="A290" s="9" t="s">
        <v>1075</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c r="A291" s="9" t="s">
        <v>1076</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c r="A292" s="9" t="s">
        <v>1077</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c r="A293" s="9" t="s">
        <v>1078</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c r="A294" s="9" t="s">
        <v>1079</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c r="A295" s="9" t="s">
        <v>1080</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c r="A296" s="9" t="s">
        <v>1081</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c r="A297" s="9" t="s">
        <v>1082</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c r="A298" s="9" t="s">
        <v>1083</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c r="A299" s="9" t="s">
        <v>1084</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c r="A300" s="9" t="s">
        <v>1085</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c r="A301" s="9" t="s">
        <v>1086</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c r="A302" s="9" t="s">
        <v>1087</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c r="A303" s="9" t="s">
        <v>1088</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c r="A304" s="9" t="s">
        <v>1089</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c r="A305" s="9" t="s">
        <v>1090</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c r="A306" s="9" t="s">
        <v>1091</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c r="A307" s="9" t="s">
        <v>1092</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c r="A308" s="9" t="s">
        <v>1093</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c r="A310" s="9" t="s">
        <v>1095</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c r="A311" s="9" t="s">
        <v>1096</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c r="A314" s="9" t="s">
        <v>1099</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c r="A315" s="9" t="s">
        <v>1100</v>
      </c>
      <c r="B315" s="9">
        <f ca="1">+IF(A315=WORLDCUP!$BI$112,1,0)</f>
        <v>0</v>
      </c>
      <c r="C315" s="9" t="str">
        <f ca="1">+WORLDCUP!BD66</f>
        <v>Irak</v>
      </c>
      <c r="D315" s="9" t="str">
        <f ca="1">+WORLDCUP!BD67</f>
        <v>Austria</v>
      </c>
      <c r="E315" s="9" t="str">
        <f ca="1">+WORLDCUP!BD59</f>
        <v>Catar</v>
      </c>
      <c r="F315" s="9" t="str">
        <f ca="1">+WORLDCUP!BD61</f>
        <v>Turquía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c r="A316" s="9" t="s">
        <v>1101</v>
      </c>
      <c r="B316" s="9">
        <f ca="1">+IF(A316=WORLDCUP!$BI$112,1,0)</f>
        <v>0</v>
      </c>
      <c r="C316" s="9" t="str">
        <f ca="1">+WORLDCUP!BD66</f>
        <v>Irak</v>
      </c>
      <c r="D316" s="9" t="str">
        <f ca="1">+WORLDCUP!BD67</f>
        <v>Austria</v>
      </c>
      <c r="E316" s="9" t="str">
        <f ca="1">+WORLDCUP!BD59</f>
        <v>Catar</v>
      </c>
      <c r="F316" s="9" t="str">
        <f ca="1">+WORLDCUP!BD61</f>
        <v>Turquía</v>
      </c>
      <c r="G316" s="9" t="str">
        <f ca="1">+WORLDCUP!BD58</f>
        <v>República Checa</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c r="A317" s="9" t="s">
        <v>1102</v>
      </c>
      <c r="B317" s="9">
        <f ca="1">+IF(A317=WORLDCUP!$BI$112,1,0)</f>
        <v>0</v>
      </c>
      <c r="C317" s="9" t="str">
        <f ca="1">+WORLDCUP!BD65</f>
        <v>Arabia Saudita</v>
      </c>
      <c r="D317" s="9" t="str">
        <f ca="1">+WORLDCUP!BD67</f>
        <v>Austria</v>
      </c>
      <c r="E317" s="9" t="str">
        <f ca="1">+WORLDCUP!BD59</f>
        <v>Catar</v>
      </c>
      <c r="F317" s="9" t="str">
        <f ca="1">+WORLDCUP!BD61</f>
        <v>Turquía</v>
      </c>
      <c r="G317" s="9" t="str">
        <f ca="1">+WORLDCUP!BD58</f>
        <v>República Checa</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c r="A318" s="9" t="s">
        <v>1103</v>
      </c>
      <c r="B318" s="9">
        <f ca="1">+IF(A318=WORLDCUP!$BI$112,1,0)</f>
        <v>0</v>
      </c>
      <c r="C318" s="9" t="str">
        <f ca="1">+WORLDCUP!BD66</f>
        <v>Irak</v>
      </c>
      <c r="D318" s="9" t="str">
        <f ca="1">+WORLDCUP!BD64</f>
        <v>Irán</v>
      </c>
      <c r="E318" s="9" t="str">
        <f ca="1">+WORLDCUP!BD59</f>
        <v>Catar</v>
      </c>
      <c r="F318" s="9" t="str">
        <f ca="1">+WORLDCUP!BD61</f>
        <v>Turquía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c r="A319" s="9" t="s">
        <v>1104</v>
      </c>
      <c r="B319" s="9">
        <f ca="1">+IF(A319=WORLDCUP!$BI$112,1,0)</f>
        <v>0</v>
      </c>
      <c r="C319" s="9" t="str">
        <f ca="1">+WORLDCUP!BD65</f>
        <v>Arabia Saudita</v>
      </c>
      <c r="D319" s="9" t="str">
        <f ca="1">+WORLDCUP!BD67</f>
        <v>Austria</v>
      </c>
      <c r="E319" s="9" t="str">
        <f ca="1">+WORLDCUP!BD59</f>
        <v>Catar</v>
      </c>
      <c r="F319" s="9" t="str">
        <f ca="1">+WORLDCUP!BD61</f>
        <v>Turquía</v>
      </c>
      <c r="G319" s="9" t="str">
        <f ca="1">+WORLDCUP!BD58</f>
        <v>República Checa</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c r="A320" s="9" t="s">
        <v>1105</v>
      </c>
      <c r="B320" s="9">
        <f ca="1">+IF(A320=WORLDCUP!$BI$112,1,0)</f>
        <v>0</v>
      </c>
      <c r="C320" s="9" t="str">
        <f ca="1">+WORLDCUP!BD65</f>
        <v>Arabia Saudita</v>
      </c>
      <c r="D320" s="9" t="str">
        <f ca="1">+WORLDCUP!BD67</f>
        <v>Austria</v>
      </c>
      <c r="E320" s="9" t="str">
        <f ca="1">+WORLDCUP!BD59</f>
        <v>Catar</v>
      </c>
      <c r="F320" s="9" t="str">
        <f ca="1">+WORLDCUP!BD61</f>
        <v>Turquía</v>
      </c>
      <c r="G320" s="9" t="str">
        <f ca="1">+WORLDCUP!BD58</f>
        <v>República Checa</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c r="A321" s="9" t="s">
        <v>1106</v>
      </c>
      <c r="B321" s="9">
        <f ca="1">+IF(A321=WORLDCUP!$BI$112,1,0)</f>
        <v>0</v>
      </c>
      <c r="C321" s="9" t="str">
        <f ca="1">+WORLDCUP!BD66</f>
        <v>Irak</v>
      </c>
      <c r="D321" s="9" t="str">
        <f ca="1">+WORLDCUP!BD67</f>
        <v>Austria</v>
      </c>
      <c r="E321" s="9" t="str">
        <f ca="1">+WORLDCUP!BD59</f>
        <v>Catar</v>
      </c>
      <c r="F321" s="9" t="str">
        <f ca="1">+WORLDCUP!BD61</f>
        <v>Turquía</v>
      </c>
      <c r="G321" s="9" t="str">
        <f ca="1">+WORLDCUP!BD58</f>
        <v>República Checa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c r="A322" s="9" t="s">
        <v>1107</v>
      </c>
      <c r="B322" s="9">
        <f ca="1">+IF(A322=WORLDCUP!$BI$112,1,0)</f>
        <v>0</v>
      </c>
      <c r="C322" s="9" t="str">
        <f ca="1">+WORLDCUP!BD65</f>
        <v>Arabia Saudita</v>
      </c>
      <c r="D322" s="9" t="str">
        <f ca="1">+WORLDCUP!BD67</f>
        <v>Austria</v>
      </c>
      <c r="E322" s="9" t="str">
        <f ca="1">+WORLDCUP!BD59</f>
        <v>Catar</v>
      </c>
      <c r="F322" s="9" t="str">
        <f ca="1">+WORLDCUP!BD61</f>
        <v>Turquía</v>
      </c>
      <c r="G322" s="9" t="str">
        <f ca="1">+WORLDCUP!BD58</f>
        <v>República Checa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c r="A323" s="9" t="s">
        <v>1108</v>
      </c>
      <c r="B323" s="9">
        <f ca="1">+IF(A323=WORLDCUP!$BI$112,1,0)</f>
        <v>0</v>
      </c>
      <c r="C323" s="9" t="str">
        <f ca="1">+WORLDCUP!BD65</f>
        <v>Arabia Saudita</v>
      </c>
      <c r="D323" s="9" t="str">
        <f ca="1">+WORLDCUP!BD66</f>
        <v>Irak</v>
      </c>
      <c r="E323" s="9" t="str">
        <f ca="1">+WORLDCUP!BD59</f>
        <v>Catar</v>
      </c>
      <c r="F323" s="9" t="str">
        <f ca="1">+WORLDCUP!BD61</f>
        <v>Turquía</v>
      </c>
      <c r="G323" s="9" t="str">
        <f ca="1">+WORLDCUP!BD58</f>
        <v>República Checa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c r="A324" s="9" t="s">
        <v>1109</v>
      </c>
      <c r="B324" s="9">
        <f ca="1">+IF(A324=WORLDCUP!$BI$112,1,0)</f>
        <v>0</v>
      </c>
      <c r="C324" s="9" t="str">
        <f ca="1">+WORLDCUP!BD65</f>
        <v>Arabia Saudita</v>
      </c>
      <c r="D324" s="9" t="str">
        <f ca="1">+WORLDCUP!BD67</f>
        <v>Austria</v>
      </c>
      <c r="E324" s="9" t="str">
        <f ca="1">+WORLDCUP!BD59</f>
        <v>Catar</v>
      </c>
      <c r="F324" s="9" t="str">
        <f ca="1">+WORLDCUP!BD61</f>
        <v>Turquía</v>
      </c>
      <c r="G324" s="9" t="str">
        <f ca="1">+WORLDCUP!BD58</f>
        <v>República Checa</v>
      </c>
      <c r="H324" s="9" t="str">
        <f ca="1">+WORLDCUP!BD63</f>
        <v>Suecia</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c r="A325" s="9" t="s">
        <v>1110</v>
      </c>
      <c r="B325" s="9">
        <f ca="1">+IF(A325=WORLDCUP!$BI$112,1,0)</f>
        <v>0</v>
      </c>
      <c r="C325" s="9" t="str">
        <f ca="1">+WORLDCUP!BD65</f>
        <v>Arabia Saudita</v>
      </c>
      <c r="D325" s="9" t="str">
        <f ca="1">+WORLDCUP!BD67</f>
        <v>Austria</v>
      </c>
      <c r="E325" s="9" t="str">
        <f ca="1">+WORLDCUP!BD59</f>
        <v>Catar</v>
      </c>
      <c r="F325" s="9" t="str">
        <f ca="1">+WORLDCUP!BD61</f>
        <v>Turquía</v>
      </c>
      <c r="G325" s="9" t="str">
        <f ca="1">+WORLDCUP!BD58</f>
        <v>República Checa</v>
      </c>
      <c r="H325" s="9" t="str">
        <f ca="1">+WORLDCUP!BD63</f>
        <v>Suecia</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c r="A326" s="9" t="s">
        <v>1111</v>
      </c>
      <c r="B326" s="9">
        <f ca="1">+IF(A326=WORLDCUP!$BI$112,1,0)</f>
        <v>0</v>
      </c>
      <c r="C326" s="9" t="str">
        <f ca="1">+WORLDCUP!BD63</f>
        <v>Suecia</v>
      </c>
      <c r="D326" s="9" t="str">
        <f ca="1">+WORLDCUP!BD67</f>
        <v>Austria</v>
      </c>
      <c r="E326" s="9" t="str">
        <f ca="1">+WORLDCUP!BD59</f>
        <v>Catar</v>
      </c>
      <c r="F326" s="9" t="str">
        <f ca="1">+WORLDCUP!BD61</f>
        <v>Turquía</v>
      </c>
      <c r="G326" s="9" t="str">
        <f ca="1">+WORLDCUP!BD58</f>
        <v>República Checa</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c r="A327" s="9" t="s">
        <v>1112</v>
      </c>
      <c r="B327" s="9">
        <f ca="1">+IF(A327=WORLDCUP!$BI$112,1,0)</f>
        <v>0</v>
      </c>
      <c r="C327" s="9" t="str">
        <f ca="1">+WORLDCUP!BD66</f>
        <v>Irak</v>
      </c>
      <c r="D327" s="9" t="str">
        <f ca="1">+WORLDCUP!BD64</f>
        <v>Irán</v>
      </c>
      <c r="E327" s="9" t="str">
        <f ca="1">+WORLDCUP!BD59</f>
        <v>Catar</v>
      </c>
      <c r="F327" s="9" t="str">
        <f ca="1">+WORLDCUP!BD61</f>
        <v>Turquía</v>
      </c>
      <c r="G327" s="9" t="str">
        <f ca="1">+WORLDCUP!BD58</f>
        <v>República Checa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c r="A328" s="9" t="s">
        <v>1113</v>
      </c>
      <c r="B328" s="9">
        <f ca="1">+IF(A328=WORLDCUP!$BI$112,1,0)</f>
        <v>0</v>
      </c>
      <c r="C328" s="9" t="str">
        <f ca="1">+WORLDCUP!BD63</f>
        <v>Suecia</v>
      </c>
      <c r="D328" s="9" t="str">
        <f ca="1">+WORLDCUP!BD67</f>
        <v>Austria</v>
      </c>
      <c r="E328" s="9" t="str">
        <f ca="1">+WORLDCUP!BD59</f>
        <v>Catar</v>
      </c>
      <c r="F328" s="9" t="str">
        <f ca="1">+WORLDCUP!BD61</f>
        <v>Turquía</v>
      </c>
      <c r="G328" s="9" t="str">
        <f ca="1">+WORLDCUP!BD58</f>
        <v>República Checa</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c r="A329" s="9" t="s">
        <v>1114</v>
      </c>
      <c r="B329" s="9">
        <f ca="1">+IF(A329=WORLDCUP!$BI$112,1,0)</f>
        <v>0</v>
      </c>
      <c r="C329" s="9" t="str">
        <f ca="1">+WORLDCUP!BD63</f>
        <v>Suecia</v>
      </c>
      <c r="D329" s="9" t="str">
        <f ca="1">+WORLDCUP!BD67</f>
        <v>Austria</v>
      </c>
      <c r="E329" s="9" t="str">
        <f ca="1">+WORLDCUP!BD59</f>
        <v>Catar</v>
      </c>
      <c r="F329" s="9" t="str">
        <f ca="1">+WORLDCUP!BD61</f>
        <v>Turquía</v>
      </c>
      <c r="G329" s="9" t="str">
        <f ca="1">+WORLDCUP!BD58</f>
        <v>República Checa</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c r="A330" s="9" t="s">
        <v>1115</v>
      </c>
      <c r="B330" s="9">
        <f ca="1">+IF(A330=WORLDCUP!$BI$112,1,0)</f>
        <v>0</v>
      </c>
      <c r="C330" s="9" t="str">
        <f ca="1">+WORLDCUP!BD65</f>
        <v>Arabia Saudita</v>
      </c>
      <c r="D330" s="9" t="str">
        <f ca="1">+WORLDCUP!BD64</f>
        <v>Irán</v>
      </c>
      <c r="E330" s="9" t="str">
        <f ca="1">+WORLDCUP!BD59</f>
        <v>Catar</v>
      </c>
      <c r="F330" s="9" t="str">
        <f ca="1">+WORLDCUP!BD61</f>
        <v>Turquía</v>
      </c>
      <c r="G330" s="9" t="str">
        <f ca="1">+WORLDCUP!BD58</f>
        <v>República Checa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c r="A331" s="9" t="s">
        <v>1116</v>
      </c>
      <c r="B331" s="9">
        <f ca="1">+IF(A331=WORLDCUP!$BI$112,1,0)</f>
        <v>0</v>
      </c>
      <c r="C331" s="9" t="str">
        <f ca="1">+WORLDCUP!BD65</f>
        <v>Arabia Saudita</v>
      </c>
      <c r="D331" s="9" t="str">
        <f ca="1">+WORLDCUP!BD64</f>
        <v>Irán</v>
      </c>
      <c r="E331" s="9" t="str">
        <f ca="1">+WORLDCUP!BD59</f>
        <v>Catar</v>
      </c>
      <c r="F331" s="9" t="str">
        <f ca="1">+WORLDCUP!BD61</f>
        <v>Turquía</v>
      </c>
      <c r="G331" s="9" t="str">
        <f ca="1">+WORLDCUP!BD58</f>
        <v>República Checa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c r="A332" s="9" t="s">
        <v>1117</v>
      </c>
      <c r="B332" s="9">
        <f ca="1">+IF(A332=WORLDCUP!$BI$112,1,0)</f>
        <v>0</v>
      </c>
      <c r="C332" s="9" t="str">
        <f ca="1">+WORLDCUP!BD65</f>
        <v>Arabia Saudita</v>
      </c>
      <c r="D332" s="9" t="str">
        <f ca="1">+WORLDCUP!BD64</f>
        <v>Irán</v>
      </c>
      <c r="E332" s="9" t="str">
        <f ca="1">+WORLDCUP!BD59</f>
        <v>Catar</v>
      </c>
      <c r="F332" s="9" t="str">
        <f ca="1">+WORLDCUP!BD61</f>
        <v>Turquía</v>
      </c>
      <c r="G332" s="9" t="str">
        <f ca="1">+WORLDCUP!BD58</f>
        <v>República Checa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c r="A333" s="9" t="s">
        <v>1118</v>
      </c>
      <c r="B333" s="9">
        <f ca="1">+IF(A333=WORLDCUP!$BI$112,1,0)</f>
        <v>0</v>
      </c>
      <c r="C333" s="9" t="str">
        <f ca="1">+WORLDCUP!BD65</f>
        <v>Arabia Saudita</v>
      </c>
      <c r="D333" s="9" t="str">
        <f ca="1">+WORLDCUP!BD64</f>
        <v>Irán</v>
      </c>
      <c r="E333" s="9" t="str">
        <f ca="1">+WORLDCUP!BD59</f>
        <v>Catar</v>
      </c>
      <c r="F333" s="9" t="str">
        <f ca="1">+WORLDCUP!BD61</f>
        <v>Turquía</v>
      </c>
      <c r="G333" s="9" t="str">
        <f ca="1">+WORLDCUP!BD58</f>
        <v>República Checa</v>
      </c>
      <c r="H333" s="9" t="str">
        <f ca="1">+WORLDCUP!BD63</f>
        <v>Suecia</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c r="A334" s="9" t="s">
        <v>1119</v>
      </c>
      <c r="B334" s="9">
        <f ca="1">+IF(A334=WORLDCUP!$BI$112,1,0)</f>
        <v>0</v>
      </c>
      <c r="C334" s="9" t="str">
        <f ca="1">+WORLDCUP!BD65</f>
        <v>Arabia Saudita</v>
      </c>
      <c r="D334" s="9" t="str">
        <f ca="1">+WORLDCUP!BD64</f>
        <v>Irán</v>
      </c>
      <c r="E334" s="9" t="str">
        <f ca="1">+WORLDCUP!BD59</f>
        <v>Catar</v>
      </c>
      <c r="F334" s="9" t="str">
        <f ca="1">+WORLDCUP!BD61</f>
        <v>Turquía</v>
      </c>
      <c r="G334" s="9" t="str">
        <f ca="1">+WORLDCUP!BD58</f>
        <v>República Checa</v>
      </c>
      <c r="H334" s="9" t="str">
        <f ca="1">+WORLDCUP!BD63</f>
        <v>Suecia</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c r="A335" s="9" t="s">
        <v>1120</v>
      </c>
      <c r="B335" s="9">
        <f ca="1">+IF(A335=WORLDCUP!$BI$112,1,0)</f>
        <v>0</v>
      </c>
      <c r="C335" s="9" t="str">
        <f ca="1">+WORLDCUP!BD65</f>
        <v>Arabia Saudita</v>
      </c>
      <c r="D335" s="9" t="str">
        <f ca="1">+WORLDCUP!BD64</f>
        <v>Irán</v>
      </c>
      <c r="E335" s="9" t="str">
        <f ca="1">+WORLDCUP!BD59</f>
        <v>Catar</v>
      </c>
      <c r="F335" s="9" t="str">
        <f ca="1">+WORLDCUP!BD61</f>
        <v>Turquía</v>
      </c>
      <c r="G335" s="9" t="str">
        <f ca="1">+WORLDCUP!BD58</f>
        <v>República Checa</v>
      </c>
      <c r="H335" s="9" t="str">
        <f ca="1">+WORLDCUP!BD63</f>
        <v>Suecia</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c r="A336" s="9" t="s">
        <v>1121</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c r="A337" s="9" t="s">
        <v>1122</v>
      </c>
      <c r="B337" s="9">
        <f ca="1">+IF(A337=WORLDCUP!$BI$112,1,0)</f>
        <v>0</v>
      </c>
      <c r="C337" s="9" t="str">
        <f ca="1">+WORLDCUP!BD62</f>
        <v>Costa de Marfil</v>
      </c>
      <c r="D337" s="9" t="str">
        <f ca="1">+WORLDCUP!BD67</f>
        <v>Austria</v>
      </c>
      <c r="E337" s="9" t="str">
        <f ca="1">+WORLDCUP!BD59</f>
        <v>Catar</v>
      </c>
      <c r="F337" s="9" t="str">
        <f ca="1">+WORLDCUP!BD61</f>
        <v>Turquía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c r="A338" s="9" t="s">
        <v>1123</v>
      </c>
      <c r="B338" s="9">
        <f ca="1">+IF(A338=WORLDCUP!$BI$112,1,0)</f>
        <v>0</v>
      </c>
      <c r="C338" s="9" t="str">
        <f ca="1">+WORLDCUP!BD62</f>
        <v>Costa de Marfil</v>
      </c>
      <c r="D338" s="9" t="str">
        <f ca="1">+WORLDCUP!BD66</f>
        <v>Irak</v>
      </c>
      <c r="E338" s="9" t="str">
        <f ca="1">+WORLDCUP!BD59</f>
        <v>Catar</v>
      </c>
      <c r="F338" s="9" t="str">
        <f ca="1">+WORLDCUP!BD61</f>
        <v>Turquía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c r="A339" s="9" t="s">
        <v>1124</v>
      </c>
      <c r="B339" s="9">
        <f ca="1">+IF(A339=WORLDCUP!$BI$112,1,0)</f>
        <v>0</v>
      </c>
      <c r="C339" s="9" t="str">
        <f ca="1">+WORLDCUP!BD62</f>
        <v>Costa de Marfil</v>
      </c>
      <c r="D339" s="9" t="str">
        <f ca="1">+WORLDCUP!BD67</f>
        <v>Austria</v>
      </c>
      <c r="E339" s="9" t="str">
        <f ca="1">+WORLDCUP!BD59</f>
        <v>Catar</v>
      </c>
      <c r="F339" s="9" t="str">
        <f ca="1">+WORLDCUP!BD61</f>
        <v>Turquía</v>
      </c>
      <c r="G339" s="9" t="str">
        <f ca="1">+WORLDCUP!BD58</f>
        <v>República Checa</v>
      </c>
      <c r="H339" s="9" t="str">
        <f ca="1">+WORLDCUP!BD65</f>
        <v>Arabia Saudita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c r="A340" s="9" t="s">
        <v>1125</v>
      </c>
      <c r="B340" s="9">
        <f ca="1">+IF(A340=WORLDCUP!$BI$112,1,0)</f>
        <v>0</v>
      </c>
      <c r="C340" s="9" t="str">
        <f ca="1">+WORLDCUP!BD62</f>
        <v>Costa de Marfil</v>
      </c>
      <c r="D340" s="9" t="str">
        <f ca="1">+WORLDCUP!BD67</f>
        <v>Austria</v>
      </c>
      <c r="E340" s="9" t="str">
        <f ca="1">+WORLDCUP!BD59</f>
        <v>Catar</v>
      </c>
      <c r="F340" s="9" t="str">
        <f ca="1">+WORLDCUP!BD61</f>
        <v>Turquía</v>
      </c>
      <c r="G340" s="9" t="str">
        <f ca="1">+WORLDCUP!BD58</f>
        <v>República Checa</v>
      </c>
      <c r="H340" s="9" t="str">
        <f ca="1">+WORLDCUP!BD65</f>
        <v>Arabia Saudita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c r="A341" s="9" t="s">
        <v>1126</v>
      </c>
      <c r="B341" s="9">
        <f ca="1">+IF(A341=WORLDCUP!$BI$112,1,0)</f>
        <v>0</v>
      </c>
      <c r="C341" s="9" t="str">
        <f ca="1">+WORLDCUP!BD62</f>
        <v>Costa de Marfil</v>
      </c>
      <c r="D341" s="9" t="str">
        <f ca="1">+WORLDCUP!BD67</f>
        <v>Austria</v>
      </c>
      <c r="E341" s="9" t="str">
        <f ca="1">+WORLDCUP!BD59</f>
        <v>Catar</v>
      </c>
      <c r="F341" s="9" t="str">
        <f ca="1">+WORLDCUP!BD61</f>
        <v>Turquía</v>
      </c>
      <c r="G341" s="9" t="str">
        <f ca="1">+WORLDCUP!BD58</f>
        <v>República Checa</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c r="A342" s="9" t="s">
        <v>1127</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c r="A343" s="9" t="s">
        <v>1128</v>
      </c>
      <c r="B343" s="9">
        <f ca="1">+IF(A343=WORLDCUP!$BI$112,1,0)</f>
        <v>0</v>
      </c>
      <c r="C343" s="9" t="str">
        <f ca="1">+WORLDCUP!BD62</f>
        <v>Costa de Marfil</v>
      </c>
      <c r="D343" s="9" t="str">
        <f ca="1">+WORLDCUP!BD67</f>
        <v>Austria</v>
      </c>
      <c r="E343" s="9" t="str">
        <f ca="1">+WORLDCUP!BD59</f>
        <v>Catar</v>
      </c>
      <c r="F343" s="9" t="str">
        <f ca="1">+WORLDCUP!BD61</f>
        <v>Turquía</v>
      </c>
      <c r="G343" s="9" t="str">
        <f ca="1">+WORLDCUP!BD58</f>
        <v>República Checa</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c r="A344" s="9" t="s">
        <v>1129</v>
      </c>
      <c r="B344" s="9">
        <f ca="1">+IF(A344=WORLDCUP!$BI$112,1,0)</f>
        <v>0</v>
      </c>
      <c r="C344" s="9" t="str">
        <f ca="1">+WORLDCUP!BD62</f>
        <v>Costa de Marfil</v>
      </c>
      <c r="D344" s="9" t="str">
        <f ca="1">+WORLDCUP!BD67</f>
        <v>Austria</v>
      </c>
      <c r="E344" s="9" t="str">
        <f ca="1">+WORLDCUP!BD59</f>
        <v>Catar</v>
      </c>
      <c r="F344" s="9" t="str">
        <f ca="1">+WORLDCUP!BD61</f>
        <v>Turquía</v>
      </c>
      <c r="G344" s="9" t="str">
        <f ca="1">+WORLDCUP!BD58</f>
        <v>República Checa</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c r="A345" s="9" t="s">
        <v>1130</v>
      </c>
      <c r="B345" s="9">
        <f ca="1">+IF(A345=WORLDCUP!$BI$112,1,0)</f>
        <v>0</v>
      </c>
      <c r="C345" s="9" t="str">
        <f ca="1">+WORLDCUP!BD62</f>
        <v>Costa de Marfil</v>
      </c>
      <c r="D345" s="9" t="str">
        <f ca="1">+WORLDCUP!BD64</f>
        <v>Irán</v>
      </c>
      <c r="E345" s="9" t="str">
        <f ca="1">+WORLDCUP!BD59</f>
        <v>Catar</v>
      </c>
      <c r="F345" s="9" t="str">
        <f ca="1">+WORLDCUP!BD61</f>
        <v>Turquía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c r="A346" s="9" t="s">
        <v>1131</v>
      </c>
      <c r="B346" s="9">
        <f ca="1">+IF(A346=WORLDCUP!$BI$112,1,0)</f>
        <v>0</v>
      </c>
      <c r="C346" s="9" t="str">
        <f ca="1">+WORLDCUP!BD65</f>
        <v>Arabia Saudita</v>
      </c>
      <c r="D346" s="9" t="str">
        <f ca="1">+WORLDCUP!BD67</f>
        <v>Austria</v>
      </c>
      <c r="E346" s="9" t="str">
        <f ca="1">+WORLDCUP!BD59</f>
        <v>Catar</v>
      </c>
      <c r="F346" s="9" t="str">
        <f ca="1">+WORLDCUP!BD61</f>
        <v>Turquía</v>
      </c>
      <c r="G346" s="9" t="str">
        <f ca="1">+WORLDCUP!BD58</f>
        <v>República Checa</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c r="A347" s="9" t="s">
        <v>1132</v>
      </c>
      <c r="B347" s="9">
        <f ca="1">+IF(A347=WORLDCUP!$BI$112,1,0)</f>
        <v>0</v>
      </c>
      <c r="C347" s="9" t="str">
        <f ca="1">+WORLDCUP!BD65</f>
        <v>Arabia Saudita</v>
      </c>
      <c r="D347" s="9" t="str">
        <f ca="1">+WORLDCUP!BD67</f>
        <v>Austria</v>
      </c>
      <c r="E347" s="9" t="str">
        <f ca="1">+WORLDCUP!BD59</f>
        <v>Catar</v>
      </c>
      <c r="F347" s="9" t="str">
        <f ca="1">+WORLDCUP!BD61</f>
        <v>Turquía</v>
      </c>
      <c r="G347" s="9" t="str">
        <f ca="1">+WORLDCUP!BD58</f>
        <v>República Checa</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c r="A348" s="9" t="s">
        <v>1133</v>
      </c>
      <c r="B348" s="9">
        <f ca="1">+IF(A348=WORLDCUP!$BI$112,1,0)</f>
        <v>0</v>
      </c>
      <c r="C348" s="9" t="str">
        <f ca="1">+WORLDCUP!BD62</f>
        <v>Costa de Marfil</v>
      </c>
      <c r="D348" s="9" t="str">
        <f ca="1">+WORLDCUP!BD64</f>
        <v>Irán</v>
      </c>
      <c r="E348" s="9" t="str">
        <f ca="1">+WORLDCUP!BD59</f>
        <v>Catar</v>
      </c>
      <c r="F348" s="9" t="str">
        <f ca="1">+WORLDCUP!BD61</f>
        <v>Turquía</v>
      </c>
      <c r="G348" s="9" t="str">
        <f ca="1">+WORLDCUP!BD58</f>
        <v>República Checa</v>
      </c>
      <c r="H348" s="9" t="str">
        <f ca="1">+WORLDCUP!BD65</f>
        <v>Arabia Saudita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c r="A349" s="9" t="s">
        <v>1134</v>
      </c>
      <c r="B349" s="9">
        <f ca="1">+IF(A349=WORLDCUP!$BI$112,1,0)</f>
        <v>0</v>
      </c>
      <c r="C349" s="9" t="str">
        <f ca="1">+WORLDCUP!BD62</f>
        <v>Costa de Marfil</v>
      </c>
      <c r="D349" s="9" t="str">
        <f ca="1">+WORLDCUP!BD64</f>
        <v>Irán</v>
      </c>
      <c r="E349" s="9" t="str">
        <f ca="1">+WORLDCUP!BD59</f>
        <v>Catar</v>
      </c>
      <c r="F349" s="9" t="str">
        <f ca="1">+WORLDCUP!BD61</f>
        <v>Turquía</v>
      </c>
      <c r="G349" s="9" t="str">
        <f ca="1">+WORLDCUP!BD58</f>
        <v>República Checa</v>
      </c>
      <c r="H349" s="9" t="str">
        <f ca="1">+WORLDCUP!BD65</f>
        <v>Arabia Saudita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c r="A350" s="9" t="s">
        <v>1135</v>
      </c>
      <c r="B350" s="9">
        <f ca="1">+IF(A350=WORLDCUP!$BI$112,1,0)</f>
        <v>0</v>
      </c>
      <c r="C350" s="9" t="str">
        <f ca="1">+WORLDCUP!BD65</f>
        <v>Arabia Saudita</v>
      </c>
      <c r="D350" s="9" t="str">
        <f ca="1">+WORLDCUP!BD67</f>
        <v>Austria</v>
      </c>
      <c r="E350" s="9" t="str">
        <f ca="1">+WORLDCUP!BD59</f>
        <v>Catar</v>
      </c>
      <c r="F350" s="9" t="str">
        <f ca="1">+WORLDCUP!BD61</f>
        <v>Turquía</v>
      </c>
      <c r="G350" s="9" t="str">
        <f ca="1">+WORLDCUP!BD58</f>
        <v>República Checa</v>
      </c>
      <c r="H350" s="9" t="str">
        <f ca="1">+WORLDCUP!BD64</f>
        <v>Irán</v>
      </c>
      <c r="I350" s="9" t="str">
        <f ca="1">+WORLDCUP!BD62</f>
        <v>Costa de Marfil</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c r="A351" s="9" t="s">
        <v>1136</v>
      </c>
      <c r="B351" s="9">
        <f ca="1">+IF(A351=WORLDCUP!$BI$112,1,0)</f>
        <v>0</v>
      </c>
      <c r="C351" s="9" t="str">
        <f ca="1">+WORLDCUP!BD62</f>
        <v>Costa de Marfil</v>
      </c>
      <c r="D351" s="9" t="str">
        <f ca="1">+WORLDCUP!BD67</f>
        <v>Austria</v>
      </c>
      <c r="E351" s="9" t="str">
        <f ca="1">+WORLDCUP!BD59</f>
        <v>Catar</v>
      </c>
      <c r="F351" s="9" t="str">
        <f ca="1">+WORLDCUP!BD61</f>
        <v>Turquía</v>
      </c>
      <c r="G351" s="9" t="str">
        <f ca="1">+WORLDCUP!BD58</f>
        <v>República Checa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c r="A352" s="9" t="s">
        <v>1137</v>
      </c>
      <c r="B352" s="9">
        <f ca="1">+IF(A352=WORLDCUP!$BI$112,1,0)</f>
        <v>0</v>
      </c>
      <c r="C352" s="9" t="str">
        <f ca="1">+WORLDCUP!BD62</f>
        <v>Costa de Marfil</v>
      </c>
      <c r="D352" s="9" t="str">
        <f ca="1">+WORLDCUP!BD66</f>
        <v>Irak</v>
      </c>
      <c r="E352" s="9" t="str">
        <f ca="1">+WORLDCUP!BD59</f>
        <v>Catar</v>
      </c>
      <c r="F352" s="9" t="str">
        <f ca="1">+WORLDCUP!BD61</f>
        <v>Turquía</v>
      </c>
      <c r="G352" s="9" t="str">
        <f ca="1">+WORLDCUP!BD58</f>
        <v>República Checa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c r="A353" s="9" t="s">
        <v>1138</v>
      </c>
      <c r="B353" s="9">
        <f ca="1">+IF(A353=WORLDCUP!$BI$112,1,0)</f>
        <v>0</v>
      </c>
      <c r="C353" s="9" t="str">
        <f ca="1">+WORLDCUP!BD62</f>
        <v>Costa de Marfil</v>
      </c>
      <c r="D353" s="9" t="str">
        <f ca="1">+WORLDCUP!BD67</f>
        <v>Austria</v>
      </c>
      <c r="E353" s="9" t="str">
        <f ca="1">+WORLDCUP!BD59</f>
        <v>Catar</v>
      </c>
      <c r="F353" s="9" t="str">
        <f ca="1">+WORLDCUP!BD61</f>
        <v>Turquía</v>
      </c>
      <c r="G353" s="9" t="str">
        <f ca="1">+WORLDCUP!BD58</f>
        <v>República Checa</v>
      </c>
      <c r="H353" s="9" t="str">
        <f ca="1">+WORLDCUP!BD63</f>
        <v>Suecia</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c r="A354" s="9" t="s">
        <v>1139</v>
      </c>
      <c r="B354" s="9">
        <f ca="1">+IF(A354=WORLDCUP!$BI$112,1,0)</f>
        <v>0</v>
      </c>
      <c r="C354" s="9" t="str">
        <f ca="1">+WORLDCUP!BD62</f>
        <v>Costa de Marfil</v>
      </c>
      <c r="D354" s="9" t="str">
        <f ca="1">+WORLDCUP!BD67</f>
        <v>Austria</v>
      </c>
      <c r="E354" s="9" t="str">
        <f ca="1">+WORLDCUP!BD59</f>
        <v>Catar</v>
      </c>
      <c r="F354" s="9" t="str">
        <f ca="1">+WORLDCUP!BD61</f>
        <v>Turquía</v>
      </c>
      <c r="G354" s="9" t="str">
        <f ca="1">+WORLDCUP!BD58</f>
        <v>República Checa</v>
      </c>
      <c r="H354" s="9" t="str">
        <f ca="1">+WORLDCUP!BD63</f>
        <v>Suecia</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c r="A355" s="9" t="s">
        <v>1140</v>
      </c>
      <c r="B355" s="9">
        <f ca="1">+IF(A355=WORLDCUP!$BI$112,1,0)</f>
        <v>0</v>
      </c>
      <c r="C355" s="9" t="str">
        <f ca="1">+WORLDCUP!BD65</f>
        <v>Arabia Saudita</v>
      </c>
      <c r="D355" s="9" t="str">
        <f ca="1">+WORLDCUP!BD62</f>
        <v>Costa de Marfil</v>
      </c>
      <c r="E355" s="9" t="str">
        <f ca="1">+WORLDCUP!BD59</f>
        <v>Catar</v>
      </c>
      <c r="F355" s="9" t="str">
        <f ca="1">+WORLDCUP!BD61</f>
        <v>Turquía</v>
      </c>
      <c r="G355" s="9" t="str">
        <f ca="1">+WORLDCUP!BD58</f>
        <v>República Checa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c r="A356" s="9" t="s">
        <v>1141</v>
      </c>
      <c r="B356" s="9">
        <f ca="1">+IF(A356=WORLDCUP!$BI$112,1,0)</f>
        <v>0</v>
      </c>
      <c r="C356" s="9" t="str">
        <f ca="1">+WORLDCUP!BD65</f>
        <v>Arabia Saudita</v>
      </c>
      <c r="D356" s="9" t="str">
        <f ca="1">+WORLDCUP!BD67</f>
        <v>Austria</v>
      </c>
      <c r="E356" s="9" t="str">
        <f ca="1">+WORLDCUP!BD59</f>
        <v>Catar</v>
      </c>
      <c r="F356" s="9" t="str">
        <f ca="1">+WORLDCUP!BD61</f>
        <v>Turquía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c r="A357" s="9" t="s">
        <v>1142</v>
      </c>
      <c r="B357" s="9">
        <f ca="1">+IF(A357=WORLDCUP!$BI$112,1,0)</f>
        <v>0</v>
      </c>
      <c r="C357" s="9" t="str">
        <f ca="1">+WORLDCUP!BD65</f>
        <v>Arabia Saudita</v>
      </c>
      <c r="D357" s="9" t="str">
        <f ca="1">+WORLDCUP!BD67</f>
        <v>Austria</v>
      </c>
      <c r="E357" s="9" t="str">
        <f ca="1">+WORLDCUP!BD59</f>
        <v>Catar</v>
      </c>
      <c r="F357" s="9" t="str">
        <f ca="1">+WORLDCUP!BD61</f>
        <v>Turquía</v>
      </c>
      <c r="G357" s="9" t="str">
        <f ca="1">+WORLDCUP!BD58</f>
        <v>República Checa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c r="A358" s="9" t="s">
        <v>1143</v>
      </c>
      <c r="B358" s="9">
        <f ca="1">+IF(A358=WORLDCUP!$BI$112,1,0)</f>
        <v>0</v>
      </c>
      <c r="C358" s="9" t="str">
        <f ca="1">+WORLDCUP!BD65</f>
        <v>Arabia Saudita</v>
      </c>
      <c r="D358" s="9" t="str">
        <f ca="1">+WORLDCUP!BD62</f>
        <v>Costa de Marfil</v>
      </c>
      <c r="E358" s="9" t="str">
        <f ca="1">+WORLDCUP!BD59</f>
        <v>Catar</v>
      </c>
      <c r="F358" s="9" t="str">
        <f ca="1">+WORLDCUP!BD61</f>
        <v>Turquía</v>
      </c>
      <c r="G358" s="9" t="str">
        <f ca="1">+WORLDCUP!BD58</f>
        <v>República Checa</v>
      </c>
      <c r="H358" s="9" t="str">
        <f ca="1">+WORLDCUP!BD63</f>
        <v>Suecia</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c r="A359" s="9" t="s">
        <v>1144</v>
      </c>
      <c r="B359" s="9">
        <f ca="1">+IF(A359=WORLDCUP!$BI$112,1,0)</f>
        <v>0</v>
      </c>
      <c r="C359" s="9" t="str">
        <f ca="1">+WORLDCUP!BD65</f>
        <v>Arabia Saudita</v>
      </c>
      <c r="D359" s="9" t="str">
        <f ca="1">+WORLDCUP!BD62</f>
        <v>Costa de Marfil</v>
      </c>
      <c r="E359" s="9" t="str">
        <f ca="1">+WORLDCUP!BD59</f>
        <v>Catar</v>
      </c>
      <c r="F359" s="9" t="str">
        <f ca="1">+WORLDCUP!BD61</f>
        <v>Turquía</v>
      </c>
      <c r="G359" s="9" t="str">
        <f ca="1">+WORLDCUP!BD58</f>
        <v>República Checa</v>
      </c>
      <c r="H359" s="9" t="str">
        <f ca="1">+WORLDCUP!BD63</f>
        <v>Suecia</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c r="A360" s="9" t="s">
        <v>1145</v>
      </c>
      <c r="B360" s="9">
        <f ca="1">+IF(A360=WORLDCUP!$BI$112,1,0)</f>
        <v>0</v>
      </c>
      <c r="C360" s="9" t="str">
        <f ca="1">+WORLDCUP!BD65</f>
        <v>Arabia Saudita</v>
      </c>
      <c r="D360" s="9" t="str">
        <f ca="1">+WORLDCUP!BD67</f>
        <v>Austria</v>
      </c>
      <c r="E360" s="9" t="str">
        <f ca="1">+WORLDCUP!BD59</f>
        <v>Catar</v>
      </c>
      <c r="F360" s="9" t="str">
        <f ca="1">+WORLDCUP!BD61</f>
        <v>Turquía</v>
      </c>
      <c r="G360" s="9" t="str">
        <f ca="1">+WORLDCUP!BD58</f>
        <v>República Checa</v>
      </c>
      <c r="H360" s="9" t="str">
        <f ca="1">+WORLDCUP!BD63</f>
        <v>Suecia</v>
      </c>
      <c r="I360" s="9" t="str">
        <f ca="1">+WORLDCUP!BD62</f>
        <v>Costa de Marfil</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c r="A361" s="9" t="s">
        <v>1146</v>
      </c>
      <c r="B361" s="9">
        <f ca="1">+IF(A361=WORLDCUP!$BI$112,1,0)</f>
        <v>0</v>
      </c>
      <c r="C361" s="9" t="str">
        <f ca="1">+WORLDCUP!BD62</f>
        <v>Costa de Marfil</v>
      </c>
      <c r="D361" s="9" t="str">
        <f ca="1">+WORLDCUP!BD64</f>
        <v>Irán</v>
      </c>
      <c r="E361" s="9" t="str">
        <f ca="1">+WORLDCUP!BD59</f>
        <v>Catar</v>
      </c>
      <c r="F361" s="9" t="str">
        <f ca="1">+WORLDCUP!BD61</f>
        <v>Turquía</v>
      </c>
      <c r="G361" s="9" t="str">
        <f ca="1">+WORLDCUP!BD58</f>
        <v>República Checa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c r="A362" s="9" t="s">
        <v>1147</v>
      </c>
      <c r="B362" s="9">
        <f ca="1">+IF(A362=WORLDCUP!$BI$112,1,0)</f>
        <v>0</v>
      </c>
      <c r="C362" s="9" t="str">
        <f ca="1">+WORLDCUP!BD62</f>
        <v>Costa de Marfil</v>
      </c>
      <c r="D362" s="9" t="str">
        <f ca="1">+WORLDCUP!BD64</f>
        <v>Irán</v>
      </c>
      <c r="E362" s="9" t="str">
        <f ca="1">+WORLDCUP!BD59</f>
        <v>Catar</v>
      </c>
      <c r="F362" s="9" t="str">
        <f ca="1">+WORLDCUP!BD61</f>
        <v>Turquía</v>
      </c>
      <c r="G362" s="9" t="str">
        <f ca="1">+WORLDCUP!BD58</f>
        <v>República Checa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c r="A363" s="9" t="s">
        <v>1148</v>
      </c>
      <c r="B363" s="9">
        <f ca="1">+IF(A363=WORLDCUP!$BI$112,1,0)</f>
        <v>0</v>
      </c>
      <c r="C363" s="9" t="str">
        <f ca="1">+WORLDCUP!BD62</f>
        <v>Costa de Marfil</v>
      </c>
      <c r="D363" s="9" t="str">
        <f ca="1">+WORLDCUP!BD64</f>
        <v>Irán</v>
      </c>
      <c r="E363" s="9" t="str">
        <f ca="1">+WORLDCUP!BD59</f>
        <v>Catar</v>
      </c>
      <c r="F363" s="9" t="str">
        <f ca="1">+WORLDCUP!BD61</f>
        <v>Turquía</v>
      </c>
      <c r="G363" s="9" t="str">
        <f ca="1">+WORLDCUP!BD58</f>
        <v>República Checa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c r="A364" s="9" t="s">
        <v>1149</v>
      </c>
      <c r="B364" s="9">
        <f ca="1">+IF(A364=WORLDCUP!$BI$112,1,0)</f>
        <v>0</v>
      </c>
      <c r="C364" s="9" t="str">
        <f ca="1">+WORLDCUP!BD62</f>
        <v>Costa de Marfil</v>
      </c>
      <c r="D364" s="9" t="str">
        <f ca="1">+WORLDCUP!BD64</f>
        <v>Irán</v>
      </c>
      <c r="E364" s="9" t="str">
        <f ca="1">+WORLDCUP!BD59</f>
        <v>Catar</v>
      </c>
      <c r="F364" s="9" t="str">
        <f ca="1">+WORLDCUP!BD61</f>
        <v>Turquía</v>
      </c>
      <c r="G364" s="9" t="str">
        <f ca="1">+WORLDCUP!BD58</f>
        <v>República Checa</v>
      </c>
      <c r="H364" s="9" t="str">
        <f ca="1">+WORLDCUP!BD63</f>
        <v>Suecia</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c r="A365" s="9" t="s">
        <v>1150</v>
      </c>
      <c r="B365" s="9">
        <f ca="1">+IF(A365=WORLDCUP!$BI$112,1,0)</f>
        <v>0</v>
      </c>
      <c r="C365" s="9" t="str">
        <f ca="1">+WORLDCUP!BD62</f>
        <v>Costa de Marfil</v>
      </c>
      <c r="D365" s="9" t="str">
        <f ca="1">+WORLDCUP!BD64</f>
        <v>Irán</v>
      </c>
      <c r="E365" s="9" t="str">
        <f ca="1">+WORLDCUP!BD59</f>
        <v>Catar</v>
      </c>
      <c r="F365" s="9" t="str">
        <f ca="1">+WORLDCUP!BD61</f>
        <v>Turquía</v>
      </c>
      <c r="G365" s="9" t="str">
        <f ca="1">+WORLDCUP!BD58</f>
        <v>República Checa</v>
      </c>
      <c r="H365" s="9" t="str">
        <f ca="1">+WORLDCUP!BD63</f>
        <v>Suecia</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c r="A366" s="9" t="s">
        <v>1151</v>
      </c>
      <c r="B366" s="9">
        <f ca="1">+IF(A366=WORLDCUP!$BI$112,1,0)</f>
        <v>0</v>
      </c>
      <c r="C366" s="9" t="str">
        <f ca="1">+WORLDCUP!BD62</f>
        <v>Costa de Marfil</v>
      </c>
      <c r="D366" s="9" t="str">
        <f ca="1">+WORLDCUP!BD64</f>
        <v>Irán</v>
      </c>
      <c r="E366" s="9" t="str">
        <f ca="1">+WORLDCUP!BD59</f>
        <v>Catar</v>
      </c>
      <c r="F366" s="9" t="str">
        <f ca="1">+WORLDCUP!BD61</f>
        <v>Turquía</v>
      </c>
      <c r="G366" s="9" t="str">
        <f ca="1">+WORLDCUP!BD58</f>
        <v>República Checa</v>
      </c>
      <c r="H366" s="9" t="str">
        <f ca="1">+WORLDCUP!BD63</f>
        <v>Suecia</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c r="A367" s="9" t="s">
        <v>1152</v>
      </c>
      <c r="B367" s="9">
        <f ca="1">+IF(A367=WORLDCUP!$BI$112,1,0)</f>
        <v>0</v>
      </c>
      <c r="C367" s="9" t="str">
        <f ca="1">+WORLDCUP!BD65</f>
        <v>Arabia Saudita</v>
      </c>
      <c r="D367" s="9" t="str">
        <f ca="1">+WORLDCUP!BD64</f>
        <v>Irán</v>
      </c>
      <c r="E367" s="9" t="str">
        <f ca="1">+WORLDCUP!BD59</f>
        <v>Catar</v>
      </c>
      <c r="F367" s="9" t="str">
        <f ca="1">+WORLDCUP!BD61</f>
        <v>Turquía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c r="A368" s="9" t="s">
        <v>1153</v>
      </c>
      <c r="B368" s="9">
        <f ca="1">+IF(A368=WORLDCUP!$BI$112,1,0)</f>
        <v>0</v>
      </c>
      <c r="C368" s="9" t="str">
        <f ca="1">+WORLDCUP!BD65</f>
        <v>Arabia Saudita</v>
      </c>
      <c r="D368" s="9" t="str">
        <f ca="1">+WORLDCUP!BD64</f>
        <v>Irán</v>
      </c>
      <c r="E368" s="9" t="str">
        <f ca="1">+WORLDCUP!BD59</f>
        <v>Catar</v>
      </c>
      <c r="F368" s="9" t="str">
        <f ca="1">+WORLDCUP!BD61</f>
        <v>Turquía</v>
      </c>
      <c r="G368" s="9" t="str">
        <f ca="1">+WORLDCUP!BD58</f>
        <v>República Checa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c r="A369" s="9" t="s">
        <v>1154</v>
      </c>
      <c r="B369" s="9">
        <f ca="1">+IF(A369=WORLDCUP!$BI$112,1,0)</f>
        <v>0</v>
      </c>
      <c r="C369" s="9" t="str">
        <f ca="1">+WORLDCUP!BD65</f>
        <v>Arabia Saudita</v>
      </c>
      <c r="D369" s="9" t="str">
        <f ca="1">+WORLDCUP!BD64</f>
        <v>Irán</v>
      </c>
      <c r="E369" s="9" t="str">
        <f ca="1">+WORLDCUP!BD59</f>
        <v>Catar</v>
      </c>
      <c r="F369" s="9" t="str">
        <f ca="1">+WORLDCUP!BD61</f>
        <v>Turquía</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c r="A370" s="9" t="s">
        <v>1155</v>
      </c>
      <c r="B370" s="9">
        <f ca="1">+IF(A370=WORLDCUP!$BI$112,1,0)</f>
        <v>0</v>
      </c>
      <c r="C370" s="9" t="str">
        <f ca="1">+WORLDCUP!BD65</f>
        <v>Arabia Saudita</v>
      </c>
      <c r="D370" s="9" t="str">
        <f ca="1">+WORLDCUP!BD64</f>
        <v>Irán</v>
      </c>
      <c r="E370" s="9" t="str">
        <f ca="1">+WORLDCUP!BD59</f>
        <v>Catar</v>
      </c>
      <c r="F370" s="9" t="str">
        <f ca="1">+WORLDCUP!BD61</f>
        <v>Turquía</v>
      </c>
      <c r="G370" s="9" t="str">
        <f ca="1">+WORLDCUP!BD58</f>
        <v>República Checa</v>
      </c>
      <c r="H370" s="9" t="str">
        <f ca="1">+WORLDCUP!BD63</f>
        <v>Suecia</v>
      </c>
      <c r="I370" s="9" t="str">
        <f ca="1">+WORLDCUP!BD62</f>
        <v>Costa de Marfil</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c r="A371" s="9" t="s">
        <v>1156</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c r="A372" s="9" t="s">
        <v>1157</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c r="A373" s="9" t="s">
        <v>1158</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c r="A374" s="9" t="s">
        <v>1159</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c r="A375" s="9" t="s">
        <v>1160</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c r="A376" s="9" t="s">
        <v>1161</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c r="A377" s="9" t="s">
        <v>1162</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c r="A378" s="9" t="s">
        <v>1163</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c r="A379" s="9" t="s">
        <v>1164</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c r="A380" s="9" t="s">
        <v>1165</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c r="A381" s="9" t="s">
        <v>1166</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c r="A382" s="9" t="s">
        <v>1167</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c r="A383" s="9" t="s">
        <v>1168</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c r="A384" s="9" t="s">
        <v>1169</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c r="A385" s="9" t="s">
        <v>1170</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c r="A386" s="9" t="s">
        <v>1171</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c r="A387" s="9" t="s">
        <v>1172</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c r="A388" s="9" t="s">
        <v>1173</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c r="A389" s="9" t="s">
        <v>1174</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c r="A390" s="9" t="s">
        <v>1175</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c r="A391" s="9" t="s">
        <v>1176</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c r="A392" s="9" t="s">
        <v>1177</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c r="A393" s="9" t="s">
        <v>1178</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c r="A394" s="9" t="s">
        <v>1179</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c r="A395" s="9" t="s">
        <v>1180</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c r="A396" s="9" t="s">
        <v>1181</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c r="A397" s="9" t="s">
        <v>1182</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c r="A398" s="9" t="s">
        <v>1183</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c r="A399" s="9" t="s">
        <v>1184</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c r="A400" s="9" t="s">
        <v>1185</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c r="A401" s="9" t="s">
        <v>1186</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c r="A402" s="9" t="s">
        <v>1187</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c r="A403" s="9" t="s">
        <v>1188</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c r="A404" s="9" t="s">
        <v>1189</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c r="A405" s="9" t="s">
        <v>1190</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c r="A406" s="9" t="s">
        <v>1191</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c r="A407" s="9" t="s">
        <v>1192</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c r="A408" s="9" t="s">
        <v>1193</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c r="A409" s="9" t="s">
        <v>1194</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c r="A410" s="9" t="s">
        <v>1195</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c r="A411" s="9" t="s">
        <v>1196</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c r="A412" s="9" t="s">
        <v>1197</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c r="A413" s="9" t="s">
        <v>1198</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c r="A414" s="9" t="s">
        <v>1199</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c r="A415" s="9" t="s">
        <v>1200</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c r="A416" s="9" t="s">
        <v>1201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c r="A417" s="9" t="s">
        <v>1202</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c r="A418" s="9" t="s">
        <v>1203</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c r="A419" s="9" t="s">
        <v>1204</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c r="A420" s="9" t="s">
        <v>1205</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c r="A421" s="9" t="s">
        <v>1206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c r="A422" s="9" t="s">
        <v>1207</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c r="A423" s="9" t="s">
        <v>1208</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c r="A424" s="9" t="s">
        <v>1209</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c r="A425" s="9" t="s">
        <v>1210</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c r="A426" s="9" t="s">
        <v>1211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c r="A427" s="9" t="s">
        <v>1212</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c r="A428" s="9" t="s">
        <v>1213</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c r="A429" s="9" t="s">
        <v>1214</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c r="A430" s="9" t="s">
        <v>1215</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Turquía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c r="A431" s="9" t="s">
        <v>1216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Turquía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c r="A432" s="9" t="s">
        <v>1217</v>
      </c>
      <c r="B432" s="9">
        <f ca="1">+IF(A432=WORLDCUP!$BI$112,1,0)</f>
        <v>0</v>
      </c>
      <c r="C432" s="9" t="str">
        <f ca="1">+WORLDCUP!BD60</f>
        <v>Haití</v>
      </c>
      <c r="D432" s="9" t="str">
        <f ca="1">+WORLDCUP!BD67</f>
        <v>Austria</v>
      </c>
      <c r="E432" s="9" t="str">
        <f ca="1">+WORLDCUP!BD59</f>
        <v>Catar</v>
      </c>
      <c r="F432" s="9" t="str">
        <f ca="1">+WORLDCUP!BD61</f>
        <v>Turquía</v>
      </c>
      <c r="G432" s="9" t="str">
        <f ca="1">+WORLDCUP!BD58</f>
        <v>República Checa</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c r="A433" s="9" t="s">
        <v>1218</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c r="A434" s="9" t="s">
        <v>1219</v>
      </c>
      <c r="B434" s="9">
        <f ca="1">+IF(A434=WORLDCUP!$BI$112,1,0)</f>
        <v>0</v>
      </c>
      <c r="C434" s="9" t="str">
        <f ca="1">+WORLDCUP!BD60</f>
        <v>Haití</v>
      </c>
      <c r="D434" s="9" t="str">
        <f ca="1">+WORLDCUP!BD67</f>
        <v>Austria</v>
      </c>
      <c r="E434" s="9" t="str">
        <f ca="1">+WORLDCUP!BD59</f>
        <v>Catar</v>
      </c>
      <c r="F434" s="9" t="str">
        <f ca="1">+WORLDCUP!BD61</f>
        <v>Turquía</v>
      </c>
      <c r="G434" s="9" t="str">
        <f ca="1">+WORLDCUP!BD58</f>
        <v>República Checa</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c r="A435" s="9" t="s">
        <v>1220</v>
      </c>
      <c r="B435" s="9">
        <f ca="1">+IF(A435=WORLDCUP!$BI$112,1,0)</f>
        <v>0</v>
      </c>
      <c r="C435" s="9" t="str">
        <f ca="1">+WORLDCUP!BD60</f>
        <v>Haití</v>
      </c>
      <c r="D435" s="9" t="str">
        <f ca="1">+WORLDCUP!BD67</f>
        <v>Austria</v>
      </c>
      <c r="E435" s="9" t="str">
        <f ca="1">+WORLDCUP!BD59</f>
        <v>Catar</v>
      </c>
      <c r="F435" s="9" t="str">
        <f ca="1">+WORLDCUP!BD61</f>
        <v>Turquía</v>
      </c>
      <c r="G435" s="9" t="str">
        <f ca="1">+WORLDCUP!BD58</f>
        <v>República Checa</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c r="A436" s="9" t="s">
        <v>1221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c r="A437" s="9" t="s">
        <v>1222</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c r="A438" s="9" t="s">
        <v>1223</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c r="A439" s="9" t="s">
        <v>1224</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Turquía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c r="A440" s="9" t="s">
        <v>1225</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Turquía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c r="A441" s="9" t="s">
        <v>1226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Turquía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c r="A442" s="9" t="s">
        <v>1227</v>
      </c>
      <c r="B442" s="9">
        <f ca="1">+IF(A442=WORLDCUP!$BI$112,1,0)</f>
        <v>0</v>
      </c>
      <c r="C442" s="9" t="str">
        <f ca="1">+WORLDCUP!BD60</f>
        <v>Haití</v>
      </c>
      <c r="D442" s="9" t="str">
        <f ca="1">+WORLDCUP!BD67</f>
        <v>Austria</v>
      </c>
      <c r="E442" s="9" t="str">
        <f ca="1">+WORLDCUP!BD59</f>
        <v>Catar</v>
      </c>
      <c r="F442" s="9" t="str">
        <f ca="1">+WORLDCUP!BD61</f>
        <v>Turquía</v>
      </c>
      <c r="G442" s="9" t="str">
        <f ca="1">+WORLDCUP!BD58</f>
        <v>República Checa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c r="A443" s="9" t="s">
        <v>1228</v>
      </c>
      <c r="B443" s="9">
        <f ca="1">+IF(A443=WORLDCUP!$BI$112,1,0)</f>
        <v>0</v>
      </c>
      <c r="C443" s="9" t="str">
        <f ca="1">+WORLDCUP!BD60</f>
        <v>Haití</v>
      </c>
      <c r="D443" s="9" t="str">
        <f ca="1">+WORLDCUP!BD66</f>
        <v>Irak</v>
      </c>
      <c r="E443" s="9" t="str">
        <f ca="1">+WORLDCUP!BD59</f>
        <v>Catar</v>
      </c>
      <c r="F443" s="9" t="str">
        <f ca="1">+WORLDCUP!BD61</f>
        <v>Turquía</v>
      </c>
      <c r="G443" s="9" t="str">
        <f ca="1">+WORLDCUP!BD58</f>
        <v>República Checa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c r="A444" s="9" t="s">
        <v>1229</v>
      </c>
      <c r="B444" s="9">
        <f ca="1">+IF(A444=WORLDCUP!$BI$112,1,0)</f>
        <v>0</v>
      </c>
      <c r="C444" s="9" t="str">
        <f ca="1">+WORLDCUP!BD60</f>
        <v>Haití</v>
      </c>
      <c r="D444" s="9" t="str">
        <f ca="1">+WORLDCUP!BD67</f>
        <v>Austria</v>
      </c>
      <c r="E444" s="9" t="str">
        <f ca="1">+WORLDCUP!BD59</f>
        <v>Catar</v>
      </c>
      <c r="F444" s="9" t="str">
        <f ca="1">+WORLDCUP!BD61</f>
        <v>Turquía</v>
      </c>
      <c r="G444" s="9" t="str">
        <f ca="1">+WORLDCUP!BD58</f>
        <v>República Checa</v>
      </c>
      <c r="H444" s="9" t="str">
        <f ca="1">+WORLDCUP!BD63</f>
        <v>Suecia</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c r="A445" s="9" t="s">
        <v>1230</v>
      </c>
      <c r="B445" s="9">
        <f ca="1">+IF(A445=WORLDCUP!$BI$112,1,0)</f>
        <v>0</v>
      </c>
      <c r="C445" s="9" t="str">
        <f ca="1">+WORLDCUP!BD60</f>
        <v>Haití</v>
      </c>
      <c r="D445" s="9" t="str">
        <f ca="1">+WORLDCUP!BD67</f>
        <v>Austria</v>
      </c>
      <c r="E445" s="9" t="str">
        <f ca="1">+WORLDCUP!BD59</f>
        <v>Catar</v>
      </c>
      <c r="F445" s="9" t="str">
        <f ca="1">+WORLDCUP!BD61</f>
        <v>Turquía</v>
      </c>
      <c r="G445" s="9" t="str">
        <f ca="1">+WORLDCUP!BD58</f>
        <v>República Checa</v>
      </c>
      <c r="H445" s="9" t="str">
        <f ca="1">+WORLDCUP!BD63</f>
        <v>Suecia</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c r="A446" s="9" t="s">
        <v>1231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c r="A447" s="9" t="s">
        <v>1232</v>
      </c>
      <c r="B447" s="9">
        <f ca="1">+IF(A447=WORLDCUP!$BI$112,1,0)</f>
        <v>0</v>
      </c>
      <c r="C447" s="9" t="str">
        <f ca="1">+WORLDCUP!BD60</f>
        <v>Haití</v>
      </c>
      <c r="D447" s="9" t="str">
        <f ca="1">+WORLDCUP!BD67</f>
        <v>Austria</v>
      </c>
      <c r="E447" s="9" t="str">
        <f ca="1">+WORLDCUP!BD59</f>
        <v>Catar</v>
      </c>
      <c r="F447" s="9" t="str">
        <f ca="1">+WORLDCUP!BD61</f>
        <v>Turquía</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c r="A448" s="9" t="s">
        <v>1233</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c r="A449" s="9" t="s">
        <v>1234</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Turquía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c r="A450" s="9" t="s">
        <v>1235</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Turquía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c r="A451" s="9" t="s">
        <v>1236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Turquía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c r="A452" s="9" t="s">
        <v>1237</v>
      </c>
      <c r="B452" s="9">
        <f ca="1">+IF(A452=WORLDCUP!$BI$112,1,0)</f>
        <v>0</v>
      </c>
      <c r="C452" s="9" t="str">
        <f ca="1">+WORLDCUP!BD60</f>
        <v>Haití</v>
      </c>
      <c r="D452" s="9" t="str">
        <f ca="1">+WORLDCUP!BD64</f>
        <v>Irán</v>
      </c>
      <c r="E452" s="9" t="str">
        <f ca="1">+WORLDCUP!BD59</f>
        <v>Catar</v>
      </c>
      <c r="F452" s="9" t="str">
        <f ca="1">+WORLDCUP!BD61</f>
        <v>Turquía</v>
      </c>
      <c r="G452" s="9" t="str">
        <f ca="1">+WORLDCUP!BD58</f>
        <v>República Checa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c r="A453" s="9" t="s">
        <v>1238</v>
      </c>
      <c r="B453" s="9">
        <f ca="1">+IF(A453=WORLDCUP!$BI$112,1,0)</f>
        <v>0</v>
      </c>
      <c r="C453" s="9" t="str">
        <f ca="1">+WORLDCUP!BD60</f>
        <v>Haití</v>
      </c>
      <c r="D453" s="9" t="str">
        <f ca="1">+WORLDCUP!BD64</f>
        <v>Irán</v>
      </c>
      <c r="E453" s="9" t="str">
        <f ca="1">+WORLDCUP!BD59</f>
        <v>Catar</v>
      </c>
      <c r="F453" s="9" t="str">
        <f ca="1">+WORLDCUP!BD61</f>
        <v>Turquía</v>
      </c>
      <c r="G453" s="9" t="str">
        <f ca="1">+WORLDCUP!BD58</f>
        <v>República Checa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c r="A454" s="9" t="s">
        <v>1239</v>
      </c>
      <c r="B454" s="9">
        <f ca="1">+IF(A454=WORLDCUP!$BI$112,1,0)</f>
        <v>0</v>
      </c>
      <c r="C454" s="9" t="str">
        <f ca="1">+WORLDCUP!BD60</f>
        <v>Haití</v>
      </c>
      <c r="D454" s="9" t="str">
        <f ca="1">+WORLDCUP!BD64</f>
        <v>Irán</v>
      </c>
      <c r="E454" s="9" t="str">
        <f ca="1">+WORLDCUP!BD59</f>
        <v>Catar</v>
      </c>
      <c r="F454" s="9" t="str">
        <f ca="1">+WORLDCUP!BD61</f>
        <v>Turquía</v>
      </c>
      <c r="G454" s="9" t="str">
        <f ca="1">+WORLDCUP!BD58</f>
        <v>República Checa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c r="A455" s="9" t="s">
        <v>1240</v>
      </c>
      <c r="B455" s="9">
        <f ca="1">+IF(A455=WORLDCUP!$BI$112,1,0)</f>
        <v>0</v>
      </c>
      <c r="C455" s="9" t="str">
        <f ca="1">+WORLDCUP!BD60</f>
        <v>Haití</v>
      </c>
      <c r="D455" s="9" t="str">
        <f ca="1">+WORLDCUP!BD64</f>
        <v>Irán</v>
      </c>
      <c r="E455" s="9" t="str">
        <f ca="1">+WORLDCUP!BD59</f>
        <v>Catar</v>
      </c>
      <c r="F455" s="9" t="str">
        <f ca="1">+WORLDCUP!BD61</f>
        <v>Turquía</v>
      </c>
      <c r="G455" s="9" t="str">
        <f ca="1">+WORLDCUP!BD58</f>
        <v>República Checa</v>
      </c>
      <c r="H455" s="9" t="str">
        <f ca="1">+WORLDCUP!BD63</f>
        <v>Suecia</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c r="A456" s="9" t="s">
        <v>1241</v>
      </c>
      <c r="B456" s="9">
        <f ca="1">+IF(A456=WORLDCUP!$BI$112,1,0)</f>
        <v>0</v>
      </c>
      <c r="C456" s="9" t="str">
        <f ca="1">+WORLDCUP!BD60</f>
        <v>Haití</v>
      </c>
      <c r="D456" s="9" t="str">
        <f ca="1">+WORLDCUP!BD64</f>
        <v>Irán</v>
      </c>
      <c r="E456" s="9" t="str">
        <f ca="1">+WORLDCUP!BD59</f>
        <v>Catar</v>
      </c>
      <c r="F456" s="9" t="str">
        <f ca="1">+WORLDCUP!BD61</f>
        <v>Turquía</v>
      </c>
      <c r="G456" s="9" t="str">
        <f ca="1">+WORLDCUP!BD58</f>
        <v>República Checa</v>
      </c>
      <c r="H456" s="9" t="str">
        <f ca="1">+WORLDCUP!BD63</f>
        <v>Suecia</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c r="A457" s="9" t="s">
        <v>1242</v>
      </c>
      <c r="B457" s="9">
        <f ca="1">+IF(A457=WORLDCUP!$BI$112,1,0)</f>
        <v>0</v>
      </c>
      <c r="C457" s="9" t="str">
        <f ca="1">+WORLDCUP!BD60</f>
        <v>Haití</v>
      </c>
      <c r="D457" s="9" t="str">
        <f ca="1">+WORLDCUP!BD64</f>
        <v>Irán</v>
      </c>
      <c r="E457" s="9" t="str">
        <f ca="1">+WORLDCUP!BD59</f>
        <v>Catar</v>
      </c>
      <c r="F457" s="9" t="str">
        <f ca="1">+WORLDCUP!BD61</f>
        <v>Turquía</v>
      </c>
      <c r="G457" s="9" t="str">
        <f ca="1">+WORLDCUP!BD58</f>
        <v>República Checa</v>
      </c>
      <c r="H457" s="9" t="str">
        <f ca="1">+WORLDCUP!BD63</f>
        <v>Suecia</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c r="A458" s="9" t="s">
        <v>1243</v>
      </c>
      <c r="B458" s="9">
        <f ca="1">+IF(A458=WORLDCUP!$BI$112,1,0)</f>
        <v>0</v>
      </c>
      <c r="C458" s="9" t="str">
        <f ca="1">+WORLDCUP!BD60</f>
        <v>Haití</v>
      </c>
      <c r="D458" s="9" t="str">
        <f ca="1">+WORLDCUP!BD64</f>
        <v>Irán</v>
      </c>
      <c r="E458" s="9" t="str">
        <f ca="1">+WORLDCUP!BD59</f>
        <v>Catar</v>
      </c>
      <c r="F458" s="9" t="str">
        <f ca="1">+WORLDCUP!BD61</f>
        <v>Turquía</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c r="A459" s="9" t="s">
        <v>1244</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c r="A460" s="9" t="s">
        <v>1245</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c r="A461" s="9" t="s">
        <v>1246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Turquía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c r="A462" s="9" t="s">
        <v>1247</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c r="A463" s="9" t="s">
        <v>1248</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c r="A464" s="9" t="s">
        <v>1249</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Turquía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c r="A465" s="9" t="s">
        <v>1250</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Turquía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c r="A466" s="9" t="s">
        <v>1251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c r="A467" s="9" t="s">
        <v>1252</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c r="A468" s="9" t="s">
        <v>1253</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Turquía</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c r="A469" s="9" t="s">
        <v>1254</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Turquía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c r="A470" s="9" t="s">
        <v>1255</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Turquía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c r="A471" s="9" t="s">
        <v>1256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Turquía</v>
      </c>
      <c r="I471" s="9" t="str">
        <f ca="1">+WORLDCUP!BD62</f>
        <v>Costa de Marfil</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c r="A472" s="9" t="s">
        <v>1257</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c r="A473" s="9" t="s">
        <v>1258</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c r="A474" s="9" t="s">
        <v>1259</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c r="A475" s="9" t="s">
        <v>1260</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Turquía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c r="A476" s="9" t="s">
        <v>1261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Turquía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c r="A477" s="9" t="s">
        <v>1262</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Turquía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c r="A478" s="9" t="s">
        <v>1263</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c r="A479" s="9" t="s">
        <v>1264</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Turquía</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c r="A480" s="9" t="s">
        <v>1265</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Turquía</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c r="A481" s="9" t="s">
        <v>1266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Turquía</v>
      </c>
      <c r="I481" s="9" t="str">
        <f ca="1">+WORLDCUP!BD62</f>
        <v>Costa de Marfil</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c r="A482" s="9" t="s">
        <v>1267</v>
      </c>
      <c r="B482" s="9">
        <f ca="1">+IF(A482=WORLDCUP!$BI$112,1,0)</f>
        <v>0</v>
      </c>
      <c r="C482" s="9" t="str">
        <f ca="1">+WORLDCUP!BD60</f>
        <v>Haití</v>
      </c>
      <c r="D482" s="9" t="str">
        <f ca="1">+WORLDCUP!BD62</f>
        <v>Costa de Marfil</v>
      </c>
      <c r="E482" s="9" t="str">
        <f ca="1">+WORLDCUP!BD59</f>
        <v>Catar</v>
      </c>
      <c r="F482" s="9" t="str">
        <f ca="1">+WORLDCUP!BD61</f>
        <v>Turquía</v>
      </c>
      <c r="G482" s="9" t="str">
        <f ca="1">+WORLDCUP!BD58</f>
        <v>República Checa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c r="A483" s="9" t="s">
        <v>1268</v>
      </c>
      <c r="B483" s="9">
        <f ca="1">+IF(A483=WORLDCUP!$BI$112,1,0)</f>
        <v>0</v>
      </c>
      <c r="C483" s="9" t="str">
        <f ca="1">+WORLDCUP!BD60</f>
        <v>Haití</v>
      </c>
      <c r="D483" s="9" t="str">
        <f ca="1">+WORLDCUP!BD67</f>
        <v>Austria</v>
      </c>
      <c r="E483" s="9" t="str">
        <f ca="1">+WORLDCUP!BD59</f>
        <v>Catar</v>
      </c>
      <c r="F483" s="9" t="str">
        <f ca="1">+WORLDCUP!BD61</f>
        <v>Turquía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c r="A484" s="9" t="s">
        <v>1269</v>
      </c>
      <c r="B484" s="9">
        <f ca="1">+IF(A484=WORLDCUP!$BI$112,1,0)</f>
        <v>0</v>
      </c>
      <c r="C484" s="9" t="str">
        <f ca="1">+WORLDCUP!BD60</f>
        <v>Haití</v>
      </c>
      <c r="D484" s="9" t="str">
        <f ca="1">+WORLDCUP!BD67</f>
        <v>Austria</v>
      </c>
      <c r="E484" s="9" t="str">
        <f ca="1">+WORLDCUP!BD59</f>
        <v>Catar</v>
      </c>
      <c r="F484" s="9" t="str">
        <f ca="1">+WORLDCUP!BD61</f>
        <v>Turquía</v>
      </c>
      <c r="G484" s="9" t="str">
        <f ca="1">+WORLDCUP!BD58</f>
        <v>República Checa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c r="A485" s="9" t="s">
        <v>1270</v>
      </c>
      <c r="B485" s="9">
        <f ca="1">+IF(A485=WORLDCUP!$BI$112,1,0)</f>
        <v>0</v>
      </c>
      <c r="C485" s="9" t="str">
        <f ca="1">+WORLDCUP!BD60</f>
        <v>Haití</v>
      </c>
      <c r="D485" s="9" t="str">
        <f ca="1">+WORLDCUP!BD62</f>
        <v>Costa de Marfil</v>
      </c>
      <c r="E485" s="9" t="str">
        <f ca="1">+WORLDCUP!BD59</f>
        <v>Catar</v>
      </c>
      <c r="F485" s="9" t="str">
        <f ca="1">+WORLDCUP!BD61</f>
        <v>Turquía</v>
      </c>
      <c r="G485" s="9" t="str">
        <f ca="1">+WORLDCUP!BD58</f>
        <v>República Checa</v>
      </c>
      <c r="H485" s="9" t="str">
        <f ca="1">+WORLDCUP!BD63</f>
        <v>Suecia</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c r="A486" s="9" t="s">
        <v>1271</v>
      </c>
      <c r="B486" s="9">
        <f ca="1">+IF(A486=WORLDCUP!$BI$112,1,0)</f>
        <v>0</v>
      </c>
      <c r="C486" s="9" t="str">
        <f ca="1">+WORLDCUP!BD60</f>
        <v>Haití</v>
      </c>
      <c r="D486" s="9" t="str">
        <f ca="1">+WORLDCUP!BD62</f>
        <v>Costa de Marfil</v>
      </c>
      <c r="E486" s="9" t="str">
        <f ca="1">+WORLDCUP!BD59</f>
        <v>Catar</v>
      </c>
      <c r="F486" s="9" t="str">
        <f ca="1">+WORLDCUP!BD61</f>
        <v>Turquía</v>
      </c>
      <c r="G486" s="9" t="str">
        <f ca="1">+WORLDCUP!BD58</f>
        <v>República Checa</v>
      </c>
      <c r="H486" s="9" t="str">
        <f ca="1">+WORLDCUP!BD63</f>
        <v>Suecia</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c r="A487" s="9" t="s">
        <v>1272</v>
      </c>
      <c r="B487" s="9">
        <f ca="1">+IF(A487=WORLDCUP!$BI$112,1,0)</f>
        <v>0</v>
      </c>
      <c r="C487" s="9" t="str">
        <f ca="1">+WORLDCUP!BD60</f>
        <v>Haití</v>
      </c>
      <c r="D487" s="9" t="str">
        <f ca="1">+WORLDCUP!BD67</f>
        <v>Austria</v>
      </c>
      <c r="E487" s="9" t="str">
        <f ca="1">+WORLDCUP!BD59</f>
        <v>Catar</v>
      </c>
      <c r="F487" s="9" t="str">
        <f ca="1">+WORLDCUP!BD61</f>
        <v>Turquía</v>
      </c>
      <c r="G487" s="9" t="str">
        <f ca="1">+WORLDCUP!BD58</f>
        <v>República Checa</v>
      </c>
      <c r="H487" s="9" t="str">
        <f ca="1">+WORLDCUP!BD63</f>
        <v>Suecia</v>
      </c>
      <c r="I487" s="9" t="str">
        <f ca="1">+WORLDCUP!BD62</f>
        <v>Costa de Marfil</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c r="A488" s="9" t="s">
        <v>1273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c r="A489" s="9" t="s">
        <v>1274</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c r="A490" s="9" t="s">
        <v>1275</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c r="A491" s="9" t="s">
        <v>1276</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Turquía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c r="A492" s="9" t="s">
        <v>1277</v>
      </c>
      <c r="B492" s="9">
        <f ca="1">+IF(A492=WORLDCUP!$BI$112,1,0)</f>
        <v>0</v>
      </c>
      <c r="C492" s="9" t="str">
        <f ca="1">+WORLDCUP!BD60</f>
        <v>Haití</v>
      </c>
      <c r="D492" s="9" t="str">
        <f ca="1">+WORLDCUP!BD64</f>
        <v>Irán</v>
      </c>
      <c r="E492" s="9" t="str">
        <f ca="1">+WORLDCUP!BD59</f>
        <v>Catar</v>
      </c>
      <c r="F492" s="9" t="str">
        <f ca="1">+WORLDCUP!BD61</f>
        <v>Turquía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c r="A493" s="9" t="s">
        <v>1278</v>
      </c>
      <c r="B493" s="9">
        <f ca="1">+IF(A493=WORLDCUP!$BI$112,1,0)</f>
        <v>0</v>
      </c>
      <c r="C493" s="9" t="str">
        <f ca="1">+WORLDCUP!BD60</f>
        <v>Haití</v>
      </c>
      <c r="D493" s="9" t="str">
        <f ca="1">+WORLDCUP!BD64</f>
        <v>Irán</v>
      </c>
      <c r="E493" s="9" t="str">
        <f ca="1">+WORLDCUP!BD59</f>
        <v>Catar</v>
      </c>
      <c r="F493" s="9" t="str">
        <f ca="1">+WORLDCUP!BD61</f>
        <v>Turquía</v>
      </c>
      <c r="G493" s="9" t="str">
        <f ca="1">+WORLDCUP!BD58</f>
        <v>República Checa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c r="A494" s="9" t="s">
        <v>1279</v>
      </c>
      <c r="B494" s="9">
        <f ca="1">+IF(A494=WORLDCUP!$BI$112,1,0)</f>
        <v>0</v>
      </c>
      <c r="C494" s="9" t="str">
        <f ca="1">+WORLDCUP!BD60</f>
        <v>Haití</v>
      </c>
      <c r="D494" s="9" t="str">
        <f ca="1">+WORLDCUP!BD64</f>
        <v>Irán</v>
      </c>
      <c r="E494" s="9" t="str">
        <f ca="1">+WORLDCUP!BD59</f>
        <v>Catar</v>
      </c>
      <c r="F494" s="9" t="str">
        <f ca="1">+WORLDCUP!BD61</f>
        <v>Turquía</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c r="A495" s="9" t="s">
        <v>1280</v>
      </c>
      <c r="B495" s="9">
        <f ca="1">+IF(A495=WORLDCUP!$BI$112,1,0)</f>
        <v>0</v>
      </c>
      <c r="C495" s="9" t="str">
        <f ca="1">+WORLDCUP!BD60</f>
        <v>Haití</v>
      </c>
      <c r="D495" s="9" t="str">
        <f ca="1">+WORLDCUP!BD64</f>
        <v>Irán</v>
      </c>
      <c r="E495" s="9" t="str">
        <f ca="1">+WORLDCUP!BD59</f>
        <v>Catar</v>
      </c>
      <c r="F495" s="9" t="str">
        <f ca="1">+WORLDCUP!BD61</f>
        <v>Turquía</v>
      </c>
      <c r="G495" s="9" t="str">
        <f ca="1">+WORLDCUP!BD58</f>
        <v>República Checa</v>
      </c>
      <c r="H495" s="9" t="str">
        <f ca="1">+WORLDCUP!BD63</f>
        <v>Suecia</v>
      </c>
      <c r="I495" s="9" t="str">
        <f ca="1">+WORLDCUP!BD62</f>
        <v>Costa de Marfil</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c r="A496" s="9" t="s">
        <v>1281</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10"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77734375" defaultRowHeight="14.4"/>
  <cols>
    <col min="1" max="1" width="3" style="5" customWidth="1"/>
    <col min="2" max="2" width="15.77734375" style="5" customWidth="1"/>
    <col min="3" max="3" width="35.77734375" style="5" customWidth="1"/>
    <col min="4" max="4" width="0.44140625" style="5" customWidth="1"/>
    <col min="5" max="5" width="10.77734375" style="5" customWidth="1"/>
    <col min="6" max="6" width="0.44140625" style="5" customWidth="1"/>
    <col min="7" max="10" width="10.77734375" style="5" customWidth="1"/>
    <col min="11" max="11" width="4" style="5" customWidth="1"/>
    <col min="12" max="12" width="19.109375" style="5" customWidth="1"/>
    <col min="13" max="13" width="10.77734375" style="5" customWidth="1"/>
    <col min="14" max="17" width="15.77734375" style="5" customWidth="1"/>
    <col min="18" max="18" width="22.77734375" style="5" customWidth="1"/>
    <col min="20" max="22" width="10.77734375" style="16" customWidth="1"/>
    <col min="23" max="24" width="10.77734375" style="16" hidden="1" customWidth="1"/>
    <col min="25" max="25" width="10.77734375" style="16" customWidth="1"/>
    <col min="26" max="28" width="10.77734375" style="14" customWidth="1"/>
    <col min="29" max="149" width="10.77734375" style="5" customWidth="1"/>
    <col min="150" max="158" width="10.77734375" style="14" customWidth="1"/>
    <col min="159" max="161" width="10.77734375" style="5" customWidth="1"/>
    <col min="162" max="16384" width="10.77734375" style="5"/>
  </cols>
  <sheetData>
    <row r="1" spans="1:18">
      <c r="A1" s="223"/>
      <c r="B1" s="223"/>
      <c r="C1" s="223"/>
      <c r="D1" s="223"/>
      <c r="E1" s="225"/>
      <c r="F1" s="225"/>
      <c r="G1" s="225"/>
      <c r="H1" s="225"/>
      <c r="I1" s="225"/>
      <c r="J1" s="225"/>
      <c r="K1" s="224"/>
      <c r="L1" s="224"/>
      <c r="M1" s="224"/>
      <c r="N1" s="224"/>
      <c r="O1" s="224"/>
      <c r="P1" s="224"/>
      <c r="Q1" s="224"/>
    </row>
    <row r="2" spans="1:18">
      <c r="A2" s="223"/>
      <c r="B2" s="259" t="str">
        <f>Idiomas!D82</f>
        <v>Limitación de responsabilidad:</v>
      </c>
      <c r="C2" s="226"/>
      <c r="D2" s="226"/>
      <c r="E2" s="227"/>
      <c r="F2" s="227"/>
      <c r="G2" s="227"/>
      <c r="H2" s="227"/>
      <c r="I2" s="227"/>
      <c r="J2" s="227"/>
      <c r="K2" s="224"/>
      <c r="L2" s="259" t="s">
        <v>321</v>
      </c>
      <c r="M2" s="224"/>
      <c r="N2" s="224"/>
      <c r="O2" s="224"/>
      <c r="P2" s="224"/>
      <c r="Q2" s="224"/>
    </row>
    <row r="3" spans="1:18">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c r="A7" s="223"/>
      <c r="B7" s="683"/>
      <c r="C7" s="620"/>
      <c r="D7" s="620"/>
      <c r="E7" s="620"/>
      <c r="F7" s="620"/>
      <c r="G7" s="620"/>
      <c r="H7" s="620"/>
      <c r="I7" s="620"/>
      <c r="J7" s="684"/>
      <c r="K7" s="224"/>
      <c r="L7" s="335"/>
      <c r="M7" s="336"/>
      <c r="N7" s="336"/>
      <c r="O7" s="336"/>
      <c r="P7" s="336"/>
      <c r="Q7" s="336"/>
      <c r="R7" s="337"/>
    </row>
    <row r="8" spans="1:18">
      <c r="A8" s="223"/>
      <c r="B8" s="683"/>
      <c r="C8" s="620"/>
      <c r="D8" s="620"/>
      <c r="E8" s="620"/>
      <c r="F8" s="620"/>
      <c r="G8" s="620"/>
      <c r="H8" s="620"/>
      <c r="I8" s="620"/>
      <c r="J8" s="684"/>
      <c r="K8" s="224"/>
    </row>
    <row r="9" spans="1:18">
      <c r="A9" s="223"/>
      <c r="B9" s="683"/>
      <c r="C9" s="620"/>
      <c r="D9" s="620"/>
      <c r="E9" s="620"/>
      <c r="F9" s="620"/>
      <c r="G9" s="620"/>
      <c r="H9" s="620"/>
      <c r="I9" s="620"/>
      <c r="J9" s="684"/>
      <c r="K9" s="224"/>
      <c r="L9" s="259" t="s">
        <v>309</v>
      </c>
    </row>
    <row r="10" spans="1:18">
      <c r="A10" s="223"/>
      <c r="B10" s="683"/>
      <c r="C10" s="620"/>
      <c r="D10" s="620"/>
      <c r="E10" s="620"/>
      <c r="F10" s="620"/>
      <c r="G10" s="620"/>
      <c r="H10" s="620"/>
      <c r="I10" s="620"/>
      <c r="J10" s="684"/>
      <c r="K10" s="224"/>
      <c r="L10" s="331"/>
      <c r="M10" s="332"/>
      <c r="N10" s="332"/>
      <c r="O10" s="332"/>
      <c r="P10" s="332"/>
      <c r="Q10" s="332"/>
      <c r="R10" s="333"/>
    </row>
    <row r="11" spans="1:18">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c r="A17" s="223"/>
      <c r="B17" s="239"/>
      <c r="C17" s="240"/>
      <c r="D17" s="240"/>
      <c r="E17" s="240"/>
      <c r="F17" s="240"/>
      <c r="G17" s="240"/>
      <c r="H17" s="240"/>
      <c r="I17" s="240"/>
      <c r="J17" s="241"/>
      <c r="K17" s="224"/>
    </row>
    <row r="18" spans="1:158">
      <c r="A18" s="223"/>
      <c r="B18" s="223"/>
      <c r="C18" s="223"/>
      <c r="D18" s="223"/>
      <c r="E18" s="224"/>
      <c r="F18" s="224"/>
      <c r="G18" s="223"/>
      <c r="H18" s="223"/>
      <c r="I18" s="223"/>
      <c r="J18" s="343"/>
      <c r="K18" s="224"/>
      <c r="L18" s="259" t="s">
        <v>478</v>
      </c>
    </row>
    <row r="19" spans="1:158" ht="19.95" customHeight="1">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19.95" customHeight="1">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1.95" customHeight="1">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19.95" customHeight="1">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1.95" customHeight="1">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19.95" customHeight="1">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1.95" customHeight="1">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19.95" customHeight="1">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1.95" customHeight="1">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19.95" customHeight="1">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1.95" customHeight="1">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19.95" customHeight="1">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c r="A32" s="224"/>
      <c r="B32" s="248"/>
      <c r="C32" s="249"/>
      <c r="D32" s="249"/>
      <c r="E32" s="249"/>
      <c r="F32" s="249"/>
      <c r="G32" s="249"/>
      <c r="H32" s="249"/>
      <c r="I32" s="249"/>
      <c r="J32" s="250"/>
      <c r="K32" s="224"/>
      <c r="L32" s="256"/>
      <c r="M32" s="256"/>
      <c r="N32" s="256"/>
      <c r="O32" s="256"/>
      <c r="P32" s="256"/>
      <c r="Q32" s="256"/>
      <c r="R32" s="256"/>
    </row>
    <row r="33" spans="1:17" ht="16.05" customHeight="1" thickBot="1">
      <c r="A33" s="224"/>
      <c r="K33" s="224"/>
    </row>
    <row r="34" spans="1:17" ht="28.05" customHeight="1" thickBot="1">
      <c r="A34" s="224"/>
      <c r="B34" s="677" t="str">
        <f>HYPERLINK(Idiomas!D10,Idiomas!D9)</f>
        <v>▼ Descargar Excel Administrador Porra ▼</v>
      </c>
      <c r="C34" s="678"/>
      <c r="D34" s="678"/>
      <c r="E34" s="678"/>
      <c r="F34" s="678"/>
      <c r="G34" s="678"/>
      <c r="H34" s="678"/>
      <c r="I34" s="678"/>
      <c r="J34" s="679"/>
      <c r="K34" s="224"/>
      <c r="L34" s="282" t="s">
        <v>229</v>
      </c>
    </row>
    <row r="35" spans="1:17">
      <c r="A35" s="224"/>
      <c r="C35" s="224"/>
      <c r="D35" s="224"/>
      <c r="E35" s="224"/>
      <c r="F35" s="224"/>
      <c r="G35" s="224"/>
      <c r="H35" s="224"/>
      <c r="I35" s="224"/>
      <c r="J35" s="224"/>
      <c r="K35" s="224"/>
      <c r="L35" s="224"/>
      <c r="M35" s="223"/>
      <c r="N35" s="224"/>
      <c r="O35" s="224"/>
      <c r="P35" s="224"/>
      <c r="Q35" s="224"/>
    </row>
    <row r="36" spans="1:17" ht="28.05" customHeight="1">
      <c r="A36" s="224"/>
      <c r="D36" s="224"/>
      <c r="E36" s="224"/>
      <c r="F36" s="224"/>
      <c r="G36" s="224"/>
      <c r="H36" s="224"/>
      <c r="I36" s="224"/>
      <c r="J36" s="224"/>
      <c r="K36" s="224"/>
      <c r="L36" s="224"/>
      <c r="M36" s="223"/>
      <c r="N36" s="224"/>
      <c r="O36" s="224"/>
      <c r="P36" s="224"/>
      <c r="Q36" s="224"/>
    </row>
    <row r="37" spans="1:17" ht="15" customHeight="1">
      <c r="A37" s="224"/>
      <c r="K37" s="224"/>
      <c r="L37" s="224"/>
      <c r="M37" s="223"/>
      <c r="N37" s="224"/>
      <c r="O37" s="224"/>
      <c r="P37" s="224"/>
      <c r="Q37" s="224"/>
    </row>
    <row r="38" spans="1:17" ht="34.049999999999997" customHeight="1">
      <c r="A38" s="224"/>
      <c r="B38" s="224"/>
      <c r="D38" s="224"/>
      <c r="E38" s="224"/>
      <c r="F38" s="224"/>
      <c r="G38" s="224"/>
      <c r="H38" s="224"/>
      <c r="I38" s="224"/>
      <c r="J38" s="224"/>
      <c r="K38" s="224"/>
      <c r="M38" s="224"/>
      <c r="N38" s="224"/>
      <c r="O38" s="224"/>
      <c r="P38" s="224"/>
      <c r="Q38" s="224"/>
    </row>
    <row r="39" spans="1:17">
      <c r="A39" s="224"/>
      <c r="B39" s="224"/>
      <c r="C39" s="224"/>
      <c r="D39" s="224"/>
      <c r="E39" s="224"/>
      <c r="F39" s="224"/>
      <c r="G39" s="224"/>
      <c r="H39" s="224"/>
      <c r="I39" s="224"/>
      <c r="J39" s="224"/>
      <c r="K39" s="224"/>
      <c r="L39" s="224"/>
      <c r="M39" s="224"/>
      <c r="N39" s="224"/>
      <c r="O39" s="224"/>
      <c r="P39" s="224"/>
      <c r="Q39" s="224"/>
    </row>
    <row r="40" spans="1:17">
      <c r="A40" s="224"/>
      <c r="B40" s="224"/>
      <c r="C40" s="224"/>
      <c r="D40" s="224"/>
      <c r="E40" s="224"/>
      <c r="F40" s="224"/>
      <c r="G40" s="224"/>
      <c r="H40" s="224"/>
      <c r="I40" s="224"/>
      <c r="J40" s="224"/>
      <c r="K40" s="224"/>
      <c r="L40" s="224"/>
      <c r="M40" s="224"/>
      <c r="N40" s="224"/>
      <c r="O40" s="224"/>
      <c r="P40" s="224"/>
      <c r="Q40" s="224"/>
    </row>
    <row r="41" spans="1:17">
      <c r="A41" s="224"/>
      <c r="B41" s="224"/>
      <c r="C41" s="224"/>
      <c r="D41" s="224"/>
      <c r="E41" s="224"/>
      <c r="F41" s="224"/>
      <c r="G41" s="224"/>
      <c r="H41" s="224"/>
      <c r="I41" s="224"/>
      <c r="J41" s="224"/>
      <c r="K41" s="224"/>
      <c r="L41" s="224"/>
      <c r="M41" s="224"/>
      <c r="N41" s="224"/>
      <c r="O41" s="224"/>
      <c r="P41" s="224"/>
      <c r="Q41" s="224"/>
    </row>
    <row r="45" spans="1:17">
      <c r="B45" s="224"/>
    </row>
    <row r="83" spans="12:28">
      <c r="L83" s="3"/>
      <c r="M83" s="3"/>
      <c r="N83" s="3"/>
      <c r="O83" s="570"/>
      <c r="P83" s="6"/>
      <c r="Q83" s="6"/>
      <c r="R83" s="6"/>
      <c r="U83" s="9"/>
      <c r="V83" s="9"/>
      <c r="W83" s="9"/>
      <c r="X83" s="9"/>
      <c r="Y83" s="9"/>
      <c r="Z83" s="6"/>
      <c r="AA83" s="6"/>
      <c r="AB83" s="6"/>
    </row>
    <row r="84" spans="12:28" ht="60" customHeight="1">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c r="L88" s="3"/>
      <c r="M88" s="3"/>
      <c r="N88" s="3"/>
      <c r="O88" s="6"/>
      <c r="P88" s="6"/>
      <c r="Q88" s="6"/>
      <c r="R88" s="6"/>
      <c r="T88" s="16" t="s">
        <v>1303</v>
      </c>
      <c r="U88" s="9" t="s">
        <v>1304</v>
      </c>
      <c r="V88" s="9" t="s">
        <v>1305</v>
      </c>
      <c r="W88" s="9" t="s">
        <v>1306</v>
      </c>
      <c r="X88" s="571" t="e">
        <v>#VALUE!</v>
      </c>
      <c r="Y88" s="9">
        <v>4</v>
      </c>
      <c r="Z88" s="6"/>
      <c r="AA88" s="6"/>
      <c r="AB88" s="6"/>
    </row>
    <row r="89" spans="12:28" ht="16.05" customHeight="1">
      <c r="L89" s="3"/>
      <c r="M89" s="3"/>
      <c r="N89" s="3"/>
      <c r="O89" s="6"/>
      <c r="P89" s="6"/>
      <c r="Q89" s="6"/>
      <c r="R89" s="6"/>
      <c r="T89" s="16" t="s">
        <v>1307</v>
      </c>
      <c r="U89" s="9" t="s">
        <v>1308</v>
      </c>
      <c r="V89" s="9" t="s">
        <v>1308</v>
      </c>
      <c r="W89" s="572" t="s">
        <v>1309</v>
      </c>
      <c r="X89" s="571" t="e">
        <v>#VALUE!</v>
      </c>
      <c r="Y89" s="9">
        <v>-4</v>
      </c>
      <c r="Z89" s="6"/>
      <c r="AA89" s="6"/>
      <c r="AB89" s="6"/>
    </row>
    <row r="90" spans="12:28" ht="16.05" customHeight="1">
      <c r="L90" s="3"/>
      <c r="M90" s="3"/>
      <c r="N90" s="3"/>
      <c r="O90" s="6"/>
      <c r="P90" s="6"/>
      <c r="Q90" s="6"/>
      <c r="R90" s="6"/>
      <c r="T90" s="16" t="s">
        <v>1310</v>
      </c>
      <c r="U90" s="9" t="s">
        <v>1311</v>
      </c>
      <c r="V90" s="9" t="s">
        <v>1312</v>
      </c>
      <c r="W90" s="573" t="s">
        <v>1313</v>
      </c>
      <c r="X90" s="571" t="e">
        <v>#VALUE!</v>
      </c>
      <c r="Y90" s="9">
        <v>-3</v>
      </c>
      <c r="Z90" s="6"/>
      <c r="AA90" s="6"/>
      <c r="AB90" s="6"/>
    </row>
    <row r="91" spans="12:28">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05" customHeight="1">
      <c r="L92" s="3"/>
      <c r="M92" s="3"/>
      <c r="N92" s="397" t="s">
        <v>1294</v>
      </c>
      <c r="O92" s="397" t="s">
        <v>1295</v>
      </c>
      <c r="P92" s="397" t="s">
        <v>1315</v>
      </c>
      <c r="Q92" s="397" t="s">
        <v>1316</v>
      </c>
      <c r="R92" s="397" t="s">
        <v>1297</v>
      </c>
      <c r="Z92" s="6"/>
      <c r="AA92" s="6"/>
      <c r="AB92" s="6"/>
    </row>
    <row r="93" spans="12:28" ht="25.05" customHeight="1">
      <c r="L93" s="3"/>
      <c r="M93" s="9" t="s">
        <v>1314</v>
      </c>
      <c r="N93" s="574" t="s">
        <v>1317</v>
      </c>
      <c r="O93" s="574" t="s">
        <v>1318</v>
      </c>
      <c r="P93" s="574"/>
      <c r="Q93" s="574"/>
      <c r="R93" s="574"/>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1319</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9" priority="1">
      <formula>$J$18=1</formula>
    </cfRule>
  </conditionalFormatting>
  <conditionalFormatting sqref="M84:R84 M87">
    <cfRule type="expression" dxfId="8" priority="2">
      <formula>$J$18=1</formula>
    </cfRule>
  </conditionalFormatting>
  <conditionalFormatting sqref="N92:R93">
    <cfRule type="expression" dxfId="7"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4140625" defaultRowHeight="15" customHeight="1"/>
  <cols>
    <col min="1" max="1" width="6.77734375" style="6" bestFit="1" customWidth="1"/>
    <col min="2" max="2" width="16.77734375" style="6" customWidth="1"/>
    <col min="3" max="3" width="11.44140625" style="6" customWidth="1"/>
    <col min="4" max="4" width="8.77734375" style="6" bestFit="1" customWidth="1"/>
    <col min="5" max="5" width="11.33203125" style="6" customWidth="1"/>
    <col min="6" max="6" width="15.33203125" style="6" customWidth="1"/>
    <col min="7" max="7" width="4.109375" style="6" bestFit="1" customWidth="1"/>
    <col min="8" max="8" width="20.44140625" style="6" customWidth="1"/>
    <col min="9" max="9" width="13" style="6" customWidth="1"/>
    <col min="10" max="10" width="12" style="6" customWidth="1"/>
    <col min="11" max="11" width="20.44140625" style="6" customWidth="1"/>
    <col min="12" max="13" width="0" style="6" hidden="1"/>
    <col min="14" max="14" width="4.44140625" style="602" customWidth="1"/>
    <col min="15" max="17" width="20.44140625" style="603" customWidth="1"/>
    <col min="18" max="16384" width="20.44140625" style="603"/>
  </cols>
  <sheetData>
    <row r="1" spans="1:18 8826:8826" ht="15" customHeight="1">
      <c r="A1" s="397" t="s">
        <v>1402</v>
      </c>
      <c r="B1" s="397" t="s">
        <v>15</v>
      </c>
      <c r="C1" s="397" t="s">
        <v>327</v>
      </c>
      <c r="D1" s="397" t="s">
        <v>1403</v>
      </c>
      <c r="E1" s="9"/>
      <c r="F1" s="9" t="s">
        <v>1404</v>
      </c>
      <c r="G1" s="9"/>
      <c r="H1" s="397"/>
      <c r="I1" s="397"/>
      <c r="J1" s="9"/>
      <c r="K1" s="9" t="s">
        <v>402</v>
      </c>
      <c r="L1" s="9" t="s">
        <v>1405</v>
      </c>
      <c r="M1" s="9"/>
    </row>
    <row r="2" spans="1:18 8826:8826" ht="15" customHeight="1">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77734375" defaultRowHeight="14.4"/>
  <cols>
    <col min="1" max="1" width="13.109375" style="14" bestFit="1" customWidth="1"/>
    <col min="2" max="2" width="5" style="14" customWidth="1"/>
    <col min="3" max="3" width="12.44140625" style="14" customWidth="1"/>
    <col min="4" max="4" width="13.109375" style="14" customWidth="1"/>
    <col min="5" max="5" width="12.33203125" style="14" bestFit="1" customWidth="1"/>
    <col min="6" max="6" width="10.77734375" style="14" customWidth="1"/>
    <col min="7" max="7" width="12.33203125" style="14" bestFit="1" customWidth="1"/>
    <col min="8" max="9" width="10.77734375" style="14" customWidth="1"/>
    <col min="10" max="10" width="13.44140625" style="14" customWidth="1"/>
    <col min="11" max="15" width="10.77734375" style="14" customWidth="1"/>
    <col min="16" max="16" width="4.77734375" style="14" bestFit="1" customWidth="1"/>
    <col min="17" max="17" width="17.77734375" style="14" bestFit="1" customWidth="1"/>
    <col min="18" max="18" width="11.109375" style="14" bestFit="1" customWidth="1"/>
    <col min="19" max="19" width="11" style="14" bestFit="1" customWidth="1"/>
    <col min="20" max="20" width="10.33203125" style="14" bestFit="1" customWidth="1"/>
    <col min="21" max="21" width="10.44140625" style="14" customWidth="1"/>
    <col min="22" max="22" width="10.33203125" style="14" customWidth="1"/>
    <col min="23" max="23" width="3.33203125" style="14" bestFit="1" customWidth="1"/>
    <col min="24" max="26" width="10.77734375" style="14" customWidth="1"/>
    <col min="27" max="27" width="6.44140625" style="14" customWidth="1"/>
    <col min="28" max="33" width="10.77734375" style="14" customWidth="1"/>
    <col min="34" max="34" width="3.33203125" style="14" bestFit="1" customWidth="1"/>
    <col min="35" max="37" width="10.77734375" style="14" customWidth="1"/>
    <col min="38" max="16384" width="10.77734375" style="14"/>
  </cols>
  <sheetData>
    <row r="1" spans="1:35">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05" customHeight="1">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05" customHeight="1">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05" customHeight="1">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05" customHeight="1">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05" customHeight="1">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05" customHeight="1">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05" customHeight="1">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05" customHeight="1">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05" customHeight="1">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05" customHeight="1">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05" customHeight="1">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05" customHeight="1">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05" customHeight="1">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05" customHeight="1">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05" customHeight="1">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05" customHeight="1">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05" customHeight="1">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05" customHeight="1">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05" customHeight="1">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05" customHeight="1">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05" customHeight="1">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05" customHeight="1">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05" customHeight="1">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05" customHeight="1">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05" customHeight="1">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05" customHeight="1">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05" customHeight="1">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05" customHeight="1">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05" customHeight="1">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05" customHeight="1">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05" customHeight="1">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05" customHeight="1">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05" customHeight="1">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05" customHeight="1">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05" customHeight="1">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05" customHeight="1">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05" customHeight="1">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05" customHeight="1">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05" customHeight="1">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05" customHeight="1">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05" customHeight="1">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05" customHeight="1">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c r="A87" s="581">
        <v>46196.916666666657</v>
      </c>
      <c r="B87" s="16"/>
      <c r="C87" s="581">
        <f t="shared" ca="1" si="35"/>
        <v>46196.916666666657</v>
      </c>
      <c r="D87" s="608"/>
    </row>
    <row r="88" spans="1:35">
      <c r="A88" s="581">
        <v>46200.8125</v>
      </c>
      <c r="B88" s="16"/>
      <c r="C88" s="581">
        <f t="shared" ca="1" si="35"/>
        <v>46200.8125</v>
      </c>
      <c r="D88" s="608"/>
    </row>
    <row r="89" spans="1:35">
      <c r="A89" s="581">
        <v>46200.8125</v>
      </c>
      <c r="B89" s="16"/>
      <c r="C89" s="581">
        <f t="shared" ca="1" si="35"/>
        <v>46200.8125</v>
      </c>
      <c r="D89" s="608"/>
    </row>
    <row r="90" spans="1:35">
      <c r="A90" s="16"/>
      <c r="B90" s="16"/>
      <c r="C90" s="581"/>
    </row>
    <row r="91" spans="1:35">
      <c r="A91" s="9" t="s">
        <v>1509</v>
      </c>
      <c r="B91" s="16"/>
      <c r="C91" s="581"/>
    </row>
    <row r="92" spans="1:35">
      <c r="A92" s="581">
        <v>46190.666666666657</v>
      </c>
      <c r="B92" s="16"/>
      <c r="C92" s="581">
        <f t="shared" ref="C92:C97" ca="1" si="36">A92+INDEX($V$3:$V$86,MATCH($C$3,$P$3:$P$86,0))*INDEX($W$3:$W$86,MATCH($C$3,$P$3:$P$86,0))</f>
        <v>46190.666666666657</v>
      </c>
      <c r="D92" s="608"/>
    </row>
    <row r="93" spans="1:35">
      <c r="A93" s="581">
        <v>46190.791666666657</v>
      </c>
      <c r="B93" s="16"/>
      <c r="C93" s="581">
        <f t="shared" ca="1" si="36"/>
        <v>46190.791666666657</v>
      </c>
      <c r="D93" s="608"/>
    </row>
    <row r="94" spans="1:35">
      <c r="A94" s="581">
        <v>46196.666666666657</v>
      </c>
      <c r="B94" s="16"/>
      <c r="C94" s="581">
        <f t="shared" ca="1" si="36"/>
        <v>46196.666666666657</v>
      </c>
      <c r="D94" s="608"/>
    </row>
    <row r="95" spans="1:35">
      <c r="A95" s="581">
        <v>46196.791666666657</v>
      </c>
      <c r="B95" s="16"/>
      <c r="C95" s="581">
        <f t="shared" ca="1" si="36"/>
        <v>46196.791666666657</v>
      </c>
      <c r="D95" s="608"/>
    </row>
    <row r="96" spans="1:35">
      <c r="A96" s="581">
        <v>46200.708333333343</v>
      </c>
      <c r="B96" s="16"/>
      <c r="C96" s="581">
        <f t="shared" ca="1" si="36"/>
        <v>46200.708333333343</v>
      </c>
      <c r="D96" s="608"/>
    </row>
    <row r="97" spans="1:10">
      <c r="A97" s="581">
        <v>46200.708333333343</v>
      </c>
      <c r="B97" s="16"/>
      <c r="C97" s="581">
        <f t="shared" ca="1" si="36"/>
        <v>46200.708333333343</v>
      </c>
      <c r="D97" s="608"/>
    </row>
    <row r="98" spans="1:10">
      <c r="A98" s="16"/>
      <c r="B98" s="16"/>
      <c r="C98" s="16"/>
    </row>
    <row r="99" spans="1:10">
      <c r="A99" s="16"/>
      <c r="B99" s="16"/>
      <c r="C99" s="16"/>
    </row>
    <row r="100" spans="1:10">
      <c r="A100" s="612" t="s">
        <v>1510</v>
      </c>
      <c r="B100" s="16"/>
      <c r="C100" s="581"/>
      <c r="F100" s="16" t="s">
        <v>1511</v>
      </c>
      <c r="G100" s="16"/>
      <c r="I100" s="16" t="s">
        <v>1512</v>
      </c>
      <c r="J100" s="16"/>
    </row>
    <row r="101" spans="1:10">
      <c r="A101" s="581">
        <v>46201.625</v>
      </c>
      <c r="B101" s="16"/>
      <c r="C101" s="581">
        <f t="shared" ref="C101:C116" ca="1" si="37">A101+INDEX($V$3:$V$86,MATCH($C$3,$P$3:$P$86,0))*INDEX($W$3:$W$86,MATCH($C$3,$P$3:$P$86,0))</f>
        <v>46201.625</v>
      </c>
      <c r="F101" s="16">
        <v>73</v>
      </c>
      <c r="G101" s="581">
        <v>46201.625</v>
      </c>
      <c r="I101" s="16">
        <v>73</v>
      </c>
      <c r="J101" s="581">
        <v>46201.625</v>
      </c>
    </row>
    <row r="102" spans="1:10">
      <c r="A102" s="581">
        <v>46202.541666666657</v>
      </c>
      <c r="B102" s="16"/>
      <c r="C102" s="581">
        <f t="shared" ca="1" si="37"/>
        <v>46202.541666666657</v>
      </c>
      <c r="F102" s="16">
        <v>76</v>
      </c>
      <c r="G102" s="581">
        <v>46202.541666666657</v>
      </c>
      <c r="I102" s="16">
        <v>74</v>
      </c>
      <c r="J102" s="581">
        <v>46202.6875</v>
      </c>
    </row>
    <row r="103" spans="1:10">
      <c r="A103" s="581">
        <v>46202.6875</v>
      </c>
      <c r="B103" s="16"/>
      <c r="C103" s="581">
        <f t="shared" ca="1" si="37"/>
        <v>46202.6875</v>
      </c>
      <c r="F103" s="16">
        <v>74</v>
      </c>
      <c r="G103" s="581">
        <v>46202.6875</v>
      </c>
      <c r="I103" s="16">
        <v>75</v>
      </c>
      <c r="J103" s="581">
        <v>46202.875</v>
      </c>
    </row>
    <row r="104" spans="1:10">
      <c r="A104" s="581">
        <v>46202.875</v>
      </c>
      <c r="B104" s="16"/>
      <c r="C104" s="581">
        <f t="shared" ca="1" si="37"/>
        <v>46202.875</v>
      </c>
      <c r="F104" s="16">
        <v>75</v>
      </c>
      <c r="G104" s="581">
        <v>46202.875</v>
      </c>
      <c r="I104" s="16">
        <v>76</v>
      </c>
      <c r="J104" s="581">
        <v>46202.541666666657</v>
      </c>
    </row>
    <row r="105" spans="1:10">
      <c r="A105" s="581">
        <v>46203.541666666657</v>
      </c>
      <c r="B105" s="16"/>
      <c r="C105" s="581">
        <f t="shared" ca="1" si="37"/>
        <v>46203.541666666657</v>
      </c>
      <c r="F105" s="16">
        <v>78</v>
      </c>
      <c r="G105" s="581">
        <v>46203.541666666657</v>
      </c>
      <c r="I105" s="16">
        <v>77</v>
      </c>
      <c r="J105" s="581">
        <v>46203.708333333343</v>
      </c>
    </row>
    <row r="106" spans="1:10">
      <c r="A106" s="581">
        <v>46203.708333333343</v>
      </c>
      <c r="B106" s="16"/>
      <c r="C106" s="581">
        <f t="shared" ca="1" si="37"/>
        <v>46203.708333333343</v>
      </c>
      <c r="F106" s="16">
        <v>77</v>
      </c>
      <c r="G106" s="581">
        <v>46203.708333333343</v>
      </c>
      <c r="I106" s="16">
        <v>78</v>
      </c>
      <c r="J106" s="581">
        <v>46203.541666666657</v>
      </c>
    </row>
    <row r="107" spans="1:10">
      <c r="A107" s="581">
        <v>46203.875</v>
      </c>
      <c r="B107" s="16"/>
      <c r="C107" s="581">
        <f t="shared" ca="1" si="37"/>
        <v>46203.875</v>
      </c>
      <c r="F107" s="16">
        <v>79</v>
      </c>
      <c r="G107" s="581">
        <v>46203.875</v>
      </c>
      <c r="I107" s="16">
        <v>79</v>
      </c>
      <c r="J107" s="581">
        <v>46203.875</v>
      </c>
    </row>
    <row r="108" spans="1:10">
      <c r="A108" s="581">
        <v>46204.5</v>
      </c>
      <c r="B108" s="16"/>
      <c r="C108" s="581">
        <f t="shared" ca="1" si="37"/>
        <v>46204.5</v>
      </c>
      <c r="F108" s="16">
        <v>80</v>
      </c>
      <c r="G108" s="581">
        <v>46204.5</v>
      </c>
      <c r="I108" s="16">
        <v>80</v>
      </c>
      <c r="J108" s="581">
        <v>46204.5</v>
      </c>
    </row>
    <row r="109" spans="1:10">
      <c r="A109" s="581">
        <v>46204.666666666657</v>
      </c>
      <c r="B109" s="16"/>
      <c r="C109" s="581">
        <f t="shared" ca="1" si="37"/>
        <v>46204.666666666657</v>
      </c>
      <c r="F109" s="16">
        <v>82</v>
      </c>
      <c r="G109" s="581">
        <v>46204.666666666657</v>
      </c>
      <c r="I109" s="16">
        <v>81</v>
      </c>
      <c r="J109" s="581">
        <v>46204.833333333343</v>
      </c>
    </row>
    <row r="110" spans="1:10">
      <c r="A110" s="581">
        <v>46204.833333333343</v>
      </c>
      <c r="B110" s="16"/>
      <c r="C110" s="581">
        <f t="shared" ca="1" si="37"/>
        <v>46204.833333333343</v>
      </c>
      <c r="F110" s="16">
        <v>81</v>
      </c>
      <c r="G110" s="581">
        <v>46204.833333333343</v>
      </c>
      <c r="I110" s="16">
        <v>82</v>
      </c>
      <c r="J110" s="581">
        <v>46204.666666666657</v>
      </c>
    </row>
    <row r="111" spans="1:10">
      <c r="A111" s="581">
        <v>46205.625</v>
      </c>
      <c r="B111" s="16"/>
      <c r="C111" s="581">
        <f t="shared" ca="1" si="37"/>
        <v>46205.625</v>
      </c>
      <c r="F111" s="16">
        <v>84</v>
      </c>
      <c r="G111" s="581">
        <v>46205.625</v>
      </c>
      <c r="I111" s="16">
        <v>83</v>
      </c>
      <c r="J111" s="581">
        <v>46205.791666666657</v>
      </c>
    </row>
    <row r="112" spans="1:10">
      <c r="A112" s="581">
        <v>46205.791666666657</v>
      </c>
      <c r="B112" s="16"/>
      <c r="C112" s="581">
        <f t="shared" ca="1" si="37"/>
        <v>46205.791666666657</v>
      </c>
      <c r="F112" s="16">
        <v>83</v>
      </c>
      <c r="G112" s="581">
        <v>46205.791666666657</v>
      </c>
      <c r="I112" s="16">
        <v>84</v>
      </c>
      <c r="J112" s="581">
        <v>46205.625</v>
      </c>
    </row>
    <row r="113" spans="1:10">
      <c r="A113" s="581">
        <v>46205.958333333343</v>
      </c>
      <c r="B113" s="16"/>
      <c r="C113" s="581">
        <f t="shared" ca="1" si="37"/>
        <v>46205.958333333343</v>
      </c>
      <c r="F113" s="16">
        <v>85</v>
      </c>
      <c r="G113" s="581">
        <v>46205.958333333343</v>
      </c>
      <c r="I113" s="16">
        <v>85</v>
      </c>
      <c r="J113" s="581">
        <v>46205.958333333343</v>
      </c>
    </row>
    <row r="114" spans="1:10">
      <c r="A114" s="581">
        <v>46206.583333333343</v>
      </c>
      <c r="B114" s="16"/>
      <c r="C114" s="581">
        <f t="shared" ca="1" si="37"/>
        <v>46206.583333333343</v>
      </c>
      <c r="F114" s="16">
        <v>88</v>
      </c>
      <c r="G114" s="581">
        <v>46206.583333333343</v>
      </c>
      <c r="I114" s="16">
        <v>86</v>
      </c>
      <c r="J114" s="581">
        <v>46206.75</v>
      </c>
    </row>
    <row r="115" spans="1:10">
      <c r="A115" s="581">
        <v>46206.75</v>
      </c>
      <c r="B115" s="16"/>
      <c r="C115" s="581">
        <f t="shared" ca="1" si="37"/>
        <v>46206.75</v>
      </c>
      <c r="F115" s="16">
        <v>86</v>
      </c>
      <c r="G115" s="581">
        <v>46206.75</v>
      </c>
      <c r="I115" s="16">
        <v>87</v>
      </c>
      <c r="J115" s="581">
        <v>46206.895833333343</v>
      </c>
    </row>
    <row r="116" spans="1:10">
      <c r="A116" s="581">
        <v>46206.895833333343</v>
      </c>
      <c r="B116" s="16"/>
      <c r="C116" s="581">
        <f t="shared" ca="1" si="37"/>
        <v>46206.895833333343</v>
      </c>
      <c r="F116" s="16">
        <v>87</v>
      </c>
      <c r="G116" s="581">
        <v>46206.895833333343</v>
      </c>
      <c r="I116" s="16">
        <v>88</v>
      </c>
      <c r="J116" s="581">
        <v>46206.583333333343</v>
      </c>
    </row>
    <row r="117" spans="1:10">
      <c r="A117" s="16"/>
      <c r="B117" s="16"/>
      <c r="C117" s="581"/>
      <c r="F117" s="16"/>
      <c r="G117" s="581"/>
      <c r="I117" s="16"/>
      <c r="J117" s="16"/>
    </row>
    <row r="118" spans="1:10">
      <c r="A118" s="16"/>
      <c r="B118" s="16"/>
      <c r="C118" s="581"/>
      <c r="F118" s="16"/>
      <c r="G118" s="581"/>
      <c r="I118" s="16"/>
      <c r="J118" s="16"/>
    </row>
    <row r="119" spans="1:10">
      <c r="A119" s="612" t="s">
        <v>1513</v>
      </c>
      <c r="B119" s="16"/>
      <c r="C119" s="16"/>
      <c r="F119" s="16"/>
      <c r="G119" s="581"/>
      <c r="I119" s="16"/>
      <c r="J119" s="16"/>
    </row>
    <row r="120" spans="1:10">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c r="A121" s="581">
        <v>46207.708333333343</v>
      </c>
      <c r="B121" s="16"/>
      <c r="C121" s="581">
        <f t="shared" ca="1" si="38"/>
        <v>46207.708333333343</v>
      </c>
      <c r="D121" s="608"/>
      <c r="F121" s="16">
        <v>89</v>
      </c>
      <c r="G121" s="581">
        <v>46207.708333333343</v>
      </c>
      <c r="I121" s="16">
        <v>90</v>
      </c>
      <c r="J121" s="581">
        <v>46207.541666666657</v>
      </c>
    </row>
    <row r="122" spans="1:10">
      <c r="A122" s="581">
        <v>46208.666666666657</v>
      </c>
      <c r="B122" s="16"/>
      <c r="C122" s="581">
        <f t="shared" ca="1" si="38"/>
        <v>46208.666666666657</v>
      </c>
      <c r="D122" s="608"/>
      <c r="F122" s="16">
        <v>91</v>
      </c>
      <c r="G122" s="581">
        <v>46208.666666666657</v>
      </c>
      <c r="I122" s="16">
        <v>91</v>
      </c>
      <c r="J122" s="581">
        <v>46208.666666666657</v>
      </c>
    </row>
    <row r="123" spans="1:10">
      <c r="A123" s="581">
        <v>46208.833333333343</v>
      </c>
      <c r="B123" s="16"/>
      <c r="C123" s="581">
        <f t="shared" ca="1" si="38"/>
        <v>46208.833333333343</v>
      </c>
      <c r="D123" s="608"/>
      <c r="F123" s="16">
        <v>92</v>
      </c>
      <c r="G123" s="581">
        <v>46208.833333333343</v>
      </c>
      <c r="I123" s="16">
        <v>92</v>
      </c>
      <c r="J123" s="581">
        <v>46208.833333333343</v>
      </c>
    </row>
    <row r="124" spans="1:10">
      <c r="A124" s="581">
        <v>46209.625</v>
      </c>
      <c r="B124" s="16"/>
      <c r="C124" s="581">
        <f t="shared" ca="1" si="38"/>
        <v>46209.625</v>
      </c>
      <c r="D124" s="608"/>
      <c r="F124" s="16">
        <v>93</v>
      </c>
      <c r="G124" s="581">
        <v>46209.625</v>
      </c>
      <c r="I124" s="16">
        <v>93</v>
      </c>
      <c r="J124" s="581">
        <v>46209.625</v>
      </c>
    </row>
    <row r="125" spans="1:10">
      <c r="A125" s="581">
        <v>46209.833333333343</v>
      </c>
      <c r="B125" s="16"/>
      <c r="C125" s="581">
        <f t="shared" ca="1" si="38"/>
        <v>46209.833333333343</v>
      </c>
      <c r="D125" s="608"/>
      <c r="F125" s="16">
        <v>94</v>
      </c>
      <c r="G125" s="581">
        <v>46209.833333333343</v>
      </c>
      <c r="I125" s="16">
        <v>94</v>
      </c>
      <c r="J125" s="581">
        <v>46209.833333333343</v>
      </c>
    </row>
    <row r="126" spans="1:10">
      <c r="A126" s="581">
        <v>46210.5</v>
      </c>
      <c r="B126" s="16"/>
      <c r="C126" s="581">
        <f t="shared" ca="1" si="38"/>
        <v>46210.5</v>
      </c>
      <c r="D126" s="608"/>
      <c r="F126" s="16">
        <v>95</v>
      </c>
      <c r="G126" s="581">
        <v>46210.5</v>
      </c>
      <c r="I126" s="16">
        <v>95</v>
      </c>
      <c r="J126" s="581">
        <v>46210.5</v>
      </c>
    </row>
    <row r="127" spans="1:10">
      <c r="A127" s="581">
        <v>46210.666666666657</v>
      </c>
      <c r="B127" s="16"/>
      <c r="C127" s="581">
        <f t="shared" ca="1" si="38"/>
        <v>46210.666666666657</v>
      </c>
      <c r="D127" s="608"/>
      <c r="F127" s="16">
        <v>96</v>
      </c>
      <c r="G127" s="581">
        <v>46210.666666666657</v>
      </c>
      <c r="I127" s="16">
        <v>96</v>
      </c>
      <c r="J127" s="581">
        <v>46210.666666666657</v>
      </c>
    </row>
    <row r="128" spans="1:10">
      <c r="A128" s="16"/>
      <c r="B128" s="16"/>
      <c r="C128" s="16"/>
      <c r="F128" s="16"/>
      <c r="G128" s="581"/>
      <c r="I128" s="16"/>
      <c r="J128" s="16"/>
    </row>
    <row r="129" spans="1:10">
      <c r="A129" s="16"/>
      <c r="B129" s="16"/>
      <c r="C129" s="16"/>
      <c r="F129" s="16"/>
      <c r="G129" s="581"/>
      <c r="I129" s="16"/>
      <c r="J129" s="16"/>
    </row>
    <row r="130" spans="1:10">
      <c r="A130" s="612" t="s">
        <v>1514</v>
      </c>
      <c r="B130" s="16"/>
      <c r="C130" s="581"/>
      <c r="F130" s="16"/>
      <c r="G130" s="581"/>
      <c r="I130" s="16"/>
      <c r="J130" s="16"/>
    </row>
    <row r="131" spans="1:10">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c r="A132" s="581">
        <v>46213.625</v>
      </c>
      <c r="B132" s="16"/>
      <c r="C132" s="581">
        <f ca="1">A132+INDEX($V$3:$V$86,MATCH($C$3,$P$3:$P$86,0))*INDEX($W$3:$W$86,MATCH($C$3,$P$3:$P$86,0))</f>
        <v>46213.625</v>
      </c>
      <c r="D132" s="608"/>
      <c r="F132" s="16">
        <v>98</v>
      </c>
      <c r="G132" s="581">
        <v>46213.625</v>
      </c>
      <c r="I132" s="16">
        <v>98</v>
      </c>
      <c r="J132" s="581">
        <v>46213.625</v>
      </c>
    </row>
    <row r="133" spans="1:10">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c r="A134" s="581">
        <v>46214.875</v>
      </c>
      <c r="B134" s="16"/>
      <c r="C134" s="581">
        <f ca="1">A134+INDEX($V$3:$V$86,MATCH($C$3,$P$3:$P$86,0))*INDEX($W$3:$W$86,MATCH($C$3,$P$3:$P$86,0))</f>
        <v>46214.875</v>
      </c>
      <c r="D134" s="608"/>
      <c r="F134" s="16">
        <v>100</v>
      </c>
      <c r="G134" s="581">
        <v>46214.875</v>
      </c>
      <c r="I134" s="16">
        <v>100</v>
      </c>
      <c r="J134" s="581">
        <v>46214.875</v>
      </c>
    </row>
    <row r="135" spans="1:10">
      <c r="A135" s="16"/>
      <c r="B135" s="16"/>
      <c r="C135" s="581"/>
    </row>
    <row r="136" spans="1:10">
      <c r="A136" s="16"/>
      <c r="B136" s="16"/>
      <c r="C136" s="16"/>
    </row>
    <row r="137" spans="1:10">
      <c r="A137" s="613" t="s">
        <v>1515</v>
      </c>
      <c r="B137" s="16"/>
      <c r="C137" s="581"/>
    </row>
    <row r="138" spans="1:10">
      <c r="A138" s="581">
        <v>46217.625</v>
      </c>
      <c r="B138" s="16"/>
      <c r="C138" s="581">
        <f ca="1">A138+INDEX($V$3:$V$86,MATCH($C$3,$P$3:$P$86,0))*INDEX($W$3:$W$86,MATCH($C$3,$P$3:$P$86,0))</f>
        <v>46217.625</v>
      </c>
      <c r="D138" s="608"/>
    </row>
    <row r="139" spans="1:10">
      <c r="A139" s="581">
        <v>46218.625</v>
      </c>
      <c r="B139" s="16"/>
      <c r="C139" s="581">
        <f ca="1">A139+INDEX($V$3:$V$86,MATCH($C$3,$P$3:$P$86,0))*INDEX($W$3:$W$86,MATCH($C$3,$P$3:$P$86,0))</f>
        <v>46218.625</v>
      </c>
      <c r="D139" s="608"/>
    </row>
    <row r="140" spans="1:10">
      <c r="A140" s="16"/>
      <c r="B140" s="16"/>
      <c r="C140" s="581"/>
    </row>
    <row r="141" spans="1:10">
      <c r="A141" s="16"/>
      <c r="B141" s="16"/>
      <c r="C141" s="16"/>
    </row>
    <row r="142" spans="1:10">
      <c r="A142" s="614" t="s">
        <v>221</v>
      </c>
      <c r="B142" s="16"/>
      <c r="C142" s="16"/>
    </row>
    <row r="143" spans="1:10">
      <c r="A143" s="581">
        <v>46221.708333333343</v>
      </c>
      <c r="B143" s="16"/>
      <c r="C143" s="581">
        <f ca="1">A143+INDEX($V$3:$V$86,MATCH($C$3,$P$3:$P$86,0))*INDEX($W$3:$W$86,MATCH($C$3,$P$3:$P$86,0))</f>
        <v>46221.708333333343</v>
      </c>
      <c r="D143" s="608"/>
    </row>
    <row r="144" spans="1:10">
      <c r="A144" s="16"/>
      <c r="B144" s="16"/>
      <c r="C144" s="16"/>
    </row>
    <row r="145" spans="1:4">
      <c r="A145" s="16"/>
      <c r="B145" s="16"/>
      <c r="C145" s="16"/>
    </row>
    <row r="146" spans="1:4">
      <c r="A146" s="615" t="s">
        <v>112</v>
      </c>
      <c r="B146" s="16"/>
      <c r="C146" s="581"/>
    </row>
    <row r="147" spans="1:4">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Dell</cp:lastModifiedBy>
  <cp:lastPrinted>2018-12-06T18:06:35Z</cp:lastPrinted>
  <dcterms:created xsi:type="dcterms:W3CDTF">2015-10-31T09:41:54Z</dcterms:created>
  <dcterms:modified xsi:type="dcterms:W3CDTF">2026-06-14T00:30:26Z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
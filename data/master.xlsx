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6545C81F-47D9-E643-8749-E185D40DDBA9}"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AC142" i="2"/>
  <c r="AC119" i="2"/>
  <c r="AC130" i="2"/>
  <c r="AC75" i="2"/>
  <c r="AC91" i="2"/>
  <c r="AC83" i="2"/>
  <c r="AC59" i="2"/>
  <c r="AC100" i="2"/>
  <c r="AC43" i="2"/>
  <c r="AC35" i="2"/>
  <c r="O25" i="2"/>
  <c r="AR29" i="2"/>
  <c r="AD142" i="2"/>
  <c r="AD59" i="2"/>
  <c r="AD91" i="2"/>
  <c r="AD130" i="2"/>
  <c r="AD119" i="2"/>
  <c r="AD43" i="2"/>
  <c r="AD83" i="2"/>
  <c r="AD100" i="2"/>
  <c r="AD75" i="2"/>
  <c r="AD35" i="2"/>
  <c r="AD27" i="2"/>
  <c r="AD67" i="2"/>
  <c r="AD51" i="2"/>
  <c r="Q25" i="2"/>
  <c r="AF137" i="2"/>
  <c r="AF142" i="2"/>
  <c r="AF146" i="2"/>
  <c r="AF59" i="2"/>
  <c r="AF91" i="2"/>
  <c r="AF67" i="2"/>
  <c r="AF100" i="2"/>
  <c r="AF119" i="2"/>
  <c r="AF83" i="2"/>
  <c r="AF75" i="2"/>
  <c r="AF51" i="2"/>
  <c r="AR85" i="2"/>
  <c r="AR53" i="2"/>
  <c r="AR101" i="2"/>
  <c r="AR77" i="2"/>
  <c r="AR37" i="2"/>
  <c r="AR69" i="2"/>
  <c r="AR93" i="2"/>
  <c r="AR61" i="2"/>
  <c r="AR45" i="2"/>
  <c r="U16" i="2"/>
  <c r="R25"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I64" i="2"/>
  <c r="H64" i="2"/>
  <c r="F64" i="2"/>
  <c r="L64" i="2"/>
  <c r="U64" i="2"/>
  <c r="T64" i="2"/>
  <c r="R64" i="2"/>
  <c r="O64" i="2"/>
  <c r="C213" i="3"/>
  <c r="L32" i="2"/>
  <c r="K32"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6" i="4" l="1"/>
  <c r="F14" i="4"/>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8" i="4" l="1"/>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AA25" i="4"/>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BT39" i="2"/>
  <c r="F68" i="2" s="1"/>
  <c r="BT52" i="2"/>
  <c r="E93" i="2" s="1"/>
  <c r="BT16" i="2"/>
  <c r="BT32" i="2"/>
  <c r="E53" i="2" s="1"/>
  <c r="BT17" i="2"/>
  <c r="BT35" i="2"/>
  <c r="F60" i="2" s="1"/>
  <c r="BT26" i="2"/>
  <c r="BT50" i="2"/>
  <c r="E92" i="2" s="1"/>
  <c r="BT30" i="2"/>
  <c r="E52" i="2" s="1"/>
  <c r="BT34" i="2"/>
  <c r="E60" i="2" s="1"/>
  <c r="BT7" i="2"/>
  <c r="E9" i="2" s="1"/>
  <c r="BT27" i="2"/>
  <c r="BT28" i="2"/>
  <c r="BT48" i="2"/>
  <c r="E85" i="2" s="1"/>
  <c r="BT20" i="2"/>
  <c r="BT24" i="2"/>
  <c r="BT13" i="2"/>
  <c r="BT23" i="2"/>
  <c r="BT22" i="2"/>
  <c r="BT31" i="2"/>
  <c r="F52" i="2" s="1"/>
  <c r="BT49" i="2"/>
  <c r="F85" i="2" s="1"/>
  <c r="BT21" i="2"/>
  <c r="BT15" i="2"/>
  <c r="BT45" i="2"/>
  <c r="F77" i="2" s="1"/>
  <c r="BT33" i="2"/>
  <c r="F53" i="2" s="1"/>
  <c r="BT12" i="2"/>
  <c r="BT6" i="2"/>
  <c r="F8" i="2" s="1"/>
  <c r="BT10" i="2"/>
  <c r="BT46" i="2"/>
  <c r="E84" i="2" s="1"/>
  <c r="BT19" i="2"/>
  <c r="BT29" i="2"/>
  <c r="BT53" i="2"/>
  <c r="F93" i="2" s="1"/>
  <c r="BT36" i="2"/>
  <c r="E61" i="2" s="1"/>
  <c r="F45" i="2" l="1"/>
  <c r="E47" i="2"/>
  <c r="F44" i="2"/>
  <c r="F47" i="2"/>
  <c r="F37" i="2"/>
  <c r="E39" i="2"/>
  <c r="F36" i="2"/>
  <c r="F39" i="2"/>
  <c r="E36" i="2"/>
  <c r="E38" i="2"/>
  <c r="E37" i="2"/>
  <c r="F38" i="2"/>
  <c r="E45" i="2"/>
  <c r="F46" i="2"/>
  <c r="E44" i="2"/>
  <c r="E46" i="2"/>
  <c r="F28" i="2"/>
  <c r="F31" i="2"/>
  <c r="F29" i="2"/>
  <c r="E31" i="2"/>
  <c r="E21" i="2"/>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I38" i="2" s="1"/>
  <c r="BZ36" i="2"/>
  <c r="BZ39" i="2"/>
  <c r="BZ31" i="2"/>
  <c r="BZ22" i="2"/>
  <c r="H38" i="2" s="1"/>
  <c r="BZ23" i="2"/>
  <c r="I39" i="2" s="1"/>
  <c r="BZ33" i="2"/>
  <c r="BZ21" i="2"/>
  <c r="H31" i="2" s="1"/>
  <c r="BZ27" i="2"/>
  <c r="I47" i="2" s="1"/>
  <c r="BZ12" i="2"/>
  <c r="BZ53" i="2"/>
  <c r="BZ25" i="2"/>
  <c r="H39" i="2" s="1"/>
  <c r="BZ51" i="2"/>
  <c r="BZ16" i="2"/>
  <c r="I23" i="2" s="1"/>
  <c r="BZ50" i="2"/>
  <c r="BZ34" i="2"/>
  <c r="BZ41" i="2"/>
  <c r="BZ30" i="2"/>
  <c r="BZ9" i="2"/>
  <c r="H8" i="2" s="1"/>
  <c r="BZ32" i="2"/>
  <c r="BZ17" i="2"/>
  <c r="H22" i="2" s="1"/>
  <c r="BZ47" i="2"/>
  <c r="BZ6" i="2"/>
  <c r="BZ38" i="2"/>
  <c r="BZ46" i="2"/>
  <c r="BZ15" i="2"/>
  <c r="I22" i="2" s="1"/>
  <c r="BZ44" i="2"/>
  <c r="BZ48" i="2"/>
  <c r="BZ26" i="2"/>
  <c r="H46" i="2" s="1"/>
  <c r="BZ19" i="2"/>
  <c r="I31" i="2" s="1"/>
  <c r="BZ20" i="2"/>
  <c r="I30" i="2" s="1"/>
  <c r="BZ29" i="2"/>
  <c r="H47" i="2" s="1"/>
  <c r="BZ10" i="2"/>
  <c r="H15" i="2" s="1"/>
  <c r="BZ8" i="2"/>
  <c r="BZ28" i="2"/>
  <c r="I46" i="2" s="1"/>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K47" i="2" s="1"/>
  <c r="CE23" i="2"/>
  <c r="L39" i="2" s="1"/>
  <c r="CE30" i="2"/>
  <c r="CE51" i="2"/>
  <c r="CE53" i="2"/>
  <c r="CE44" i="2"/>
  <c r="CE52" i="2"/>
  <c r="CE24" i="2"/>
  <c r="L38" i="2" s="1"/>
  <c r="CE50" i="2"/>
  <c r="CE27" i="2"/>
  <c r="L47" i="2" s="1"/>
  <c r="CE39" i="2"/>
  <c r="CE36" i="2"/>
  <c r="CE42" i="2"/>
  <c r="CE7" i="2"/>
  <c r="CE25" i="2"/>
  <c r="K39" i="2" s="1"/>
  <c r="CE20" i="2"/>
  <c r="L30" i="2" s="1"/>
  <c r="CE47" i="2"/>
  <c r="CE34" i="2"/>
  <c r="CE6" i="2"/>
  <c r="L8" i="2" s="1"/>
  <c r="CE33" i="2"/>
  <c r="CE11" i="2"/>
  <c r="L14" i="2" s="1"/>
  <c r="CE15" i="2"/>
  <c r="L22" i="2" s="1"/>
  <c r="CE32" i="2"/>
  <c r="CE8" i="2"/>
  <c r="L9" i="2" s="1"/>
  <c r="CE31" i="2"/>
  <c r="CE45" i="2"/>
  <c r="CE12" i="2"/>
  <c r="L15" i="2" s="1"/>
  <c r="CE22" i="2"/>
  <c r="K38" i="2" s="1"/>
  <c r="CE37" i="2"/>
  <c r="CE9" i="2"/>
  <c r="CE49" i="2"/>
  <c r="CE28" i="2"/>
  <c r="L46" i="2" s="1"/>
  <c r="CE21" i="2"/>
  <c r="K31" i="2" s="1"/>
  <c r="CE48" i="2"/>
  <c r="CE10" i="2"/>
  <c r="K15" i="2" s="1"/>
  <c r="CE13" i="2"/>
  <c r="K14" i="2" s="1"/>
  <c r="CE40" i="2"/>
  <c r="CE38" i="2"/>
  <c r="CE35" i="2"/>
  <c r="CE16" i="2"/>
  <c r="L23" i="2" s="1"/>
  <c r="CE26" i="2"/>
  <c r="K46" i="2" s="1"/>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CH44" i="2"/>
  <c r="CH25" i="2"/>
  <c r="N39" i="2" s="1"/>
  <c r="CH8" i="2"/>
  <c r="O9" i="2" s="1"/>
  <c r="CH45" i="2"/>
  <c r="CH18" i="2"/>
  <c r="CH23" i="2"/>
  <c r="CH47" i="2"/>
  <c r="CH32" i="2"/>
  <c r="CH43" i="2"/>
  <c r="CH49" i="2"/>
  <c r="CH14" i="2"/>
  <c r="N23" i="2" s="1"/>
  <c r="CH38" i="2"/>
  <c r="N68" i="2" s="1"/>
  <c r="CH36" i="2"/>
  <c r="CH46" i="2"/>
  <c r="CH48" i="2"/>
  <c r="CH24" i="2"/>
  <c r="O38" i="2" s="1"/>
  <c r="CH31" i="2"/>
  <c r="CH12" i="2"/>
  <c r="O15" i="2" s="1"/>
  <c r="CH37" i="2"/>
  <c r="CH35" i="2"/>
  <c r="CH53" i="2"/>
  <c r="CK41" i="2"/>
  <c r="CH17" i="2"/>
  <c r="N22" i="2" s="1"/>
  <c r="CH19" i="2"/>
  <c r="O31" i="2" s="1"/>
  <c r="CH52" i="2"/>
  <c r="N93" i="2" s="1"/>
  <c r="CH51" i="2"/>
  <c r="CH9" i="2"/>
  <c r="O5" i="2" s="1"/>
  <c r="CH30" i="2"/>
  <c r="CH13" i="2"/>
  <c r="N14" i="2" s="1"/>
  <c r="CH42" i="2"/>
  <c r="CH27" i="2"/>
  <c r="O47" i="2" s="1"/>
  <c r="CH40" i="2"/>
  <c r="N69" i="2" s="1"/>
  <c r="N9" i="2"/>
  <c r="CH26" i="2"/>
  <c r="CH11" i="2"/>
  <c r="CH33" i="2"/>
  <c r="O53" i="2" s="1"/>
  <c r="CH22" i="2"/>
  <c r="CH21" i="2"/>
  <c r="CH15" i="2"/>
  <c r="O22" i="2" s="1"/>
  <c r="CH10" i="2"/>
  <c r="CH39" i="2"/>
  <c r="O68" i="2" s="1"/>
  <c r="CH29" i="2"/>
  <c r="CH20" i="2"/>
  <c r="O30" i="2" s="1"/>
  <c r="CH50" i="2"/>
  <c r="N92" i="2" s="1"/>
  <c r="O8" i="2"/>
  <c r="CJ28" i="2"/>
  <c r="O45" i="2" l="1"/>
  <c r="N47" i="2"/>
  <c r="O36" i="2"/>
  <c r="O39" i="2"/>
  <c r="N36" i="2"/>
  <c r="N38" i="2"/>
  <c r="N44" i="2"/>
  <c r="N46" i="2"/>
  <c r="N45" i="2"/>
  <c r="O46" i="2"/>
  <c r="N7" i="2"/>
  <c r="O29" i="2"/>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Q47" i="2" s="1"/>
  <c r="CN27" i="2"/>
  <c r="R47" i="2" s="1"/>
  <c r="CN42" i="2"/>
  <c r="CN37" i="2"/>
  <c r="R61" i="2" s="1"/>
  <c r="CN32" i="2"/>
  <c r="Q53" i="2" s="1"/>
  <c r="CN45" i="2"/>
  <c r="R77" i="2" s="1"/>
  <c r="CN53" i="2"/>
  <c r="R93" i="2" s="1"/>
  <c r="CN18" i="2"/>
  <c r="CN33" i="2"/>
  <c r="R53" i="2" s="1"/>
  <c r="CN30" i="2"/>
  <c r="Q52" i="2" s="1"/>
  <c r="CN28" i="2"/>
  <c r="CN36" i="2"/>
  <c r="Q61" i="2" s="1"/>
  <c r="CN24" i="2"/>
  <c r="CN48" i="2"/>
  <c r="Q85" i="2" s="1"/>
  <c r="CN34" i="2"/>
  <c r="Q60" i="2" s="1"/>
  <c r="CN13" i="2"/>
  <c r="CN51" i="2"/>
  <c r="R92" i="2" s="1"/>
  <c r="CN43" i="2"/>
  <c r="R76" i="2" s="1"/>
  <c r="CN15" i="2"/>
  <c r="CN14" i="2"/>
  <c r="CN40" i="2"/>
  <c r="Q69" i="2" s="1"/>
  <c r="CN26" i="2"/>
  <c r="CN31" i="2"/>
  <c r="R52" i="2" s="1"/>
  <c r="CN38" i="2"/>
  <c r="Q68" i="2" s="1"/>
  <c r="CN21" i="2"/>
  <c r="CN23" i="2"/>
  <c r="CN17" i="2"/>
  <c r="CN20" i="2"/>
  <c r="CN35" i="2"/>
  <c r="R60" i="2" s="1"/>
  <c r="CN44" i="2"/>
  <c r="Q77" i="2" s="1"/>
  <c r="CN25" i="2"/>
  <c r="CN39" i="2"/>
  <c r="R68" i="2" s="1"/>
  <c r="CN52" i="2"/>
  <c r="Q93" i="2" s="1"/>
  <c r="CN47" i="2"/>
  <c r="R84" i="2" s="1"/>
  <c r="CN50" i="2"/>
  <c r="Q92" i="2" s="1"/>
  <c r="CN16" i="2"/>
  <c r="CN12" i="2"/>
  <c r="CN22" i="2"/>
  <c r="CN19" i="2"/>
  <c r="CN49" i="2"/>
  <c r="R85" i="2" s="1"/>
  <c r="CN41" i="2"/>
  <c r="R69" i="2" s="1"/>
  <c r="CN8" i="2"/>
  <c r="CN9" i="2"/>
  <c r="CN10" i="2"/>
  <c r="CN6" i="2"/>
  <c r="Q4" i="2" s="1"/>
  <c r="CN7" i="2"/>
  <c r="R4" i="2" s="1"/>
  <c r="CN46" i="2"/>
  <c r="Q84" i="2" s="1"/>
  <c r="CN11" i="2"/>
  <c r="R37" i="2" l="1"/>
  <c r="Q39" i="2"/>
  <c r="R36" i="2"/>
  <c r="R39" i="2"/>
  <c r="Q36" i="2"/>
  <c r="Q38" i="2"/>
  <c r="Q37" i="2"/>
  <c r="R38" i="2"/>
  <c r="Q45" i="2"/>
  <c r="R46" i="2"/>
  <c r="Q44" i="2"/>
  <c r="Q46" i="2"/>
  <c r="R28" i="2"/>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P10" i="2" l="1"/>
  <c r="CO10" i="2"/>
  <c r="CO14" i="2"/>
  <c r="CQ14" i="2" s="1"/>
  <c r="CO7" i="2"/>
  <c r="CQ7" i="2" s="1"/>
  <c r="CO26" i="2"/>
  <c r="CQ26" i="2" s="1"/>
  <c r="CQ42" i="2"/>
  <c r="CQ27" i="2"/>
  <c r="CP8" i="2"/>
  <c r="CQ8" i="2" s="1"/>
  <c r="CP6" i="2"/>
  <c r="CQ6" i="2" s="1"/>
  <c r="CQ16" i="2"/>
  <c r="CQ30" i="2"/>
  <c r="CQ36" i="2"/>
  <c r="CQ31" i="2"/>
  <c r="CQ37" i="2"/>
  <c r="CQ11"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Q10" i="2" l="1"/>
  <c r="CR46" i="2"/>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T46" i="2" s="1"/>
  <c r="CS52" i="2"/>
  <c r="CS53" i="2"/>
  <c r="CS41" i="2"/>
  <c r="CS29" i="2"/>
  <c r="T47" i="2" s="1"/>
  <c r="CS8" i="2"/>
  <c r="U7" i="2" s="1"/>
  <c r="CS31" i="2"/>
  <c r="CS39" i="2"/>
  <c r="CS28" i="2"/>
  <c r="U46" i="2" s="1"/>
  <c r="CS44" i="2"/>
  <c r="CS20" i="2"/>
  <c r="U30" i="2" s="1"/>
  <c r="CS21" i="2"/>
  <c r="T31" i="2" s="1"/>
  <c r="CS38" i="2"/>
  <c r="CS30" i="2"/>
  <c r="CS32" i="2"/>
  <c r="CS17" i="2"/>
  <c r="T22" i="2" s="1"/>
  <c r="CS7" i="2"/>
  <c r="U4" i="2" s="1"/>
  <c r="CS23" i="2"/>
  <c r="U39" i="2" s="1"/>
  <c r="CS48" i="2"/>
  <c r="CS12" i="2"/>
  <c r="U15" i="2" s="1"/>
  <c r="CS34" i="2"/>
  <c r="CS16" i="2"/>
  <c r="U23" i="2" s="1"/>
  <c r="CS10" i="2"/>
  <c r="T15" i="2" s="1"/>
  <c r="CS9" i="2"/>
  <c r="T6" i="2" s="1"/>
  <c r="CS40" i="2"/>
  <c r="CS6" i="2"/>
  <c r="T7" i="2" s="1"/>
  <c r="CS11" i="2"/>
  <c r="U14" i="2" s="1"/>
  <c r="CS27" i="2"/>
  <c r="U47" i="2" s="1"/>
  <c r="CS46" i="2"/>
  <c r="CS42" i="2"/>
  <c r="CS25" i="2"/>
  <c r="T39" i="2" s="1"/>
  <c r="CS19" i="2"/>
  <c r="U31" i="2" s="1"/>
  <c r="CS33" i="2"/>
  <c r="CS13" i="2"/>
  <c r="T14" i="2" s="1"/>
  <c r="CS37" i="2"/>
  <c r="CS36" i="2"/>
  <c r="CS51" i="2"/>
  <c r="CS50" i="2"/>
  <c r="CS45" i="2"/>
  <c r="CS24" i="2"/>
  <c r="U38" i="2" s="1"/>
  <c r="CS47" i="2"/>
  <c r="CS43" i="2"/>
  <c r="CS35" i="2"/>
  <c r="CS22" i="2"/>
  <c r="T38" i="2" s="1"/>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<sst xmlns="http://schemas.openxmlformats.org/spreadsheetml/2006/main" count="6754" uniqueCount="1516">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</sst>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C47" sqref="AC4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27" zoomScaleNormal="100" workbookViewId="0">
      <selection activeCell="AC47" sqref="AC4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2</v>
      </c>
      <c r="BG22" s="16">
        <f t="shared" ca="1" si="18"/>
        <v>2</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8</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2</v>
      </c>
      <c r="BG23" s="16">
        <f t="shared" ca="1" si="18"/>
        <v>0</v>
      </c>
      <c r="BH23" s="16">
        <f t="shared" ca="1" si="19"/>
        <v>1</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8</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2</v>
      </c>
      <c r="BG24" s="16">
        <f t="shared" ca="1" si="18"/>
        <v>1</v>
      </c>
      <c r="BH24" s="16">
        <f t="shared" ca="1" si="19"/>
        <v>0</v>
      </c>
      <c r="BI24" s="16">
        <f t="shared" ca="1" si="20"/>
        <v>1</v>
      </c>
      <c r="BJ24" s="16">
        <f t="shared" ca="1" si="21"/>
        <v>2</v>
      </c>
      <c r="BK24" s="16">
        <f t="shared" ca="1" si="22"/>
        <v>2</v>
      </c>
      <c r="BL24" s="16">
        <f t="shared" ca="1" si="23"/>
        <v>0</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8</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1</v>
      </c>
      <c r="BF25" s="16">
        <f t="shared" ca="1" si="17"/>
        <v>2</v>
      </c>
      <c r="BG25" s="16">
        <f t="shared" ca="1" si="18"/>
        <v>0</v>
      </c>
      <c r="BH25" s="16">
        <f t="shared" ca="1" si="19"/>
        <v>1</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1</v>
      </c>
      <c r="BW25" s="16">
        <f t="shared" ca="1" si="30"/>
        <v>0</v>
      </c>
      <c r="BX25" s="16">
        <f t="shared" ca="1" si="31"/>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1</v>
      </c>
      <c r="CK25" s="16">
        <f t="shared" ca="1" si="38"/>
        <v>0</v>
      </c>
      <c r="CL25" s="16">
        <f t="shared" ca="1" si="39"/>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8</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4</v>
      </c>
      <c r="BF26" s="16">
        <f t="shared" ca="1" si="17"/>
        <v>2</v>
      </c>
      <c r="BG26" s="16">
        <f t="shared" ca="1" si="18"/>
        <v>1</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8</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2</v>
      </c>
      <c r="BG27" s="16">
        <f t="shared" ca="1" si="18"/>
        <v>1</v>
      </c>
      <c r="BH27" s="16">
        <f t="shared" ca="1" si="19"/>
        <v>1</v>
      </c>
      <c r="BI27" s="16">
        <f t="shared" ca="1" si="20"/>
        <v>0</v>
      </c>
      <c r="BJ27" s="16">
        <f t="shared" ca="1" si="21"/>
        <v>6</v>
      </c>
      <c r="BK27" s="16">
        <f t="shared" ca="1" si="22"/>
        <v>2</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8</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2</v>
      </c>
      <c r="BG28" s="16">
        <f t="shared" ca="1" si="18"/>
        <v>1</v>
      </c>
      <c r="BH28" s="16">
        <f t="shared" ca="1" si="19"/>
        <v>0</v>
      </c>
      <c r="BI28" s="16">
        <f t="shared" ca="1" si="20"/>
        <v>1</v>
      </c>
      <c r="BJ28" s="16">
        <f t="shared" ca="1" si="21"/>
        <v>6</v>
      </c>
      <c r="BK28" s="16">
        <f t="shared" ca="1" si="22"/>
        <v>6</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8</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2</v>
      </c>
      <c r="BG29" s="16">
        <f t="shared" ca="1" si="18"/>
        <v>0</v>
      </c>
      <c r="BH29" s="16">
        <f t="shared" ca="1" si="19"/>
        <v>0</v>
      </c>
      <c r="BI29" s="16">
        <f t="shared" ca="1" si="20"/>
        <v>2</v>
      </c>
      <c r="BJ29" s="16">
        <f t="shared" ca="1" si="21"/>
        <v>1</v>
      </c>
      <c r="BK29" s="16">
        <f t="shared" ca="1" si="22"/>
        <v>9</v>
      </c>
      <c r="BL29" s="16">
        <f t="shared" ca="1" si="23"/>
        <v>-8</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8</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v>
      </c>
      <c r="F37" s="16" t="str">
        <f t="shared" ca="1" si="102"/>
        <v>P.3 (2)</v>
      </c>
      <c r="G37" s="16"/>
      <c r="H37" s="16" t="str">
        <f t="shared" ca="1" si="103"/>
        <v>-</v>
      </c>
      <c r="I37" s="16" t="str">
        <f t="shared" ca="1" si="104"/>
        <v>P.3 (2)</v>
      </c>
      <c r="J37" s="16"/>
      <c r="K37" s="16" t="str">
        <f t="shared" ca="1" si="105"/>
        <v>-</v>
      </c>
      <c r="L37" s="16" t="str">
        <f t="shared" ca="1" si="106"/>
        <v>P.3 (2)</v>
      </c>
      <c r="M37" s="16"/>
      <c r="N37" s="16" t="str">
        <f t="shared" ca="1" si="107"/>
        <v>-</v>
      </c>
      <c r="O37" s="16" t="str">
        <f t="shared" ca="1" si="108"/>
        <v>P.3 (2)</v>
      </c>
      <c r="P37" s="16"/>
      <c r="Q37" s="16" t="str">
        <f t="shared" ca="1" si="109"/>
        <v>-</v>
      </c>
      <c r="R37" s="16" t="str">
        <f t="shared" ca="1" si="110"/>
        <v>P.3 (2)</v>
      </c>
      <c r="S37" s="16"/>
      <c r="T37" s="16" t="str">
        <f t="shared" ca="1" si="111"/>
        <v>-</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2</v>
      </c>
      <c r="AO38" s="36">
        <f t="shared" ca="1" si="115"/>
        <v>2</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Empate</v>
      </c>
      <c r="E39" s="16" t="str">
        <f t="shared" ca="1" si="101"/>
        <v>P.3 (2)</v>
      </c>
      <c r="F39" s="16" t="str">
        <f t="shared" ca="1" si="102"/>
        <v>P.3 (2)</v>
      </c>
      <c r="G39" s="16"/>
      <c r="H39" s="16" t="str">
        <f t="shared" ca="1" si="103"/>
        <v>P.3 (2)</v>
      </c>
      <c r="I39" s="16" t="str">
        <f t="shared" ca="1" si="104"/>
        <v>P.3 (2)</v>
      </c>
      <c r="J39" s="16"/>
      <c r="K39" s="16" t="str">
        <f t="shared" ca="1" si="105"/>
        <v>P.3 (2)</v>
      </c>
      <c r="L39" s="16" t="str">
        <f t="shared" ca="1" si="106"/>
        <v>P.3 (2)</v>
      </c>
      <c r="M39" s="16"/>
      <c r="N39" s="16" t="str">
        <f t="shared" ca="1" si="107"/>
        <v>P.3 (2)</v>
      </c>
      <c r="O39" s="16" t="str">
        <f t="shared" ca="1" si="108"/>
        <v>P.3 (2)</v>
      </c>
      <c r="P39" s="16"/>
      <c r="Q39" s="16" t="str">
        <f t="shared" ca="1" si="109"/>
        <v>P.3 (2)</v>
      </c>
      <c r="R39" s="16" t="str">
        <f t="shared" ca="1" si="110"/>
        <v>P.3 (2)</v>
      </c>
      <c r="S39" s="16"/>
      <c r="T39" s="16" t="str">
        <f t="shared" ca="1" si="111"/>
        <v>P.3 (2)</v>
      </c>
      <c r="U39" s="16" t="str">
        <f t="shared" ca="1" si="112"/>
        <v>P.3 (2)</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2</v>
      </c>
      <c r="AO39" s="39">
        <f t="shared" ca="1" si="115"/>
        <v>1</v>
      </c>
      <c r="AP39" s="39">
        <f t="shared" ca="1" si="115"/>
        <v>0</v>
      </c>
      <c r="AQ39" s="39">
        <f t="shared" ca="1" si="115"/>
        <v>1</v>
      </c>
      <c r="AR39" s="39">
        <f t="shared" ca="1" si="115"/>
        <v>2</v>
      </c>
      <c r="AS39" s="39">
        <f t="shared" ca="1" si="115"/>
        <v>2</v>
      </c>
      <c r="AT39" s="43">
        <f t="shared" ca="1" si="115"/>
        <v>0</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1</v>
      </c>
      <c r="AN40" s="39">
        <f t="shared" ca="1" si="115"/>
        <v>2</v>
      </c>
      <c r="AO40" s="39">
        <f t="shared" ca="1" si="115"/>
        <v>0</v>
      </c>
      <c r="AP40" s="39">
        <f t="shared" ca="1" si="115"/>
        <v>1</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2</v>
      </c>
      <c r="AO41" s="47">
        <f t="shared" ca="1" si="115"/>
        <v>0</v>
      </c>
      <c r="AP41" s="47">
        <f t="shared" ca="1" si="115"/>
        <v>1</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4</v>
      </c>
      <c r="AN46" s="36">
        <f t="shared" ca="1" si="131"/>
        <v>2</v>
      </c>
      <c r="AO46" s="36">
        <f t="shared" ca="1" si="131"/>
        <v>1</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2</v>
      </c>
      <c r="AO47" s="39">
        <f t="shared" ca="1" si="131"/>
        <v>1</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2</v>
      </c>
      <c r="AO48" s="39">
        <f t="shared" ca="1" si="131"/>
        <v>1</v>
      </c>
      <c r="AP48" s="39">
        <f t="shared" ca="1" si="131"/>
        <v>0</v>
      </c>
      <c r="AQ48" s="39">
        <f t="shared" ca="1" si="131"/>
        <v>1</v>
      </c>
      <c r="AR48" s="39">
        <f t="shared" ca="1" si="131"/>
        <v>6</v>
      </c>
      <c r="AS48" s="39">
        <f t="shared" ca="1" si="131"/>
        <v>6</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2</v>
      </c>
      <c r="AO49" s="47">
        <f t="shared" ca="1" si="131"/>
        <v>0</v>
      </c>
      <c r="AP49" s="47">
        <f t="shared" ca="1" si="131"/>
        <v>0</v>
      </c>
      <c r="AQ49" s="47">
        <f t="shared" ca="1" si="131"/>
        <v>2</v>
      </c>
      <c r="AR49" s="47">
        <f t="shared" ca="1" si="131"/>
        <v>1</v>
      </c>
      <c r="AS49" s="47">
        <f t="shared" ca="1" si="131"/>
        <v>9</v>
      </c>
      <c r="AT49" s="48">
        <f t="shared" ca="1" si="131"/>
        <v>-8</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4</v>
      </c>
      <c r="BT58" s="16" t="str">
        <f t="shared" ref="BT58:BT69" ca="1" si="157">IF(COUNTIF(BS$58:BS$69,BS58)=1,"-","Pos. "&amp;BS58&amp;" ("&amp;COUNTIF(BS$58:BS$69,BS58)&amp;")")</f>
        <v>Pos. 4 (6)</v>
      </c>
      <c r="BU58" s="16">
        <f t="shared" ref="BU58:BU69" ca="1" si="158">IF(BT58="-","-",BL58)</f>
        <v>-1</v>
      </c>
      <c r="BV58" s="16">
        <f t="shared" ref="BV58:BV69" ca="1" si="159">BS58+COUNTIFS(BT$58:BT$69,BT58,BU$58:BU$69,"&gt;"&amp;BU58)</f>
        <v>7</v>
      </c>
      <c r="BW58" s="16" t="str">
        <f t="shared" ref="BW58:BW69" ca="1" si="160">IF(COUNTIF(BV$58:BV$69,BV58)=1,"-","Pos. "&amp;BV58&amp;" ("&amp;COUNTIF(BV$58:BV$69,BV58)&amp;")")</f>
        <v>Pos. 7 (2)</v>
      </c>
      <c r="BX58" s="16">
        <f t="shared" ref="BX58:BX69" ca="1" si="161">IF(BW58="-","-",BJ58)</f>
        <v>2</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Suecia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9</v>
      </c>
      <c r="BN59" s="16">
        <f t="shared" ca="1" si="153"/>
        <v>9</v>
      </c>
      <c r="BO59" s="16" t="str">
        <f t="shared" si="154"/>
        <v>4B</v>
      </c>
      <c r="BP59" s="16"/>
      <c r="BQ59" s="16"/>
      <c r="BR59" s="16">
        <f t="shared" ca="1" si="155"/>
        <v>1</v>
      </c>
      <c r="BS59" s="16">
        <f t="shared" ca="1" si="156"/>
        <v>4</v>
      </c>
      <c r="BT59" s="16" t="str">
        <f t="shared" ca="1" si="157"/>
        <v>Pos. 4 (6)</v>
      </c>
      <c r="BU59" s="16">
        <f t="shared" ca="1" si="158"/>
        <v>-3</v>
      </c>
      <c r="BV59" s="16">
        <f t="shared" ca="1" si="159"/>
        <v>9</v>
      </c>
      <c r="BW59" s="16" t="str">
        <f t="shared" ca="1" si="160"/>
        <v>-</v>
      </c>
      <c r="BX59" s="16" t="str">
        <f t="shared" ca="1" si="161"/>
        <v>-</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Escocia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2</v>
      </c>
      <c r="BN60" s="16">
        <f t="shared" ca="1" si="153"/>
        <v>2</v>
      </c>
      <c r="BO60" s="16" t="str">
        <f t="shared" si="154"/>
        <v>4C</v>
      </c>
      <c r="BP60" s="16"/>
      <c r="BQ60" s="16"/>
      <c r="BR60" s="16">
        <f t="shared" ca="1" si="155"/>
        <v>3</v>
      </c>
      <c r="BS60" s="16">
        <f t="shared" ca="1" si="156"/>
        <v>1</v>
      </c>
      <c r="BT60" s="16" t="str">
        <f t="shared" ca="1" si="157"/>
        <v>Pos. 1 (3)</v>
      </c>
      <c r="BU60" s="16">
        <f t="shared" ca="1" si="158"/>
        <v>0</v>
      </c>
      <c r="BV60" s="16">
        <f t="shared" ca="1" si="159"/>
        <v>1</v>
      </c>
      <c r="BW60" s="16" t="str">
        <f t="shared" ca="1" si="160"/>
        <v>Pos. 1 (2)</v>
      </c>
      <c r="BX60" s="16">
        <f t="shared" ca="1" si="161"/>
        <v>1</v>
      </c>
      <c r="BY60" s="16">
        <f t="shared" ca="1" si="162"/>
        <v>2</v>
      </c>
      <c r="BZ60" s="16" t="str">
        <f t="shared" ca="1" si="163"/>
        <v>-</v>
      </c>
      <c r="CA60" s="16" t="str">
        <f t="shared" ca="1" si="164"/>
        <v>-</v>
      </c>
      <c r="CB60" s="16">
        <f t="shared" ca="1" si="165"/>
        <v>2</v>
      </c>
      <c r="CC60" s="16"/>
      <c r="CD60" s="16">
        <f t="shared" ca="1" si="166"/>
        <v>2</v>
      </c>
      <c r="CE60" s="16" t="str">
        <f t="shared" ca="1" si="167"/>
        <v>-</v>
      </c>
      <c r="CF60" s="16">
        <f t="shared" ca="1" si="168"/>
        <v>2</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3</v>
      </c>
      <c r="BN61" s="16">
        <f t="shared" ca="1" si="153"/>
        <v>3</v>
      </c>
      <c r="BO61" s="16" t="str">
        <f t="shared" si="154"/>
        <v>4D</v>
      </c>
      <c r="BP61" s="16"/>
      <c r="BQ61" s="16"/>
      <c r="BR61" s="16">
        <f t="shared" ca="1" si="155"/>
        <v>3</v>
      </c>
      <c r="BS61" s="16">
        <f t="shared" ca="1" si="156"/>
        <v>1</v>
      </c>
      <c r="BT61" s="16" t="str">
        <f t="shared" ca="1" si="157"/>
        <v>Pos. 1 (3)</v>
      </c>
      <c r="BU61" s="16">
        <f t="shared" ca="1" si="158"/>
        <v>-2</v>
      </c>
      <c r="BV61" s="16">
        <f t="shared" ca="1" si="159"/>
        <v>3</v>
      </c>
      <c r="BW61" s="16" t="str">
        <f t="shared" ca="1" si="160"/>
        <v>-</v>
      </c>
      <c r="BX61" s="16" t="str">
        <f t="shared" ca="1" si="161"/>
        <v>-</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Bélgica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1</v>
      </c>
      <c r="BF62" s="16">
        <f t="shared" ca="1" si="150"/>
        <v>2</v>
      </c>
      <c r="BG62" s="16">
        <f t="shared" ca="1" si="174"/>
        <v>0</v>
      </c>
      <c r="BH62" s="16">
        <f t="shared" ca="1" si="175"/>
        <v>1</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1</v>
      </c>
      <c r="BS62" s="16">
        <f t="shared" ca="1" si="156"/>
        <v>4</v>
      </c>
      <c r="BT62" s="16" t="str">
        <f t="shared" ca="1" si="157"/>
        <v>Pos. 4 (6)</v>
      </c>
      <c r="BU62" s="16">
        <f t="shared" ca="1" si="158"/>
        <v>-1</v>
      </c>
      <c r="BV62" s="16">
        <f t="shared" ca="1" si="159"/>
        <v>7</v>
      </c>
      <c r="BW62" s="16" t="str">
        <f t="shared" ca="1" si="160"/>
        <v>Pos. 7 (2)</v>
      </c>
      <c r="BX62" s="16">
        <f t="shared" ca="1" si="161"/>
        <v>0</v>
      </c>
      <c r="BY62" s="16">
        <f t="shared" ca="1" si="162"/>
        <v>8</v>
      </c>
      <c r="BZ62" s="16" t="str">
        <f t="shared" ca="1" si="163"/>
        <v>-</v>
      </c>
      <c r="CA62" s="16" t="str">
        <f t="shared" ca="1" si="164"/>
        <v>-</v>
      </c>
      <c r="CB62" s="16">
        <f t="shared" ca="1" si="165"/>
        <v>8</v>
      </c>
      <c r="CC62" s="16"/>
      <c r="CD62" s="16">
        <f t="shared" ca="1" si="166"/>
        <v>8</v>
      </c>
      <c r="CE62" s="16" t="str">
        <f t="shared" ca="1" si="167"/>
        <v>-</v>
      </c>
      <c r="CF62" s="16">
        <f t="shared" ca="1" si="168"/>
        <v>8</v>
      </c>
      <c r="DJ62" s="16">
        <f t="shared" ca="1" si="169"/>
        <v>4</v>
      </c>
      <c r="DK62" s="16"/>
      <c r="DL62" s="16">
        <f t="shared" ca="1" si="170"/>
        <v>1</v>
      </c>
      <c r="DM62" s="16" t="str">
        <f t="shared" ca="1" si="171"/>
        <v>4.1</v>
      </c>
      <c r="DN62" s="16">
        <f t="array" aca="1" ref="DN62" ca="1">OFFSET(Horarios!$P$3,DJ62-1,0,DL62,1)</f>
        <v>4</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2</v>
      </c>
      <c r="BG63" s="16">
        <f t="shared" ca="1" si="174"/>
        <v>1</v>
      </c>
      <c r="BH63" s="16">
        <f t="shared" ca="1" si="175"/>
        <v>0</v>
      </c>
      <c r="BI63" s="16">
        <f t="shared" ca="1" si="176"/>
        <v>1</v>
      </c>
      <c r="BJ63" s="16">
        <f t="shared" ca="1" si="177"/>
        <v>6</v>
      </c>
      <c r="BK63" s="16">
        <f t="shared" ca="1" si="178"/>
        <v>6</v>
      </c>
      <c r="BL63" s="16">
        <f t="shared" ca="1" si="151"/>
        <v>0</v>
      </c>
      <c r="BM63" s="16">
        <f t="shared" ca="1" si="152"/>
        <v>1</v>
      </c>
      <c r="BN63" s="16">
        <f t="shared" ca="1" si="153"/>
        <v>1</v>
      </c>
      <c r="BO63" s="16" t="str">
        <f t="shared" si="154"/>
        <v>4F</v>
      </c>
      <c r="BP63" s="16"/>
      <c r="BQ63" s="16"/>
      <c r="BR63" s="16">
        <f t="shared" ca="1" si="155"/>
        <v>3</v>
      </c>
      <c r="BS63" s="16">
        <f t="shared" ca="1" si="156"/>
        <v>1</v>
      </c>
      <c r="BT63" s="16" t="str">
        <f t="shared" ca="1" si="157"/>
        <v>Pos. 1 (3)</v>
      </c>
      <c r="BU63" s="16">
        <f t="shared" ca="1" si="158"/>
        <v>0</v>
      </c>
      <c r="BV63" s="16">
        <f t="shared" ca="1" si="159"/>
        <v>1</v>
      </c>
      <c r="BW63" s="16" t="str">
        <f t="shared" ca="1" si="160"/>
        <v>Pos. 1 (2)</v>
      </c>
      <c r="BX63" s="16">
        <f t="shared" ca="1" si="161"/>
        <v>6</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España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4</v>
      </c>
      <c r="BN64" s="16">
        <f t="shared" ca="1" si="153"/>
        <v>4</v>
      </c>
      <c r="BO64" s="16" t="str">
        <f t="shared" si="154"/>
        <v>4G</v>
      </c>
      <c r="BP64" s="16"/>
      <c r="BQ64" s="16"/>
      <c r="BR64" s="16">
        <f t="shared" ca="1" si="155"/>
        <v>1</v>
      </c>
      <c r="BS64" s="16">
        <f t="shared" ca="1" si="156"/>
        <v>4</v>
      </c>
      <c r="BT64" s="16" t="str">
        <f t="shared" ca="1" si="157"/>
        <v>Pos. 4 (6)</v>
      </c>
      <c r="BU64" s="16">
        <f t="shared" ca="1" si="158"/>
        <v>0</v>
      </c>
      <c r="BV64" s="16">
        <f t="shared" ca="1" si="159"/>
        <v>4</v>
      </c>
      <c r="BW64" s="16" t="str">
        <f t="shared" ca="1" si="160"/>
        <v>Pos. 4 (3)</v>
      </c>
      <c r="BX64" s="16">
        <f t="shared" ca="1" si="161"/>
        <v>1</v>
      </c>
      <c r="BY64" s="16">
        <f t="shared" ca="1" si="162"/>
        <v>4</v>
      </c>
      <c r="BZ64" s="16" t="str">
        <f t="shared" ca="1" si="163"/>
        <v>Pos. 4 (2)</v>
      </c>
      <c r="CA64" s="16">
        <f t="shared" ca="1" si="164"/>
        <v>11</v>
      </c>
      <c r="CB64" s="16">
        <f t="shared" ca="1" si="165"/>
        <v>4</v>
      </c>
      <c r="CC64" s="16"/>
      <c r="CD64" s="16">
        <f t="shared" ca="1" si="166"/>
        <v>4</v>
      </c>
      <c r="CE64" s="16">
        <f t="shared" ca="1" si="167"/>
        <v>3</v>
      </c>
      <c r="CF64" s="16">
        <f t="shared" ca="1" si="168"/>
        <v>4</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6</v>
      </c>
      <c r="BN65" s="16">
        <f t="shared" ca="1" si="153"/>
        <v>6</v>
      </c>
      <c r="BO65" s="16" t="str">
        <f t="shared" si="154"/>
        <v>4H</v>
      </c>
      <c r="BP65" s="16"/>
      <c r="BQ65" s="16"/>
      <c r="BR65" s="16">
        <f t="shared" ca="1" si="155"/>
        <v>1</v>
      </c>
      <c r="BS65" s="16">
        <f t="shared" ca="1" si="156"/>
        <v>4</v>
      </c>
      <c r="BT65" s="16" t="str">
        <f t="shared" ca="1" si="157"/>
        <v>Pos. 4 (6)</v>
      </c>
      <c r="BU65" s="16">
        <f t="shared" ca="1" si="158"/>
        <v>0</v>
      </c>
      <c r="BV65" s="16">
        <f t="shared" ca="1" si="159"/>
        <v>4</v>
      </c>
      <c r="BW65" s="16" t="str">
        <f t="shared" ca="1" si="160"/>
        <v>Pos. 4 (3)</v>
      </c>
      <c r="BX65" s="16">
        <f t="shared" ca="1" si="161"/>
        <v>0</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10</v>
      </c>
      <c r="BT66" s="16" t="str">
        <f t="shared" ca="1" si="157"/>
        <v>Pos. 10 (3)</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1</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10</v>
      </c>
      <c r="BT67" s="16" t="str">
        <f t="shared" ca="1" si="157"/>
        <v>Pos. 10 (3)</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6</v>
      </c>
      <c r="CB67" s="16">
        <f t="shared" ca="1" si="165"/>
        <v>11</v>
      </c>
      <c r="CC67" s="16"/>
      <c r="CD67" s="16">
        <f t="shared" ca="1" si="166"/>
        <v>11</v>
      </c>
      <c r="CE67" s="16">
        <f t="shared" ca="1" si="167"/>
        <v>10</v>
      </c>
      <c r="CF67" s="16">
        <f t="shared" ca="1" si="168"/>
        <v>11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4</v>
      </c>
      <c r="BT68" s="16" t="str">
        <f t="shared" ca="1" si="157"/>
        <v>Pos. 4 (6)</v>
      </c>
      <c r="BU68" s="16">
        <f t="shared" ca="1" si="158"/>
        <v>0</v>
      </c>
      <c r="BV68" s="16">
        <f t="shared" ca="1" si="159"/>
        <v>4</v>
      </c>
      <c r="BW68" s="16" t="str">
        <f t="shared" ca="1" si="160"/>
        <v>Pos. 4 (3)</v>
      </c>
      <c r="BX68" s="16">
        <f t="shared" ca="1" si="161"/>
        <v>1</v>
      </c>
      <c r="BY68" s="16">
        <f t="shared" ca="1" si="162"/>
        <v>4</v>
      </c>
      <c r="BZ68" s="16" t="str">
        <f t="shared" ca="1" si="163"/>
        <v>Pos. 4 (2)</v>
      </c>
      <c r="CA68" s="16">
        <f t="shared" ca="1" si="164"/>
        <v>3</v>
      </c>
      <c r="CB68" s="16">
        <f t="shared" ca="1" si="165"/>
        <v>5</v>
      </c>
      <c r="CC68" s="16"/>
      <c r="CD68" s="16">
        <f t="shared" ca="1" si="166"/>
        <v>5</v>
      </c>
      <c r="CE68" s="16">
        <f t="shared" ca="1" si="167"/>
        <v>4</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10</v>
      </c>
      <c r="BT69" s="16" t="str">
        <f t="shared" ca="1" si="157"/>
        <v>Pos. 10 (3)</v>
      </c>
      <c r="BU69" s="16">
        <f t="shared" ca="1" si="158"/>
        <v>-1</v>
      </c>
      <c r="BV69" s="16">
        <f t="shared" ca="1" si="159"/>
        <v>10</v>
      </c>
      <c r="BW69" s="16" t="str">
        <f t="shared" ca="1" si="160"/>
        <v>-</v>
      </c>
      <c r="BX69" s="16" t="str">
        <f t="shared" ca="1" si="161"/>
        <v>-</v>
      </c>
      <c r="BY69" s="16">
        <f t="shared" ca="1" si="162"/>
        <v>10</v>
      </c>
      <c r="BZ69" s="16" t="str">
        <f t="shared" ca="1" si="163"/>
        <v>-</v>
      </c>
      <c r="CA69" s="16" t="str">
        <f t="shared" ca="1" si="164"/>
        <v>-</v>
      </c>
      <c r="CB69" s="16">
        <f t="shared" ca="1" si="165"/>
        <v>10</v>
      </c>
      <c r="CC69" s="16"/>
      <c r="CD69" s="16">
        <f t="shared" ca="1" si="166"/>
        <v>10</v>
      </c>
      <c r="CE69" s="16" t="str">
        <f t="shared" ca="1" si="167"/>
        <v>-</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ACDEFGHK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Suecia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6</v>
      </c>
      <c r="AS102" s="83">
        <f t="shared" ca="1" si="269"/>
        <v>6</v>
      </c>
      <c r="AT102" s="84">
        <f t="shared" ca="1" si="269"/>
        <v>0</v>
      </c>
      <c r="AU102" s="323" t="str">
        <f t="shared" ref="AU102:AU113" ca="1" si="270">IF($H$113=144,INDEX($DL$58:$DL$69,MATCH(AI102,$DP$58:$DP$69,0)),"")</f>
        <v/>
      </c>
      <c r="AV102" s="182" t="str">
        <f t="shared" ref="AV102:AV113" ca="1" si="271">INDEX($BD$58:$BD$69,MATCH(AI102,$BM$58:$BM$69,0))</f>
        <v>Suecia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Escocia</v>
      </c>
      <c r="AM103" s="576">
        <f t="shared" ca="1" si="269"/>
        <v>3</v>
      </c>
      <c r="AN103" s="86">
        <f t="shared" ca="1" si="269"/>
        <v>2</v>
      </c>
      <c r="AO103" s="86">
        <f t="shared" ca="1" si="269"/>
        <v>1</v>
      </c>
      <c r="AP103" s="86">
        <f t="shared" ca="1" si="269"/>
        <v>0</v>
      </c>
      <c r="AQ103" s="86">
        <f t="shared" ca="1" si="269"/>
        <v>1</v>
      </c>
      <c r="AR103" s="86">
        <f t="shared" ca="1" si="269"/>
        <v>1</v>
      </c>
      <c r="AS103" s="86">
        <f t="shared" ca="1" si="269"/>
        <v>1</v>
      </c>
      <c r="AT103" s="87">
        <f t="shared" ca="1" si="269"/>
        <v>0</v>
      </c>
      <c r="AU103" s="323" t="str">
        <f t="shared" ca="1" si="270"/>
        <v/>
      </c>
      <c r="AV103" s="182" t="str">
        <f t="shared" ca="1" si="271"/>
        <v>Escocia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2</v>
      </c>
      <c r="AO104" s="86">
        <f t="shared" ca="1" si="269"/>
        <v>1</v>
      </c>
      <c r="AP104" s="86">
        <f t="shared" ca="1" si="269"/>
        <v>0</v>
      </c>
      <c r="AQ104" s="86">
        <f t="shared" ca="1" si="269"/>
        <v>1</v>
      </c>
      <c r="AR104" s="86">
        <f t="shared" ca="1" si="269"/>
        <v>2</v>
      </c>
      <c r="AS104" s="86">
        <f t="shared" ca="1" si="269"/>
        <v>4</v>
      </c>
      <c r="AT104" s="87">
        <f t="shared" ca="1" si="269"/>
        <v>-2</v>
      </c>
      <c r="AU104" s="323" t="str">
        <f t="shared" ca="1" si="270"/>
        <v/>
      </c>
      <c r="AV104" s="182" t="str">
        <f t="shared" ca="1" si="271"/>
        <v>Paraguay</v>
      </c>
      <c r="AW104" s="215"/>
      <c r="AX104" s="170"/>
      <c r="AY104" s="270"/>
      <c r="AZ104" s="273" t="str">
        <f t="shared" ca="1" si="272"/>
        <v>1B - 3G</v>
      </c>
      <c r="BA104" s="176"/>
      <c r="BF104" t="str">
        <f t="shared" ca="1" si="273"/>
        <v>C</v>
      </c>
      <c r="BG104">
        <f t="shared" ca="1" si="274"/>
        <v>2</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8</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Bélgica</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Bélgica</v>
      </c>
      <c r="AW105" s="215"/>
      <c r="AX105" s="170"/>
      <c r="AY105" s="270"/>
      <c r="AZ105" s="273" t="str">
        <f t="shared" ca="1" si="272"/>
        <v>1D - 3E</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8</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- 3C</v>
      </c>
      <c r="BA106" s="176"/>
      <c r="BF106" t="str">
        <f t="shared" ca="1" si="273"/>
        <v>G</v>
      </c>
      <c r="BG106">
        <f t="shared" ca="1" si="274"/>
        <v>6</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España</v>
      </c>
      <c r="AM107" s="576">
        <f t="shared" ca="1" si="269"/>
        <v>1</v>
      </c>
      <c r="AN107" s="86">
        <f t="shared" ca="1" si="269"/>
        <v>1</v>
      </c>
      <c r="AO107" s="86">
        <f t="shared" ca="1" si="269"/>
        <v>0</v>
      </c>
      <c r="AP107" s="86">
        <f t="shared" ca="1" si="269"/>
        <v>1</v>
      </c>
      <c r="AQ107" s="86">
        <f t="shared" ca="1" si="269"/>
        <v>0</v>
      </c>
      <c r="AR107" s="86">
        <f t="shared" ca="1" si="269"/>
        <v>0</v>
      </c>
      <c r="AS107" s="86">
        <f t="shared" ca="1" si="269"/>
        <v>0</v>
      </c>
      <c r="AT107" s="87">
        <f t="shared" ca="1" si="269"/>
        <v>0</v>
      </c>
      <c r="AU107" s="323" t="str">
        <f t="shared" ca="1" si="270"/>
        <v/>
      </c>
      <c r="AV107" s="182" t="str">
        <f t="shared" ca="1" si="271"/>
        <v>España</v>
      </c>
      <c r="AW107" s="215"/>
      <c r="AX107" s="170"/>
      <c r="AY107" s="270"/>
      <c r="AZ107" s="273" t="str">
        <f t="shared" ca="1" si="272"/>
        <v>1G - 3A</v>
      </c>
      <c r="BA107" s="176"/>
      <c r="BF107" t="str">
        <f t="shared" ca="1" si="273"/>
        <v>K</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H</v>
      </c>
      <c r="BG108">
        <f t="shared" ca="1" si="274"/>
        <v>7</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1</v>
      </c>
      <c r="AN109" s="86">
        <f t="shared" ca="1" si="269"/>
        <v>2</v>
      </c>
      <c r="AO109" s="86">
        <f t="shared" ca="1" si="269"/>
        <v>0</v>
      </c>
      <c r="AP109" s="86">
        <f t="shared" ca="1" si="269"/>
        <v>1</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Bosnia y Herzegovina</v>
      </c>
      <c r="AM110" s="576">
        <f t="shared" ca="1" si="269"/>
        <v>1</v>
      </c>
      <c r="AN110" s="86">
        <f t="shared" ca="1" si="269"/>
        <v>2</v>
      </c>
      <c r="AO110" s="86">
        <f t="shared" ca="1" si="269"/>
        <v>0</v>
      </c>
      <c r="AP110" s="86">
        <f t="shared" ca="1" si="269"/>
        <v>1</v>
      </c>
      <c r="AQ110" s="86">
        <f t="shared" ca="1" si="269"/>
        <v>1</v>
      </c>
      <c r="AR110" s="86">
        <f t="shared" ca="1" si="269"/>
        <v>2</v>
      </c>
      <c r="AS110" s="86">
        <f t="shared" ca="1" si="269"/>
        <v>5</v>
      </c>
      <c r="AT110" s="87">
        <f t="shared" ca="1" si="269"/>
        <v>-3</v>
      </c>
      <c r="AU110" s="323" t="str">
        <f t="shared" ca="1" si="270"/>
        <v/>
      </c>
      <c r="AV110" s="182" t="str">
        <f t="shared" ca="1" si="271"/>
        <v>Bosnia y Herzegovina</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ACDEFGHK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72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4</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-8</v>
      </c>
      <c r="K47" s="467" t="str">
        <f ca="1">+INDEX(WORLDCUP!$AR$6:$AR$97,MATCH(L47,WORLDCUP!$AI$6:$AI$97,0))&amp;"-"&amp;INDEX(WORLDCUP!$AS$6:$AS$97,MATCH(L47,WORLDCUP!$AI$6:$AI$97,0))</f>
        <v>1-9</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Suecia</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Suecia</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Suecia</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Suecia</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Suecia</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Suecia</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Suecia</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Suecia</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Suecia</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Suecia</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Suecia</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Suecia</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Suecia</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Suecia</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Suecia</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Suecia</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Suecia</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Suecia</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Suecia</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Suecia</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1</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Suecia</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Suecia</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Suecia</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2026-06-21T06:01:23Z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
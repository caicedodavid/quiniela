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037C8C3-EF9D-1047-B635-1A1FCE2BCACB}"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3" i="4" l="1"/>
  <c r="F43" i="4"/>
  <c r="F4" i="4"/>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1" i="4" l="1"/>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F37" i="2" s="1"/>
  <c r="BT39" i="2"/>
  <c r="BT52" i="2"/>
  <c r="BT16" i="2"/>
  <c r="E21" i="2" s="1"/>
  <c r="BT32" i="2"/>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BT12" i="2"/>
  <c r="E13" i="2" s="1"/>
  <c r="BT6" i="2"/>
  <c r="F8" i="2" s="1"/>
  <c r="BT10" i="2"/>
  <c r="E12" i="2" s="1"/>
  <c r="BT46" i="2"/>
  <c r="BI112" i="2"/>
  <c r="BT19" i="2"/>
  <c r="F28" i="2" s="1"/>
  <c r="BT29" i="2"/>
  <c r="F45" i="2" s="1"/>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CA45" i="2" s="1"/>
  <c r="BZ24" i="2"/>
  <c r="BZ36" i="2"/>
  <c r="CB36" i="2" s="1"/>
  <c r="BZ39" i="2"/>
  <c r="CB39" i="2" s="1"/>
  <c r="BZ31" i="2"/>
  <c r="BZ22" i="2"/>
  <c r="BZ23" i="2"/>
  <c r="BZ33" i="2"/>
  <c r="CB33" i="2" s="1"/>
  <c r="BZ21" i="2"/>
  <c r="BZ27" i="2"/>
  <c r="BZ12" i="2"/>
  <c r="H13" i="2" s="1"/>
  <c r="BZ53" i="2"/>
  <c r="CA53" i="2" s="1"/>
  <c r="BZ25" i="2"/>
  <c r="BZ51" i="2"/>
  <c r="CA51" i="2" s="1"/>
  <c r="BZ16" i="2"/>
  <c r="BZ50" i="2"/>
  <c r="CA50" i="2" s="1"/>
  <c r="BZ34" i="2"/>
  <c r="BZ41" i="2"/>
  <c r="CB41" i="2" s="1"/>
  <c r="BZ30" i="2"/>
  <c r="BZ9" i="2"/>
  <c r="H8" i="2" s="1"/>
  <c r="BZ32" i="2"/>
  <c r="CB32" i="2" s="1"/>
  <c r="BZ17" i="2"/>
  <c r="BZ47" i="2"/>
  <c r="CA47" i="2" s="1"/>
  <c r="BZ6" i="2"/>
  <c r="BZ38" i="2"/>
  <c r="CB38" i="2" s="1"/>
  <c r="BZ46" i="2"/>
  <c r="CA46" i="2" s="1"/>
  <c r="BZ15" i="2"/>
  <c r="BZ44" i="2"/>
  <c r="CB44" i="2" s="1"/>
  <c r="BZ48" i="2"/>
  <c r="CA48" i="2" s="1"/>
  <c r="BZ26" i="2"/>
  <c r="BZ19" i="2"/>
  <c r="BZ20" i="2"/>
  <c r="BZ29" i="2"/>
  <c r="BZ10" i="2"/>
  <c r="BZ8" i="2"/>
  <c r="BZ28" i="2"/>
  <c r="BZ37" i="2"/>
  <c r="CA37" i="2" s="1"/>
  <c r="BZ52" i="2"/>
  <c r="CB52" i="2" s="1"/>
  <c r="BZ13" i="2"/>
  <c r="BZ35" i="2"/>
  <c r="BZ18" i="2"/>
  <c r="BZ43" i="2"/>
  <c r="CB43" i="2" s="1"/>
  <c r="BZ11" i="2"/>
  <c r="BZ14" i="2"/>
  <c r="BZ7" i="2"/>
  <c r="H9" i="2" s="1"/>
  <c r="CA49" i="2"/>
  <c r="CB49" i="2"/>
  <c r="CB40" i="2"/>
  <c r="CA40" i="2"/>
  <c r="CB45" i="2"/>
  <c r="CB30" i="2" l="1"/>
  <c r="H52" i="2"/>
  <c r="CA31" i="2"/>
  <c r="I52" i="2"/>
  <c r="H60" i="2"/>
  <c r="CB35" i="2"/>
  <c r="I60" i="2"/>
  <c r="CA34" i="2" s="1"/>
  <c r="CB29" i="2"/>
  <c r="I45" i="2"/>
  <c r="CA28" i="2"/>
  <c r="H45" i="2"/>
  <c r="H37" i="2"/>
  <c r="CB25" i="2"/>
  <c r="I37" i="2"/>
  <c r="CA24" i="2" s="1"/>
  <c r="H44" i="2"/>
  <c r="CA27" i="2" s="1"/>
  <c r="I44" i="2"/>
  <c r="CB26" i="2" s="1"/>
  <c r="CA33" i="2"/>
  <c r="CC33" i="2" s="1"/>
  <c r="CA42" i="2"/>
  <c r="CC42" i="2" s="1"/>
  <c r="I36" i="2"/>
  <c r="CB22" i="2"/>
  <c r="H36" i="2"/>
  <c r="CB23" i="2" s="1"/>
  <c r="I29" i="2"/>
  <c r="CB20" i="2" s="1"/>
  <c r="H29" i="2"/>
  <c r="CA21" i="2" s="1"/>
  <c r="CA16" i="2"/>
  <c r="H21" i="2"/>
  <c r="CB17" i="2"/>
  <c r="I21" i="2"/>
  <c r="I20" i="2"/>
  <c r="CB14" i="2" s="1"/>
  <c r="H20" i="2"/>
  <c r="CB15" i="2" s="1"/>
  <c r="CB27" i="2"/>
  <c r="CB31" i="2"/>
  <c r="CC31" i="2" s="1"/>
  <c r="CA25" i="2"/>
  <c r="CA13" i="2"/>
  <c r="I13" i="2"/>
  <c r="I28" i="2"/>
  <c r="CB18" i="2" s="1"/>
  <c r="H28" i="2"/>
  <c r="CA19" i="2" s="1"/>
  <c r="I12" i="2"/>
  <c r="CB10" i="2" s="1"/>
  <c r="CA23" i="2"/>
  <c r="H12" i="2"/>
  <c r="CA11" i="2" s="1"/>
  <c r="CA30" i="2"/>
  <c r="CC30" i="2" s="1"/>
  <c r="CB28" i="2"/>
  <c r="CC28" i="2" s="1"/>
  <c r="CA17" i="2"/>
  <c r="CC17" i="2" s="1"/>
  <c r="CA29" i="2"/>
  <c r="CC29" i="2" s="1"/>
  <c r="CB53" i="2"/>
  <c r="CC53" i="2" s="1"/>
  <c r="I7" i="2"/>
  <c r="I9" i="2"/>
  <c r="CA32" i="2"/>
  <c r="CC32" i="2" s="1"/>
  <c r="CB24" i="2"/>
  <c r="CB16" i="2"/>
  <c r="CC16" i="2" s="1"/>
  <c r="CA36" i="2"/>
  <c r="CC36" i="2" s="1"/>
  <c r="H7" i="2"/>
  <c r="I8" i="2"/>
  <c r="CB47" i="2"/>
  <c r="CC47" i="2" s="1"/>
  <c r="CA20" i="2"/>
  <c r="CA26" i="2"/>
  <c r="CA14" i="2"/>
  <c r="I4" i="2"/>
  <c r="CB6" i="2" s="1"/>
  <c r="I6" i="2"/>
  <c r="I5" i="2"/>
  <c r="CB8" i="2" s="1"/>
  <c r="H6" i="2"/>
  <c r="CA44" i="2"/>
  <c r="CC44" i="2" s="1"/>
  <c r="H5" i="2"/>
  <c r="CA52" i="2"/>
  <c r="CC52" i="2" s="1"/>
  <c r="CB46" i="2"/>
  <c r="CC46" i="2" s="1"/>
  <c r="CB50" i="2"/>
  <c r="CC50" i="2" s="1"/>
  <c r="CB34" i="2"/>
  <c r="CB13" i="2"/>
  <c r="CB37" i="2"/>
  <c r="CC37" i="2" s="1"/>
  <c r="CB51" i="2"/>
  <c r="CC51" i="2" s="1"/>
  <c r="CA38" i="2"/>
  <c r="CC38" i="2" s="1"/>
  <c r="CB48" i="2"/>
  <c r="CC48" i="2" s="1"/>
  <c r="H4" i="2"/>
  <c r="CC40" i="2"/>
  <c r="CA39" i="2"/>
  <c r="CC39" i="2" s="1"/>
  <c r="CA22" i="2"/>
  <c r="CC22" i="2" s="1"/>
  <c r="CA35" i="2"/>
  <c r="CC35" i="2" s="1"/>
  <c r="CB19" i="2"/>
  <c r="CA41" i="2"/>
  <c r="CC41" i="2" s="1"/>
  <c r="CC49" i="2"/>
  <c r="CC45" i="2"/>
  <c r="CA43" i="2"/>
  <c r="CC43" i="2" s="1"/>
  <c r="CC25" i="2" l="1"/>
  <c r="CC34" i="2"/>
  <c r="CC27" i="2"/>
  <c r="CC24" i="2"/>
  <c r="CB21" i="2"/>
  <c r="CC21" i="2" s="1"/>
  <c r="CA15" i="2"/>
  <c r="CC15" i="2" s="1"/>
  <c r="CC26" i="2"/>
  <c r="CC23" i="2"/>
  <c r="CA18" i="2"/>
  <c r="CC18" i="2" s="1"/>
  <c r="CC20" i="2"/>
  <c r="CC13"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F39" i="2" s="1"/>
  <c r="CE36" i="2"/>
  <c r="CF36" i="2" s="1"/>
  <c r="CE42" i="2"/>
  <c r="CF42" i="2" s="1"/>
  <c r="CE7" i="2"/>
  <c r="CE25" i="2"/>
  <c r="CE20" i="2"/>
  <c r="CE47" i="2"/>
  <c r="CF47" i="2" s="1"/>
  <c r="CE34" i="2"/>
  <c r="CE6" i="2"/>
  <c r="L8" i="2" s="1"/>
  <c r="CE33" i="2"/>
  <c r="CF33" i="2" s="1"/>
  <c r="CE11" i="2"/>
  <c r="CE15" i="2"/>
  <c r="CE32" i="2"/>
  <c r="CF32" i="2" s="1"/>
  <c r="CE8" i="2"/>
  <c r="L9" i="2" s="1"/>
  <c r="CE31" i="2"/>
  <c r="CE45" i="2"/>
  <c r="CF45" i="2" s="1"/>
  <c r="CE12" i="2"/>
  <c r="CE22" i="2"/>
  <c r="CE37" i="2"/>
  <c r="CF37" i="2" s="1"/>
  <c r="CE9" i="2"/>
  <c r="CE49" i="2"/>
  <c r="CF49" i="2" s="1"/>
  <c r="CE28" i="2"/>
  <c r="CE21" i="2"/>
  <c r="CE48" i="2"/>
  <c r="CF48" i="2" s="1"/>
  <c r="CE10" i="2"/>
  <c r="CE13" i="2"/>
  <c r="CE40" i="2"/>
  <c r="CF40" i="2" s="1"/>
  <c r="CE38" i="2"/>
  <c r="CF38" i="2" s="1"/>
  <c r="CE35" i="2"/>
  <c r="CE16" i="2"/>
  <c r="CE26" i="2"/>
  <c r="CE19" i="2"/>
  <c r="CE18" i="2"/>
  <c r="CE41" i="2"/>
  <c r="CF41" i="2" s="1"/>
  <c r="CE43" i="2"/>
  <c r="CF43" i="2" s="1"/>
  <c r="CE14" i="2"/>
  <c r="CE46" i="2"/>
  <c r="CF46" i="2" s="1"/>
  <c r="K52" i="2" l="1"/>
  <c r="CF31" i="2"/>
  <c r="L52" i="2"/>
  <c r="CF30" i="2" s="1"/>
  <c r="K60" i="2"/>
  <c r="CF35" i="2"/>
  <c r="L60" i="2"/>
  <c r="CF34" i="2" s="1"/>
  <c r="CF28" i="2"/>
  <c r="K45" i="2"/>
  <c r="CF29" i="2"/>
  <c r="L45" i="2"/>
  <c r="K37" i="2"/>
  <c r="CF25" i="2"/>
  <c r="L37" i="2"/>
  <c r="CF24" i="2" s="1"/>
  <c r="CF27" i="2"/>
  <c r="L44" i="2"/>
  <c r="CF26" i="2" s="1"/>
  <c r="K44" i="2"/>
  <c r="K36" i="2"/>
  <c r="CF23" i="2"/>
  <c r="L36" i="2"/>
  <c r="CF22" i="2" s="1"/>
  <c r="CF21" i="2"/>
  <c r="L29" i="2"/>
  <c r="CF20" i="2" s="1"/>
  <c r="K29" i="2"/>
  <c r="CF16" i="2"/>
  <c r="K21" i="2"/>
  <c r="CF17" i="2"/>
  <c r="L21" i="2"/>
  <c r="K20" i="2"/>
  <c r="CF15" i="2" s="1"/>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H16" i="2"/>
  <c r="CH44" i="2"/>
  <c r="CI44" i="2" s="1"/>
  <c r="CH25" i="2"/>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H31" i="2"/>
  <c r="CH12" i="2"/>
  <c r="CH37" i="2"/>
  <c r="CK37" i="2" s="1"/>
  <c r="CH35" i="2"/>
  <c r="CH53" i="2"/>
  <c r="CJ53" i="2" s="1"/>
  <c r="CK41" i="2"/>
  <c r="CH17" i="2"/>
  <c r="CH19" i="2"/>
  <c r="CH52" i="2"/>
  <c r="CH51" i="2"/>
  <c r="CK51" i="2" s="1"/>
  <c r="CH9" i="2"/>
  <c r="O5" i="2" s="1"/>
  <c r="CH30" i="2"/>
  <c r="CH13" i="2"/>
  <c r="CH42" i="2"/>
  <c r="CI42" i="2" s="1"/>
  <c r="CH27" i="2"/>
  <c r="CH40" i="2"/>
  <c r="N9" i="2"/>
  <c r="O6" i="2"/>
  <c r="CH26" i="2"/>
  <c r="N44" i="2" s="1"/>
  <c r="CH11" i="2"/>
  <c r="O12" i="2" s="1"/>
  <c r="CH33" i="2"/>
  <c r="CH22" i="2"/>
  <c r="N36" i="2" s="1"/>
  <c r="CH21" i="2"/>
  <c r="O29" i="2" s="1"/>
  <c r="CH15" i="2"/>
  <c r="CH10" i="2"/>
  <c r="N12" i="2" s="1"/>
  <c r="CH39" i="2"/>
  <c r="CI16" i="2"/>
  <c r="CH29" i="2"/>
  <c r="O45" i="2" s="1"/>
  <c r="CH20" i="2"/>
  <c r="CH50" i="2"/>
  <c r="N7" i="2"/>
  <c r="O8" i="2"/>
  <c r="N4" i="2"/>
  <c r="CJ7" i="2" s="1"/>
  <c r="N5" i="2"/>
  <c r="O7" i="2"/>
  <c r="CI28" i="2"/>
  <c r="CK28" i="2"/>
  <c r="CJ28" i="2"/>
  <c r="CJ31" i="2" l="1"/>
  <c r="O52" i="2"/>
  <c r="CJ30" i="2"/>
  <c r="N52" i="2"/>
  <c r="O60" i="2"/>
  <c r="CJ34" i="2"/>
  <c r="N60" i="2"/>
  <c r="CJ35" i="2" s="1"/>
  <c r="CJ24" i="2"/>
  <c r="N37" i="2"/>
  <c r="CJ25" i="2"/>
  <c r="O37" i="2"/>
  <c r="CI27" i="2"/>
  <c r="O44" i="2"/>
  <c r="CI45" i="2"/>
  <c r="CL45" i="2" s="1"/>
  <c r="CK20" i="2"/>
  <c r="N29" i="2"/>
  <c r="CK45" i="2"/>
  <c r="CI8" i="2"/>
  <c r="CK17" i="2"/>
  <c r="O21" i="2"/>
  <c r="CJ16" i="2"/>
  <c r="N21" i="2"/>
  <c r="CL41" i="2"/>
  <c r="CI15" i="2"/>
  <c r="O20" i="2"/>
  <c r="CI14" i="2"/>
  <c r="N20" i="2"/>
  <c r="CI34" i="2"/>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35" i="2" l="1"/>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CN32" i="2"/>
  <c r="CN45" i="2"/>
  <c r="CN53" i="2"/>
  <c r="CN18" i="2"/>
  <c r="Q28" i="2" s="1"/>
  <c r="CN33" i="2"/>
  <c r="CN30" i="2"/>
  <c r="Q52" i="2" s="1"/>
  <c r="CN28" i="2"/>
  <c r="Q45" i="2" s="1"/>
  <c r="CN36" i="2"/>
  <c r="CN24" i="2"/>
  <c r="Q37" i="2" s="1"/>
  <c r="CN48" i="2"/>
  <c r="CN34" i="2"/>
  <c r="Q60" i="2" s="1"/>
  <c r="CN13" i="2"/>
  <c r="R13" i="2" s="1"/>
  <c r="CN51" i="2"/>
  <c r="CN43" i="2"/>
  <c r="CN15" i="2"/>
  <c r="R20" i="2" s="1"/>
  <c r="CN14" i="2"/>
  <c r="Q20" i="2" s="1"/>
  <c r="CN40" i="2"/>
  <c r="CN26" i="2"/>
  <c r="Q44" i="2" s="1"/>
  <c r="CN31" i="2"/>
  <c r="R52" i="2" s="1"/>
  <c r="CN38" i="2"/>
  <c r="CN21" i="2"/>
  <c r="R29" i="2" s="1"/>
  <c r="CN23" i="2"/>
  <c r="R36" i="2" s="1"/>
  <c r="CN17" i="2"/>
  <c r="R21" i="2" s="1"/>
  <c r="CN20" i="2"/>
  <c r="Q29" i="2" s="1"/>
  <c r="CN35" i="2"/>
  <c r="R60" i="2" s="1"/>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S39" i="2"/>
  <c r="CT39" i="2" s="1"/>
  <c r="CS28" i="2"/>
  <c r="CS44" i="2"/>
  <c r="CT44" i="2" s="1"/>
  <c r="CS20" i="2"/>
  <c r="CS21" i="2"/>
  <c r="CS38" i="2"/>
  <c r="CT38" i="2" s="1"/>
  <c r="CS30" i="2"/>
  <c r="CS32" i="2"/>
  <c r="CT32" i="2" s="1"/>
  <c r="CS17" i="2"/>
  <c r="CS7" i="2"/>
  <c r="U4" i="2" s="1"/>
  <c r="CS23" i="2"/>
  <c r="CS48" i="2"/>
  <c r="CT48" i="2" s="1"/>
  <c r="CS12" i="2"/>
  <c r="CS34" i="2"/>
  <c r="CS16" i="2"/>
  <c r="CS10" i="2"/>
  <c r="CS9" i="2"/>
  <c r="T6" i="2" s="1"/>
  <c r="CS40" i="2"/>
  <c r="CT40" i="2" s="1"/>
  <c r="CS6" i="2"/>
  <c r="T7" i="2" s="1"/>
  <c r="CS11" i="2"/>
  <c r="CS27" i="2"/>
  <c r="CS46" i="2"/>
  <c r="CT46" i="2" s="1"/>
  <c r="CS42" i="2"/>
  <c r="CT42" i="2" s="1"/>
  <c r="CS25" i="2"/>
  <c r="CS19" i="2"/>
  <c r="CS33" i="2"/>
  <c r="CT33" i="2" s="1"/>
  <c r="CS13" i="2"/>
  <c r="CS37" i="2"/>
  <c r="CT37" i="2" s="1"/>
  <c r="CS36" i="2"/>
  <c r="CT36" i="2" s="1"/>
  <c r="CS51" i="2"/>
  <c r="CT51" i="2" s="1"/>
  <c r="CS50" i="2"/>
  <c r="CT50" i="2" s="1"/>
  <c r="CS45" i="2"/>
  <c r="CT45" i="2" s="1"/>
  <c r="CS24" i="2"/>
  <c r="CS47" i="2"/>
  <c r="CT47" i="2" s="1"/>
  <c r="CS43" i="2"/>
  <c r="CT43" i="2" s="1"/>
  <c r="CS35" i="2"/>
  <c r="CS22" i="2"/>
  <c r="U7" i="2"/>
  <c r="CT31" i="2" l="1"/>
  <c r="U52" i="2"/>
  <c r="CT30" i="2"/>
  <c r="T52" i="2"/>
  <c r="CT35" i="2"/>
  <c r="U60" i="2"/>
  <c r="CT34" i="2"/>
  <c r="T60" i="2"/>
  <c r="CT29" i="2"/>
  <c r="U45" i="2"/>
  <c r="CT28" i="2"/>
  <c r="T45" i="2"/>
  <c r="CT25" i="2"/>
  <c r="U37" i="2"/>
  <c r="CT24" i="2" s="1"/>
  <c r="T37" i="2"/>
  <c r="U44" i="2"/>
  <c r="CT26" i="2"/>
  <c r="T44" i="2"/>
  <c r="CT27" i="2" s="1"/>
  <c r="CT22" i="2"/>
  <c r="T36" i="2"/>
  <c r="CT23" i="2"/>
  <c r="U36" i="2"/>
  <c r="U29" i="2"/>
  <c r="CT20" i="2" s="1"/>
  <c r="T29" i="2"/>
  <c r="CT21" i="2" s="1"/>
  <c r="CT17" i="2"/>
  <c r="U21" i="2"/>
  <c r="CT16" i="2"/>
  <c r="T21" i="2"/>
  <c r="U20" i="2"/>
  <c r="CT14" i="2" s="1"/>
  <c r="T20" i="2"/>
  <c r="CT15" i="2" s="1"/>
  <c r="T13" i="2"/>
  <c r="U5" i="2"/>
  <c r="CT8" i="2" s="1"/>
  <c r="CT13" i="2"/>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<sst xmlns="http://schemas.openxmlformats.org/spreadsheetml/2006/main" count="6754" uniqueCount="1516">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</sst>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0"/>
  <sheetViews>
    <sheetView showGridLines="0" showRowColHeaders="0" tabSelected="1" zoomScaleNormal="100" workbookViewId="0">
      <selection activeCell="AW56" sqref="AW5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60" spans="1:31" x14ac:dyDescent="0.2">
      <c r="AC60" s="292">
        <v>0</v>
      </c>
      <c r="AD60"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0" zoomScaleNormal="100" workbookViewId="0">
      <selection activeCell="AW56" sqref="AW5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1</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1</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2</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0</v>
      </c>
      <c r="BW32" s="16">
        <f t="shared" ca="1" si="30"/>
        <v>0</v>
      </c>
      <c r="BX32" s="16">
        <f t="shared" ca="1" si="31"/>
        <v>0</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0</v>
      </c>
      <c r="CK32" s="16">
        <f t="shared" ca="1" si="38"/>
        <v>0</v>
      </c>
      <c r="CL32" s="16">
        <f t="shared" ca="1" si="39"/>
        <v>0</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0</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P.3 (2)</v>
      </c>
      <c r="CZ32" s="16">
        <f t="shared" ca="1" si="45"/>
        <v>0</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P.3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3</v>
      </c>
      <c r="DK32" s="16">
        <f t="shared" ca="1" si="48"/>
        <v>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0</v>
      </c>
      <c r="BW33" s="16">
        <f t="shared" ca="1" si="30"/>
        <v>0</v>
      </c>
      <c r="BX33" s="16">
        <f t="shared" ca="1" si="31"/>
        <v>0</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0</v>
      </c>
      <c r="CK33" s="16">
        <f t="shared" ca="1" si="38"/>
        <v>0</v>
      </c>
      <c r="CL33" s="16">
        <f t="shared" ca="1" si="39"/>
        <v>0</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0</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45"/>
        <v>0</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P.3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3</v>
      </c>
      <c r="DK33" s="16">
        <f t="shared" ca="1" si="48"/>
        <v>2</v>
      </c>
      <c r="DL33" s="16">
        <f t="shared" ca="1" si="49"/>
        <v>1</v>
      </c>
      <c r="DM33" s="16" t="str">
        <f t="shared" ca="1" si="50"/>
        <v>3.1</v>
      </c>
      <c r="DN33" s="16">
        <f t="array" aca="1" ref="DN33" ca="1">OFFSET(Horarios!$P$3,DJ33-1,0,DL33,1)</f>
        <v>3</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(2)</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(2)</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(2)</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(2)</v>
      </c>
      <c r="CI35" s="16">
        <f t="shared" ca="1" si="36"/>
        <v>0</v>
      </c>
      <c r="CJ35" s="16">
        <f t="shared" ca="1" si="37"/>
        <v>1</v>
      </c>
      <c r="CK35" s="16">
        <f t="shared" ca="1" si="38"/>
        <v>0</v>
      </c>
      <c r="CL35" s="16">
        <f t="shared" ca="1" si="39"/>
        <v>1</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(2)</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(2)</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(2)</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(2)</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2</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0</v>
      </c>
      <c r="BW36" s="16">
        <f t="shared" ca="1" si="30"/>
        <v>0</v>
      </c>
      <c r="BX36" s="16">
        <f t="shared" ca="1" si="31"/>
        <v>0</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0</v>
      </c>
      <c r="CB36" s="16">
        <f t="shared" ca="1" si="33"/>
        <v>0</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0</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0</v>
      </c>
      <c r="CK36" s="16">
        <f t="shared" ca="1" si="38"/>
        <v>0</v>
      </c>
      <c r="CL36" s="16">
        <f t="shared" ca="1" si="39"/>
        <v>0</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0</v>
      </c>
      <c r="CP36" s="16">
        <f t="shared" ca="1" si="41"/>
        <v>0</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0</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0</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P.3 (2)</v>
      </c>
      <c r="CZ36" s="16">
        <f t="shared" ca="1" si="45"/>
        <v>0</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P.3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3</v>
      </c>
      <c r="DK36" s="16">
        <f t="shared" ca="1" si="48"/>
        <v>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0</v>
      </c>
      <c r="BW37" s="16">
        <f t="shared" ca="1" si="30"/>
        <v>0</v>
      </c>
      <c r="BX37" s="16">
        <f t="shared" ca="1" si="31"/>
        <v>0</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0</v>
      </c>
      <c r="CB37" s="16">
        <f t="shared" ca="1" si="33"/>
        <v>0</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0</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0</v>
      </c>
      <c r="CK37" s="16">
        <f t="shared" ca="1" si="38"/>
        <v>0</v>
      </c>
      <c r="CL37" s="16">
        <f t="shared" ca="1" si="39"/>
        <v>0</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0</v>
      </c>
      <c r="CP37" s="16">
        <f t="shared" ca="1" si="41"/>
        <v>0</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0</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0</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P.3 (2)</v>
      </c>
      <c r="CZ37" s="16">
        <f t="shared" ca="1" si="45"/>
        <v>0</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P.3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3</v>
      </c>
      <c r="DK37" s="16">
        <f t="shared" ca="1" si="48"/>
        <v>2</v>
      </c>
      <c r="DL37" s="16">
        <f t="shared" ca="1" si="49"/>
        <v>1</v>
      </c>
      <c r="DM37" s="16" t="str">
        <f t="shared" ca="1" si="50"/>
        <v>3.1</v>
      </c>
      <c r="DN37" s="16">
        <f t="array" aca="1" ref="DN37" ca="1">OFFSET(Horarios!$P$3,DJ37-1,0,DL37,1)</f>
        <v>3</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1</v>
      </c>
      <c r="AS54" s="36">
        <f t="shared" ca="1" si="147"/>
        <v>1</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1</v>
      </c>
      <c r="AN55" s="39">
        <f t="shared" ca="1" si="147"/>
        <v>1</v>
      </c>
      <c r="AO55" s="39">
        <f t="shared" ca="1" si="147"/>
        <v>0</v>
      </c>
      <c r="AP55" s="39">
        <f t="shared" ca="1" si="147"/>
        <v>1</v>
      </c>
      <c r="AQ55" s="39">
        <f t="shared" ca="1" si="147"/>
        <v>0</v>
      </c>
      <c r="AR55" s="39">
        <f t="shared" ca="1" si="147"/>
        <v>1</v>
      </c>
      <c r="AS55" s="39">
        <f t="shared" ca="1" si="147"/>
        <v>1</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4</v>
      </c>
      <c r="BT58" s="16" t="str">
        <f t="shared" ref="BT58:BT69" ca="1" si="157">IF(COUNTIF(BS$58:BS$69,BS58)=1,"-","Pos. "&amp;BS58&amp;" ("&amp;COUNTIF(BS$58:BS$69,BS58)&amp;")")</f>
        <v>Pos. 4 (9)</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2</v>
      </c>
      <c r="BN59" s="16">
        <f t="shared" ca="1" si="153"/>
        <v>2</v>
      </c>
      <c r="BO59" s="16" t="str">
        <f t="shared" si="154"/>
        <v>4B</v>
      </c>
      <c r="BP59" s="16"/>
      <c r="BQ59" s="16"/>
      <c r="BR59" s="16">
        <f t="shared" ca="1" si="155"/>
        <v>1</v>
      </c>
      <c r="BS59" s="16">
        <f t="shared" ca="1" si="156"/>
        <v>1</v>
      </c>
      <c r="BT59" s="16" t="str">
        <f t="shared" ca="1" si="157"/>
        <v>Pos. 1 (3)</v>
      </c>
      <c r="BU59" s="16">
        <f t="shared" ca="1" si="158"/>
        <v>0</v>
      </c>
      <c r="BV59" s="16">
        <f t="shared" ca="1" si="159"/>
        <v>1</v>
      </c>
      <c r="BW59" s="16" t="str">
        <f t="shared" ca="1" si="160"/>
        <v>Pos. 1 (3)</v>
      </c>
      <c r="BX59" s="16">
        <f t="shared" ca="1" si="161"/>
        <v>1</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1</v>
      </c>
      <c r="DM59" s="16" t="str">
        <f t="shared" ca="1" si="171"/>
        <v>2.1</v>
      </c>
      <c r="DN59" s="16">
        <f t="array" aca="1" ref="DN59" ca="1">OFFSET(Horarios!$P$3,DJ59-1,0,DL59,1)</f>
        <v>2</v>
      </c>
      <c r="DO59" s="16"/>
      <c r="DP59" s="16">
        <v>2</v>
      </c>
      <c r="DQ59" s="16" t="str">
        <f t="shared" ca="1" si="172"/>
        <v>Catar</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(2)</v>
      </c>
      <c r="F60" s="16" t="str">
        <f t="shared" ref="F60:F65" ca="1" si="181">IF(D60="Pendiente","-",INDEX($BT$6:$BT$53,MATCH($AF60,$BD$6:$BD$53,0)))</f>
        <v>P.1 (2)</v>
      </c>
      <c r="G60" s="16"/>
      <c r="H60" s="16" t="str">
        <f t="shared" ref="H60:H65" ca="1" si="182">IF(D60="Pendiente","-",INDEX($BZ$6:$BZ$53,MATCH($AA60,$BD$6:$BD$53,0)))</f>
        <v>P.1 (2)</v>
      </c>
      <c r="I60" s="16" t="str">
        <f t="shared" ref="I60:I65" ca="1" si="183">IF(D60="Pendiente","-",INDEX($BZ$6:$BZ$53,MATCH($AF60,$BD$6:$BD$53,0)))</f>
        <v>P.1 (2)</v>
      </c>
      <c r="J60" s="16"/>
      <c r="K60" s="16" t="str">
        <f t="shared" ref="K60:K65" ca="1" si="184">IF(D60="Pendiente","-",INDEX($CE$6:$CE$53,MATCH($AA60,$BD$6:$BD$53,0)))</f>
        <v>P.1 (2)</v>
      </c>
      <c r="L60" s="16" t="str">
        <f t="shared" ref="L60:L65" ca="1" si="185">IF(D60="Pendiente","-",INDEX($CE$6:$CE$53,MATCH($AF60,$BD$6:$BD$53,0)))</f>
        <v>P.1 (2)</v>
      </c>
      <c r="M60" s="16"/>
      <c r="N60" s="16" t="str">
        <f t="shared" ref="N60:N65" ca="1" si="186">IF(D60="Pendiente","-",INDEX($CH$6:$CH$53,MATCH($AA60,$BD$6:$BD$53,0)))</f>
        <v>P.1 (2)</v>
      </c>
      <c r="O60" s="16" t="str">
        <f t="shared" ref="O60:O65" ca="1" si="187">IF(D60="Pendiente","-",INDEX($CH$6:$CH$53,MATCH($AF60,$BD$6:$BD$53,0)))</f>
        <v>P.1 (2)</v>
      </c>
      <c r="P60" s="16"/>
      <c r="Q60" s="16" t="str">
        <f t="shared" ref="Q60:Q65" ca="1" si="188">IF(D60="Pendiente","-",INDEX($CN$6:$CN$53,MATCH($AA60,$BD$6:$BD$53,0)))</f>
        <v>P.1 (2)</v>
      </c>
      <c r="R60" s="16" t="str">
        <f t="shared" ref="R60:R65" ca="1" si="189">IF(D60="Pendiente","-",INDEX($CN$6:$CN$53,MATCH($AF60,$BD$6:$BD$53,0)))</f>
        <v>P.1 (2)</v>
      </c>
      <c r="S60" s="16"/>
      <c r="T60" s="16" t="str">
        <f t="shared" ref="T60:T65" ca="1" si="190">IF(D60="Pendiente","-",INDEX($CS$6:$CS$53,MATCH($AA60,$BD$6:$BD$53,0)))</f>
        <v>P.1 (2)</v>
      </c>
      <c r="U60" s="16" t="str">
        <f t="shared" ref="U60:U65" ca="1" si="191">IF(D60="Pendiente","-",INDEX($CS$6:$CS$53,MATCH($AF60,$BD$6:$BD$53,0)))</f>
        <v>P.1 (2)</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(3)</v>
      </c>
      <c r="BU60" s="16">
        <f t="shared" ca="1" si="158"/>
        <v>0</v>
      </c>
      <c r="BV60" s="16">
        <f t="shared" ca="1" si="159"/>
        <v>1</v>
      </c>
      <c r="BW60" s="16" t="str">
        <f t="shared" ca="1" si="160"/>
        <v>Pos. 1 (3)</v>
      </c>
      <c r="BX60" s="16">
        <f t="shared" ca="1" si="161"/>
        <v>1</v>
      </c>
      <c r="BY60" s="16">
        <f t="shared" ca="1" si="162"/>
        <v>2</v>
      </c>
      <c r="BZ60" s="16" t="str">
        <f t="shared" ca="1" si="163"/>
        <v>Pos. 2 (2)</v>
      </c>
      <c r="CA60" s="16">
        <f t="shared" ca="1" si="164"/>
        <v>3</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4</v>
      </c>
      <c r="BT61" s="16" t="str">
        <f t="shared" ca="1" si="157"/>
        <v>Pos. 4 (9)</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4</v>
      </c>
      <c r="DK61" s="16"/>
      <c r="DL61" s="16">
        <f t="shared" ca="1" si="170"/>
        <v>1</v>
      </c>
      <c r="DM61" s="16" t="str">
        <f t="shared" ca="1" si="171"/>
        <v>4.1</v>
      </c>
      <c r="DN61" s="16">
        <f t="array" aca="1" ref="DN61" ca="1">OFFSET(Horarios!$P$3,DJ61-1,0,DL61,1)</f>
        <v>4</v>
      </c>
      <c r="DO61" s="16"/>
      <c r="DP61" s="16">
        <v>4</v>
      </c>
      <c r="DQ61" s="16" t="str">
        <f t="shared" ca="1" si="172"/>
        <v>Arabia Saudita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4</v>
      </c>
      <c r="BT62" s="16" t="str">
        <f t="shared" ca="1" si="157"/>
        <v>Pos. 4 (9)</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4</v>
      </c>
      <c r="DK62" s="16"/>
      <c r="DL62" s="16">
        <f t="shared" ca="1" si="170"/>
        <v>1</v>
      </c>
      <c r="DM62" s="16" t="str">
        <f t="shared" ca="1" si="171"/>
        <v>4.1</v>
      </c>
      <c r="DN62" s="16">
        <f t="array" aca="1" ref="DN62" ca="1">OFFSET(Horarios!$P$3,DJ62-1,0,DL62,1)</f>
        <v>4</v>
      </c>
      <c r="DO62" s="16"/>
      <c r="DP62" s="16">
        <v>5</v>
      </c>
      <c r="DQ62" s="16" t="str">
        <f t="shared" ca="1" si="172"/>
        <v>Austria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1</v>
      </c>
      <c r="AN63" s="39">
        <f t="shared" ca="1" si="195"/>
        <v>1</v>
      </c>
      <c r="AO63" s="39">
        <f t="shared" ca="1" si="195"/>
        <v>0</v>
      </c>
      <c r="AP63" s="39">
        <f t="shared" ca="1" si="195"/>
        <v>1</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(3)</v>
      </c>
      <c r="BU63" s="16">
        <f t="shared" ca="1" si="158"/>
        <v>0</v>
      </c>
      <c r="BV63" s="16">
        <f t="shared" ca="1" si="159"/>
        <v>1</v>
      </c>
      <c r="BW63" s="16" t="str">
        <f t="shared" ca="1" si="160"/>
        <v>Pos. 1 (3)</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4</v>
      </c>
      <c r="DK63" s="16"/>
      <c r="DL63" s="16">
        <f t="shared" ca="1" si="170"/>
        <v>1</v>
      </c>
      <c r="DM63" s="16" t="str">
        <f t="shared" ca="1" si="171"/>
        <v>4.1</v>
      </c>
      <c r="DN63" s="16">
        <f t="array" aca="1" ref="DN63" ca="1">OFFSET(Horarios!$P$3,DJ63-1,0,DL63,1)</f>
        <v>4</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4</v>
      </c>
      <c r="BT64" s="16" t="str">
        <f t="shared" ca="1" si="157"/>
        <v>Pos. 4 (9)</v>
      </c>
      <c r="BU64" s="16">
        <f t="shared" ca="1" si="158"/>
        <v>0</v>
      </c>
      <c r="BV64" s="16">
        <f t="shared" ca="1" si="159"/>
        <v>4</v>
      </c>
      <c r="BW64" s="16" t="str">
        <f t="shared" ca="1" si="160"/>
        <v>Pos. 4 (6)</v>
      </c>
      <c r="BX64" s="16">
        <f t="shared" ca="1" si="161"/>
        <v>0</v>
      </c>
      <c r="BY64" s="16">
        <f t="shared" ca="1" si="162"/>
        <v>4</v>
      </c>
      <c r="BZ64" s="16" t="str">
        <f t="shared" ca="1" si="163"/>
        <v>Pos. 4 (6)</v>
      </c>
      <c r="CA64" s="16">
        <f t="shared" ca="1" si="164"/>
        <v>5</v>
      </c>
      <c r="CB64" s="16">
        <f t="shared" ca="1" si="165"/>
        <v>8</v>
      </c>
      <c r="CC64" s="16"/>
      <c r="CD64" s="16">
        <f t="shared" ca="1" si="166"/>
        <v>8</v>
      </c>
      <c r="CE64" s="16">
        <f t="shared" ca="1" si="167"/>
        <v>7</v>
      </c>
      <c r="CF64" s="16">
        <f t="shared" ca="1" si="168"/>
        <v>8</v>
      </c>
      <c r="DJ64" s="16">
        <f t="shared" ca="1" si="169"/>
        <v>4</v>
      </c>
      <c r="DK64" s="16"/>
      <c r="DL64" s="16">
        <f t="shared" ca="1" si="170"/>
        <v>1</v>
      </c>
      <c r="DM64" s="16" t="str">
        <f t="shared" ca="1" si="171"/>
        <v>4.1</v>
      </c>
      <c r="DN64" s="16">
        <f t="array" aca="1" ref="DN64" ca="1">OFFSET(Horarios!$P$3,DJ64-1,0,DL64,1)</f>
        <v>4</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4</v>
      </c>
      <c r="BN65" s="16">
        <f t="shared" ca="1" si="153"/>
        <v>4</v>
      </c>
      <c r="BO65" s="16" t="str">
        <f t="shared" si="154"/>
        <v>4H</v>
      </c>
      <c r="BP65" s="16"/>
      <c r="BQ65" s="16"/>
      <c r="BR65" s="16">
        <f t="shared" ca="1" si="155"/>
        <v>0</v>
      </c>
      <c r="BS65" s="16">
        <f t="shared" ca="1" si="156"/>
        <v>4</v>
      </c>
      <c r="BT65" s="16" t="str">
        <f t="shared" ca="1" si="157"/>
        <v>Pos. 4 (9)</v>
      </c>
      <c r="BU65" s="16">
        <f t="shared" ca="1" si="158"/>
        <v>0</v>
      </c>
      <c r="BV65" s="16">
        <f t="shared" ca="1" si="159"/>
        <v>4</v>
      </c>
      <c r="BW65" s="16" t="str">
        <f t="shared" ca="1" si="160"/>
        <v>Pos. 4 (6)</v>
      </c>
      <c r="BX65" s="16">
        <f t="shared" ca="1" si="161"/>
        <v>0</v>
      </c>
      <c r="BY65" s="16">
        <f t="shared" ca="1" si="162"/>
        <v>4</v>
      </c>
      <c r="BZ65" s="16" t="str">
        <f t="shared" ca="1" si="163"/>
        <v>Pos. 4 (6)</v>
      </c>
      <c r="CA65" s="16">
        <f t="shared" ca="1" si="164"/>
        <v>11</v>
      </c>
      <c r="CB65" s="16">
        <f t="shared" ca="1" si="165"/>
        <v>4</v>
      </c>
      <c r="CC65" s="16"/>
      <c r="CD65" s="16">
        <f t="shared" ca="1" si="166"/>
        <v>4</v>
      </c>
      <c r="CE65" s="16">
        <f t="shared" ca="1" si="167"/>
        <v>3</v>
      </c>
      <c r="CF65" s="16">
        <f t="shared" ca="1" si="168"/>
        <v>4</v>
      </c>
      <c r="DJ65" s="16">
        <f t="shared" ca="1" si="169"/>
        <v>4</v>
      </c>
      <c r="DK65" s="16"/>
      <c r="DL65" s="16">
        <f t="shared" ca="1" si="170"/>
        <v>1</v>
      </c>
      <c r="DM65" s="16" t="str">
        <f t="shared" ca="1" si="171"/>
        <v>4.1</v>
      </c>
      <c r="DN65" s="16">
        <f t="array" aca="1" ref="DN65" ca="1">OFFSET(Horarios!$P$3,DJ65-1,0,DL65,1)</f>
        <v>4</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4</v>
      </c>
      <c r="BT66" s="16" t="str">
        <f t="shared" ca="1" si="157"/>
        <v>Pos. 4 (9)</v>
      </c>
      <c r="BU66" s="16">
        <f t="shared" ca="1" si="158"/>
        <v>0</v>
      </c>
      <c r="BV66" s="16">
        <f t="shared" ca="1" si="159"/>
        <v>4</v>
      </c>
      <c r="BW66" s="16" t="str">
        <f t="shared" ca="1" si="160"/>
        <v>Pos. 4 (6)</v>
      </c>
      <c r="BX66" s="16">
        <f t="shared" ca="1" si="161"/>
        <v>0</v>
      </c>
      <c r="BY66" s="16">
        <f t="shared" ca="1" si="162"/>
        <v>4</v>
      </c>
      <c r="BZ66" s="16" t="str">
        <f t="shared" ca="1" si="163"/>
        <v>Pos. 4 (6)</v>
      </c>
      <c r="CA66" s="16">
        <f t="shared" ca="1" si="164"/>
        <v>6</v>
      </c>
      <c r="CB66" s="16">
        <f t="shared" ca="1" si="165"/>
        <v>7</v>
      </c>
      <c r="CC66" s="16"/>
      <c r="CD66" s="16">
        <f t="shared" ca="1" si="166"/>
        <v>7</v>
      </c>
      <c r="CE66" s="16">
        <f t="shared" ca="1" si="167"/>
        <v>6</v>
      </c>
      <c r="CF66" s="16">
        <f t="shared" ca="1" si="168"/>
        <v>7</v>
      </c>
      <c r="DJ66" s="16">
        <f t="shared" ca="1" si="169"/>
        <v>4</v>
      </c>
      <c r="DK66" s="16"/>
      <c r="DL66" s="16">
        <f t="shared" ca="1" si="170"/>
        <v>1</v>
      </c>
      <c r="DM66" s="16" t="str">
        <f t="shared" ca="1" si="171"/>
        <v>4.1</v>
      </c>
      <c r="DN66" s="16">
        <f t="array" aca="1" ref="DN66" ca="1">OFFSET(Horarios!$P$3,DJ66-1,0,DL66,1)</f>
        <v>4</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5</v>
      </c>
      <c r="BN67" s="16">
        <f t="shared" ca="1" si="153"/>
        <v>5</v>
      </c>
      <c r="BO67" s="16" t="str">
        <f t="shared" si="154"/>
        <v>4J</v>
      </c>
      <c r="BP67" s="16"/>
      <c r="BQ67" s="16"/>
      <c r="BR67" s="16">
        <f t="shared" ca="1" si="155"/>
        <v>0</v>
      </c>
      <c r="BS67" s="16">
        <f t="shared" ca="1" si="156"/>
        <v>4</v>
      </c>
      <c r="BT67" s="16" t="str">
        <f t="shared" ca="1" si="157"/>
        <v>Pos. 4 (9)</v>
      </c>
      <c r="BU67" s="16">
        <f t="shared" ca="1" si="158"/>
        <v>0</v>
      </c>
      <c r="BV67" s="16">
        <f t="shared" ca="1" si="159"/>
        <v>4</v>
      </c>
      <c r="BW67" s="16" t="str">
        <f t="shared" ca="1" si="160"/>
        <v>Pos. 4 (6)</v>
      </c>
      <c r="BX67" s="16">
        <f t="shared" ca="1" si="161"/>
        <v>0</v>
      </c>
      <c r="BY67" s="16">
        <f t="shared" ca="1" si="162"/>
        <v>4</v>
      </c>
      <c r="BZ67" s="16" t="str">
        <f t="shared" ca="1" si="163"/>
        <v>Pos. 4 (6)</v>
      </c>
      <c r="CA67" s="16">
        <f t="shared" ca="1" si="164"/>
        <v>10</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4</v>
      </c>
      <c r="BT68" s="16" t="str">
        <f t="shared" ca="1" si="157"/>
        <v>Pos. 4 (9)</v>
      </c>
      <c r="BU68" s="16">
        <f t="shared" ca="1" si="158"/>
        <v>0</v>
      </c>
      <c r="BV68" s="16">
        <f t="shared" ca="1" si="159"/>
        <v>4</v>
      </c>
      <c r="BW68" s="16" t="str">
        <f t="shared" ca="1" si="160"/>
        <v>Pos. 4 (6)</v>
      </c>
      <c r="BX68" s="16">
        <f t="shared" ca="1" si="161"/>
        <v>0</v>
      </c>
      <c r="BY68" s="16">
        <f t="shared" ca="1" si="162"/>
        <v>4</v>
      </c>
      <c r="BZ68" s="16" t="str">
        <f t="shared" ca="1" si="163"/>
        <v>Pos. 4 (6)</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4</v>
      </c>
      <c r="BT69" s="16" t="str">
        <f t="shared" ca="1" si="157"/>
        <v>Pos. 4 (9)</v>
      </c>
      <c r="BU69" s="16">
        <f t="shared" ca="1" si="158"/>
        <v>0</v>
      </c>
      <c r="BV69" s="16">
        <f t="shared" ca="1" si="159"/>
        <v>4</v>
      </c>
      <c r="BW69" s="16" t="str">
        <f t="shared" ca="1" si="160"/>
        <v>Pos. 4 (6)</v>
      </c>
      <c r="BX69" s="16">
        <f t="shared" ca="1" si="161"/>
        <v>0</v>
      </c>
      <c r="BY69" s="16">
        <f t="shared" ca="1" si="162"/>
        <v>4</v>
      </c>
      <c r="BZ69" s="16" t="str">
        <f t="shared" ca="1" si="163"/>
        <v>Pos. 4 (6)</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41"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Catar</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Marruecos</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Arabia Saudita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Austria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2</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2</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1</v>
      </c>
      <c r="V4" s="438">
        <f ca="1">+INDEX(WORLDCUP!$AT$6:$AT$97,MATCH(X4,WORLDCUP!$AI$6:$AI$97,0))</f>
        <v>0</v>
      </c>
      <c r="W4" s="439" t="str">
        <f ca="1">+INDEX(WORLDCUP!$AR$6:$AR$97,MATCH(X4,WORLDCUP!$AI$6:$AI$97,0))&amp;"-"&amp;INDEX(WORLDCUP!$AS$6:$AS$97,MATCH(X4,WORLDCUP!$AI$6:$AI$97,0))</f>
        <v>1-1</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1</v>
      </c>
      <c r="V5" s="39">
        <f ca="1">+INDEX(WORLDCUP!$AT$6:$AT$97,MATCH(X5,WORLDCUP!$AI$6:$AI$97,0))</f>
        <v>0</v>
      </c>
      <c r="W5" s="43" t="str">
        <f ca="1">+INDEX(WORLDCUP!$AR$6:$AR$97,MATCH(X5,WORLDCUP!$AI$6:$AI$97,0))&amp;"-"&amp;INDEX(WORLDCUP!$AS$6:$AS$97,MATCH(X5,WORLDCUP!$AI$6:$AI$97,0))</f>
        <v>1-1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1</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1</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Japón</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Japón</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Japón</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Japón</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Japón</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Japón</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Japón</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Japón</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Japón</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Japón</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Japón</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Japón</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Japón</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Japón</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Japón</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Japón</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Japón</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Japón</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Japón</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Japón</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Japón</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Japón</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Japón</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Japón</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Japón</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Japón</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Japón</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Japón</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Japón</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Japón</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Japón</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Japón</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Japón</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Japón</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Japón</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Japón</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Japón</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Japón</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Japón</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Japón</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Japón</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Japón</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Japón</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Japón</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2026-06-15T21:09:25Z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
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1CBE5A46-CB30-6F41-B0F3-5863E48E64E5}"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D93" i="2"/>
  <c r="AG92" i="2"/>
  <c r="AE92" i="2" a="1"/>
  <c r="AE92" i="2" s="1"/>
  <c r="AB92" i="2" a="1"/>
  <c r="AB92" i="2" s="1"/>
  <c r="D92" i="2"/>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D77" i="2"/>
  <c r="AG76" i="2"/>
  <c r="AE76" i="2" a="1"/>
  <c r="AE76" i="2" s="1"/>
  <c r="AB76" i="2" a="1"/>
  <c r="AB76" i="2" s="1"/>
  <c r="D76" i="2"/>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D53" i="2"/>
  <c r="AG52" i="2"/>
  <c r="AE52" i="2" a="1"/>
  <c r="AE52" i="2" s="1"/>
  <c r="AB52" i="2" a="1"/>
  <c r="AB52" i="2" s="1"/>
  <c r="D52" i="2"/>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R21" i="2"/>
  <c r="AG21" i="2"/>
  <c r="AE21" i="2" a="1"/>
  <c r="AE21" i="2" s="1"/>
  <c r="AB21" i="2" a="1"/>
  <c r="AB21" i="2" s="1"/>
  <c r="D21" i="2"/>
  <c r="AG20" i="2"/>
  <c r="AE20" i="2" a="1"/>
  <c r="AE20" i="2" s="1"/>
  <c r="AB20" i="2" a="1"/>
  <c r="AB20" i="2" s="1"/>
  <c r="D20" i="2"/>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Z91" i="2"/>
  <c r="Z83" i="2"/>
  <c r="Z59" i="2"/>
  <c r="Z75" i="2"/>
  <c r="Z67" i="2"/>
  <c r="Z11" i="2"/>
  <c r="Z27" i="2" s="1"/>
  <c r="Z43" i="2" s="1"/>
  <c r="Z51" i="2"/>
  <c r="AJ77" i="2"/>
  <c r="AJ93" i="2"/>
  <c r="AJ101" i="2"/>
  <c r="AJ45" i="2"/>
  <c r="AJ85" i="2"/>
  <c r="AJ29" i="2"/>
  <c r="AJ69" i="2"/>
  <c r="AJ37" i="2"/>
  <c r="AJ61" i="2"/>
  <c r="AJ21" i="2"/>
  <c r="T55" i="2"/>
  <c r="R55" i="2"/>
  <c r="Q55" i="2"/>
  <c r="O55" i="2"/>
  <c r="N55" i="2"/>
  <c r="K55" i="2"/>
  <c r="I55" i="2"/>
  <c r="H55" i="2"/>
  <c r="F55" i="2"/>
  <c r="E55" i="2"/>
  <c r="L55" i="2"/>
  <c r="U55" i="2"/>
  <c r="N17" i="2"/>
  <c r="L17" i="2"/>
  <c r="K17" i="2"/>
  <c r="I17" i="2"/>
  <c r="H17" i="2"/>
  <c r="Q17" i="2"/>
  <c r="F17" i="2"/>
  <c r="AJ13" i="2"/>
  <c r="O17" i="2"/>
  <c r="R17" i="2"/>
  <c r="Q24" i="2"/>
  <c r="O24" i="2"/>
  <c r="N24" i="2"/>
  <c r="L24" i="2"/>
  <c r="K24" i="2"/>
  <c r="I24" i="2"/>
  <c r="H24" i="2"/>
  <c r="F24" i="2"/>
  <c r="E24" i="2"/>
  <c r="T24" i="2"/>
  <c r="R24" i="2"/>
  <c r="T17" i="2"/>
  <c r="U24" i="2"/>
  <c r="Z68" i="2"/>
  <c r="Z85" i="2"/>
  <c r="Z84" i="2"/>
  <c r="Z69" i="2"/>
  <c r="Z92" i="2"/>
  <c r="Z76" i="2"/>
  <c r="Z77" i="2"/>
  <c r="Z45" i="2"/>
  <c r="Z60" i="2"/>
  <c r="Z52" i="2"/>
  <c r="Z61" i="2"/>
  <c r="Z36" i="2"/>
  <c r="Z44" i="2"/>
  <c r="Z93" i="2"/>
  <c r="Z37" i="2"/>
  <c r="Z21" i="2"/>
  <c r="Z20" i="2"/>
  <c r="Z29" i="2"/>
  <c r="Z53" i="2"/>
  <c r="Z5" i="2"/>
  <c r="Z28" i="2"/>
  <c r="E17" i="2"/>
  <c r="U17" i="2"/>
  <c r="X146" i="2"/>
  <c r="X130" i="2"/>
  <c r="X119" i="2"/>
  <c r="X83" i="2"/>
  <c r="X51" i="2"/>
  <c r="X137" i="2"/>
  <c r="X100" i="2"/>
  <c r="X59" i="2"/>
  <c r="X142" i="2"/>
  <c r="X75" i="2"/>
  <c r="X67" i="2"/>
  <c r="X91" i="2"/>
  <c r="X11" i="2"/>
  <c r="X27" i="2" s="1"/>
  <c r="X43" i="2" s="1"/>
  <c r="AJ53" i="2"/>
  <c r="AC11" i="2"/>
  <c r="N25" i="2"/>
  <c r="O39" i="2"/>
  <c r="N39" i="2"/>
  <c r="L39" i="2"/>
  <c r="U39" i="2"/>
  <c r="T39" i="2"/>
  <c r="R39" i="2"/>
  <c r="Q39" i="2"/>
  <c r="K39" i="2"/>
  <c r="I39" i="2"/>
  <c r="AC142" i="2"/>
  <c r="AC119" i="2"/>
  <c r="AC130" i="2"/>
  <c r="AC75" i="2"/>
  <c r="AC91" i="2"/>
  <c r="AC83" i="2"/>
  <c r="AC59" i="2"/>
  <c r="AC100" i="2"/>
  <c r="AC43" i="2"/>
  <c r="AC35" i="2"/>
  <c r="O25" i="2"/>
  <c r="AR29" i="2"/>
  <c r="E39" i="2"/>
  <c r="AD142" i="2"/>
  <c r="AD59" i="2"/>
  <c r="AD91" i="2"/>
  <c r="AD130" i="2"/>
  <c r="AD119" i="2"/>
  <c r="AD43" i="2"/>
  <c r="AD83" i="2"/>
  <c r="AD100" i="2"/>
  <c r="AD75" i="2"/>
  <c r="AD35" i="2"/>
  <c r="AD27" i="2"/>
  <c r="AD67" i="2"/>
  <c r="AD51" i="2"/>
  <c r="Q25" i="2"/>
  <c r="F39" i="2"/>
  <c r="AF137" i="2"/>
  <c r="AF142" i="2"/>
  <c r="AF146" i="2"/>
  <c r="AF59" i="2"/>
  <c r="AF91" i="2"/>
  <c r="AF67" i="2"/>
  <c r="AF100" i="2"/>
  <c r="AF119" i="2"/>
  <c r="AF83" i="2"/>
  <c r="AF75" i="2"/>
  <c r="AF51" i="2"/>
  <c r="AR85" i="2"/>
  <c r="AR53" i="2"/>
  <c r="AR101" i="2"/>
  <c r="AR77" i="2"/>
  <c r="AR37" i="2"/>
  <c r="AR69" i="2"/>
  <c r="AR93" i="2"/>
  <c r="AR61" i="2"/>
  <c r="AR45" i="2"/>
  <c r="U16" i="2"/>
  <c r="R25" i="2"/>
  <c r="H39" i="2"/>
  <c r="BJ5" i="2"/>
  <c r="BJ57" i="2" s="1"/>
  <c r="T25" i="2"/>
  <c r="N79" i="2"/>
  <c r="L79" i="2"/>
  <c r="K79" i="2"/>
  <c r="F79" i="2"/>
  <c r="Q79" i="2"/>
  <c r="O79" i="2"/>
  <c r="T79" i="2"/>
  <c r="R79" i="2"/>
  <c r="I79" i="2"/>
  <c r="H79" i="2"/>
  <c r="E79" i="2"/>
  <c r="U79" i="2"/>
  <c r="C184" i="3"/>
  <c r="B202" i="3"/>
  <c r="N41" i="2"/>
  <c r="L41" i="2"/>
  <c r="K41" i="2"/>
  <c r="H41" i="2"/>
  <c r="Q41" i="2"/>
  <c r="U41" i="2"/>
  <c r="T41"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AK32" i="4"/>
  <c r="N125" i="2"/>
  <c r="AF125" i="2" s="1"/>
  <c r="C195" i="3" s="1"/>
  <c r="AG109" i="2"/>
  <c r="AG154" i="2"/>
  <c r="C253" i="3"/>
  <c r="H38" i="2"/>
  <c r="F38" i="2"/>
  <c r="E38" i="2"/>
  <c r="I64" i="2"/>
  <c r="H64" i="2"/>
  <c r="F64" i="2"/>
  <c r="L64" i="2"/>
  <c r="U64" i="2"/>
  <c r="T64" i="2"/>
  <c r="R64" i="2"/>
  <c r="O64" i="2"/>
  <c r="C213" i="3"/>
  <c r="L32" i="2"/>
  <c r="K32" i="2"/>
  <c r="K38" i="2"/>
  <c r="F54" i="2"/>
  <c r="E54" i="2"/>
  <c r="N54" i="2"/>
  <c r="L54" i="2"/>
  <c r="K54" i="2"/>
  <c r="H54" i="2"/>
  <c r="Q54" i="2"/>
  <c r="E64" i="2"/>
  <c r="L49" i="2"/>
  <c r="O56" i="2"/>
  <c r="N56" i="2"/>
  <c r="I80" i="2"/>
  <c r="H80" i="2"/>
  <c r="F80" i="2"/>
  <c r="T80" i="2"/>
  <c r="L80" i="2"/>
  <c r="K80" i="2"/>
  <c r="C185" i="3"/>
  <c r="C203" i="3"/>
  <c r="B203" i="3"/>
  <c r="C233" i="3"/>
  <c r="B233" i="3"/>
  <c r="C227" i="3"/>
  <c r="M121" i="2"/>
  <c r="AA120" i="2" s="1"/>
  <c r="AG101" i="2"/>
  <c r="U80" i="2"/>
  <c r="H97" i="2"/>
  <c r="R97" i="2"/>
  <c r="O97" i="2"/>
  <c r="N97" i="2"/>
  <c r="L97" i="2"/>
  <c r="K97" i="2"/>
  <c r="E97" i="2"/>
  <c r="T97" i="2"/>
  <c r="Q97" i="2"/>
  <c r="N120" i="2"/>
  <c r="AF121" i="2" s="1"/>
  <c r="C191" i="3" s="1"/>
  <c r="AG106" i="2"/>
  <c r="F49" i="2"/>
  <c r="R56" i="2"/>
  <c r="I97" i="2"/>
  <c r="C226" i="3"/>
  <c r="C232" i="3"/>
  <c r="B232" i="3"/>
  <c r="AB34" i="9"/>
  <c r="K33" i="8"/>
  <c r="B29" i="8"/>
  <c r="U40" i="2"/>
  <c r="H49" i="2"/>
  <c r="T56" i="2"/>
  <c r="L57" i="2"/>
  <c r="K57" i="2"/>
  <c r="I63" i="2"/>
  <c r="H63" i="2"/>
  <c r="L63" i="2"/>
  <c r="N70" i="2"/>
  <c r="L70" i="2"/>
  <c r="K70" i="2"/>
  <c r="Q70" i="2"/>
  <c r="O70" i="2"/>
  <c r="U97" i="2"/>
  <c r="C244" i="3"/>
  <c r="B244" i="3"/>
  <c r="C236" i="3"/>
  <c r="C258" i="3"/>
  <c r="AG160" i="2"/>
  <c r="E47" i="2"/>
  <c r="E48" i="2"/>
  <c r="I49" i="2"/>
  <c r="U56" i="2"/>
  <c r="E57" i="2"/>
  <c r="I62" i="2"/>
  <c r="H62" i="2"/>
  <c r="E63" i="2"/>
  <c r="E70" i="2"/>
  <c r="I71" i="2"/>
  <c r="H71" i="2"/>
  <c r="F71" i="2"/>
  <c r="T71" i="2"/>
  <c r="L71" i="2"/>
  <c r="K71" i="2"/>
  <c r="AG103" i="2"/>
  <c r="M120" i="2"/>
  <c r="AA121" i="2" s="1"/>
  <c r="M125" i="2"/>
  <c r="AA125" i="2" s="1"/>
  <c r="AG110" i="2"/>
  <c r="U73" i="2"/>
  <c r="N87" i="2"/>
  <c r="AG105" i="2"/>
  <c r="N122" i="2"/>
  <c r="AF122" i="2" s="1"/>
  <c r="C192" i="3" s="1"/>
  <c r="M124" i="2"/>
  <c r="AA124" i="2" s="1"/>
  <c r="AG112" i="2"/>
  <c r="E73" i="2"/>
  <c r="U78" i="2"/>
  <c r="O87" i="2"/>
  <c r="O88" i="2"/>
  <c r="C207" i="3"/>
  <c r="N134" i="2"/>
  <c r="AF134" i="2" s="1"/>
  <c r="C217" i="3" s="1"/>
  <c r="AG127" i="2"/>
  <c r="B207" i="3"/>
  <c r="AJ7" i="4"/>
  <c r="AA156" i="2"/>
  <c r="AH154" i="2"/>
  <c r="AA158" i="2"/>
  <c r="AB29" i="9"/>
  <c r="K28" i="8"/>
  <c r="B23" i="8"/>
  <c r="L73" i="2"/>
  <c r="AG115" i="2"/>
  <c r="M126" i="2"/>
  <c r="AA126" i="2" s="1"/>
  <c r="AA155" i="2"/>
  <c r="AB17" i="9"/>
  <c r="K16" i="8"/>
  <c r="B47" i="8"/>
  <c r="AB3" i="4"/>
  <c r="AU25" i="4"/>
  <c r="AI32" i="4"/>
  <c r="Q73" i="2"/>
  <c r="O78" i="2"/>
  <c r="U81" i="2"/>
  <c r="H87" i="2"/>
  <c r="I88" i="2"/>
  <c r="AA159" i="2"/>
  <c r="BA21" i="4"/>
  <c r="R73" i="2"/>
  <c r="Q78" i="2"/>
  <c r="E81" i="2"/>
  <c r="I87" i="2"/>
  <c r="K88"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AA56" i="2"/>
  <c r="R83" i="9"/>
  <c r="S56" i="9"/>
  <c r="T74" i="9"/>
  <c r="R65" i="9"/>
  <c r="T86" i="9"/>
  <c r="S64" i="9"/>
  <c r="S72" i="9"/>
  <c r="R70" i="9"/>
  <c r="AI34" i="9"/>
  <c r="R54" i="9"/>
  <c r="S84" i="9"/>
  <c r="T54" i="9"/>
  <c r="R72" i="9"/>
  <c r="T72" i="9"/>
  <c r="S59" i="9"/>
  <c r="BD14" i="2"/>
  <c r="A21" i="2"/>
  <c r="A14" i="2"/>
  <c r="BD11" i="2"/>
  <c r="BC43" i="2"/>
  <c r="AA48" i="2"/>
  <c r="AF44" i="2"/>
  <c r="AY47" i="2"/>
  <c r="AF47" i="2"/>
  <c r="F46" i="4" s="1"/>
  <c r="A72" i="2"/>
  <c r="BD41" i="2"/>
  <c r="BC9" i="2"/>
  <c r="AI50" i="9"/>
  <c r="A70" i="2"/>
  <c r="BD39" i="2"/>
  <c r="AI19" i="9"/>
  <c r="AY54" i="2"/>
  <c r="AF57" i="2"/>
  <c r="R8" i="4" s="1"/>
  <c r="AA52" i="2"/>
  <c r="AA54" i="2"/>
  <c r="AI29" i="9"/>
  <c r="AI41" i="9"/>
  <c r="AA80" i="2"/>
  <c r="AF79" i="2"/>
  <c r="R30" i="4" s="1"/>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R46" i="4" s="1"/>
  <c r="AA97" i="2"/>
  <c r="AF92" i="2"/>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14" i="4" l="1"/>
  <c r="R43" i="4"/>
  <c r="R28" i="4"/>
  <c r="R27" i="4"/>
  <c r="R4" i="4"/>
  <c r="R3" i="4"/>
  <c r="F43" i="4"/>
  <c r="F4" i="4"/>
  <c r="O6" i="4"/>
  <c r="B43" i="3"/>
  <c r="B72" i="3"/>
  <c r="O31" i="4"/>
  <c r="C47" i="4"/>
  <c r="BC37" i="2"/>
  <c r="BC15" i="2"/>
  <c r="AF33" i="2"/>
  <c r="F32" i="4" s="1"/>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R23" i="4" s="1"/>
  <c r="AY94" i="2"/>
  <c r="AA94" i="2"/>
  <c r="AF96" i="2"/>
  <c r="R47" i="4" s="1"/>
  <c r="AA92" i="2"/>
  <c r="AA49" i="2"/>
  <c r="AA47" i="2"/>
  <c r="AY49" i="2"/>
  <c r="AF45" i="2"/>
  <c r="BC23" i="2"/>
  <c r="BC47" i="2"/>
  <c r="O48" i="4"/>
  <c r="B77" i="3"/>
  <c r="BC19" i="2"/>
  <c r="O5" i="4"/>
  <c r="AA96" i="2"/>
  <c r="AY97" i="2"/>
  <c r="AF93" i="2"/>
  <c r="AA95" i="2"/>
  <c r="AY30" i="2"/>
  <c r="AA30" i="2"/>
  <c r="AF32" i="2"/>
  <c r="F31" i="4" s="1"/>
  <c r="AA28" i="2"/>
  <c r="BC29" i="2"/>
  <c r="BC25" i="2"/>
  <c r="AY39" i="2"/>
  <c r="AA40" i="2"/>
  <c r="AF39" i="2"/>
  <c r="F38" i="4" s="1"/>
  <c r="AF36" i="2"/>
  <c r="AF87" i="2"/>
  <c r="R38" i="4" s="1"/>
  <c r="AA89" i="2"/>
  <c r="AF84" i="2"/>
  <c r="AY87" i="2"/>
  <c r="C5" i="4"/>
  <c r="O3" i="4"/>
  <c r="B18" i="3"/>
  <c r="O7" i="4"/>
  <c r="AA21" i="2"/>
  <c r="AF25" i="2"/>
  <c r="F24" i="4" s="1"/>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BC11" i="2"/>
  <c r="BC6" i="2"/>
  <c r="AA64" i="2"/>
  <c r="AF63" i="2"/>
  <c r="R14" i="4" s="1"/>
  <c r="AF60" i="2"/>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C35" i="4"/>
  <c r="BC7" i="2"/>
  <c r="AY46" i="2"/>
  <c r="AF49" i="2"/>
  <c r="F48" i="4" s="1"/>
  <c r="AA44" i="2"/>
  <c r="AA46" i="2"/>
  <c r="AF81" i="2"/>
  <c r="R32" i="4" s="1"/>
  <c r="AA78" i="2"/>
  <c r="AY78" i="2"/>
  <c r="AA76" i="2"/>
  <c r="AF71" i="2"/>
  <c r="R22" i="4" s="1"/>
  <c r="AA73" i="2"/>
  <c r="AF68" i="2"/>
  <c r="AY71" i="2"/>
  <c r="AF24" i="2"/>
  <c r="F23" i="4" s="1"/>
  <c r="AA23" i="2"/>
  <c r="AA20" i="2"/>
  <c r="AY22" i="2"/>
  <c r="AA14" i="2"/>
  <c r="AF13" i="2"/>
  <c r="AA16" i="2"/>
  <c r="AY17" i="2"/>
  <c r="BC24" i="2"/>
  <c r="AA85" i="2"/>
  <c r="AF89" i="2"/>
  <c r="R40" i="4" s="1"/>
  <c r="AF86" i="2"/>
  <c r="R37" i="4" s="1"/>
  <c r="AY88" i="2"/>
  <c r="AY25" i="2"/>
  <c r="AA22" i="2"/>
  <c r="AA24" i="2"/>
  <c r="AF21" i="2"/>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30" i="4" l="1"/>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K99" i="2"/>
  <c r="AU109" i="2"/>
  <c r="N107" i="2"/>
  <c r="AF107" i="2" s="1"/>
  <c r="C152" i="3" s="1"/>
  <c r="AU105" i="2"/>
  <c r="AU104" i="2"/>
  <c r="AU103" i="2"/>
  <c r="AU111" i="2"/>
  <c r="N108" i="2"/>
  <c r="AF108" i="2" s="1"/>
  <c r="C153" i="3" s="1"/>
  <c r="AU102" i="2"/>
  <c r="AU113" i="2"/>
  <c r="AU112" i="2"/>
  <c r="N110" i="2"/>
  <c r="AF109" i="2" s="1"/>
  <c r="C154" i="3" s="1"/>
  <c r="DL69" i="2"/>
  <c r="AU107" i="2"/>
  <c r="AY101" i="2"/>
  <c r="DL66" i="2"/>
  <c r="N109" i="2"/>
  <c r="AF110" i="2" s="1"/>
  <c r="C155" i="3" s="1"/>
  <c r="AU106" i="2"/>
  <c r="AU108" i="2"/>
  <c r="N105" i="2"/>
  <c r="AF106" i="2" s="1"/>
  <c r="C151" i="3" s="1"/>
  <c r="N102" i="2"/>
  <c r="AF103" i="2" s="1"/>
  <c r="C148" i="3" s="1"/>
  <c r="DL67" i="2"/>
  <c r="DL64" i="2"/>
  <c r="DL63" i="2"/>
  <c r="DL62" i="2"/>
  <c r="N113" i="2"/>
  <c r="AF113" i="2" s="1"/>
  <c r="C158" i="3" s="1"/>
  <c r="N115" i="2"/>
  <c r="AF116" i="2" s="1"/>
  <c r="C161" i="3" s="1"/>
  <c r="DL68" i="2"/>
  <c r="DL60" i="2"/>
  <c r="AU110" i="2"/>
  <c r="DL65" i="2"/>
  <c r="DL59" i="2"/>
  <c r="DL61" i="2"/>
  <c r="DL58"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176" i="3"/>
  <c r="B173" i="3"/>
  <c r="C173" i="3"/>
  <c r="AA49" i="4"/>
  <c r="C176" i="3"/>
  <c r="B166" i="3"/>
  <c r="BR34" i="2"/>
  <c r="C166" i="3"/>
  <c r="B179" i="3"/>
  <c r="C179" i="3"/>
  <c r="AA4" i="4"/>
  <c r="B171" i="3"/>
  <c r="AA7" i="4"/>
  <c r="BR13" i="2"/>
  <c r="C171" i="3"/>
  <c r="AU101" i="2"/>
  <c r="AV100" i="2" s="1"/>
  <c r="AA37" i="4"/>
  <c r="BR19" i="2"/>
  <c r="BS41" i="2" s="1"/>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F84" i="2" s="1"/>
  <c r="BT43" i="2"/>
  <c r="F76" i="2" s="1"/>
  <c r="BT51" i="2"/>
  <c r="F92" i="2" s="1"/>
  <c r="BT41" i="2"/>
  <c r="F69" i="2" s="1"/>
  <c r="BT38" i="2"/>
  <c r="E68" i="2" s="1"/>
  <c r="BT44" i="2"/>
  <c r="E77" i="2" s="1"/>
  <c r="BT14" i="2"/>
  <c r="BT42" i="2"/>
  <c r="E76" i="2" s="1"/>
  <c r="BT9" i="2"/>
  <c r="E8" i="2" s="1"/>
  <c r="BT37" i="2"/>
  <c r="F61" i="2" s="1"/>
  <c r="BT8" i="2"/>
  <c r="F9" i="2" s="1"/>
  <c r="BT18" i="2"/>
  <c r="BT11" i="2"/>
  <c r="BT25" i="2"/>
  <c r="F37" i="2" s="1"/>
  <c r="BT39" i="2"/>
  <c r="F68" i="2" s="1"/>
  <c r="BT52" i="2"/>
  <c r="E93" i="2" s="1"/>
  <c r="BT16" i="2"/>
  <c r="BT32" i="2"/>
  <c r="E53" i="2" s="1"/>
  <c r="BT17" i="2"/>
  <c r="BT35" i="2"/>
  <c r="F60" i="2" s="1"/>
  <c r="BT26" i="2"/>
  <c r="E44" i="2" s="1"/>
  <c r="BT50" i="2"/>
  <c r="E92" i="2" s="1"/>
  <c r="BT30" i="2"/>
  <c r="E52" i="2" s="1"/>
  <c r="BT34" i="2"/>
  <c r="E60" i="2" s="1"/>
  <c r="BT7" i="2"/>
  <c r="E9" i="2" s="1"/>
  <c r="BT27" i="2"/>
  <c r="F44" i="2" s="1"/>
  <c r="BT28" i="2"/>
  <c r="E45" i="2" s="1"/>
  <c r="BT48" i="2"/>
  <c r="E85" i="2" s="1"/>
  <c r="BT20" i="2"/>
  <c r="BT24" i="2"/>
  <c r="E37" i="2" s="1"/>
  <c r="BT13" i="2"/>
  <c r="BT23" i="2"/>
  <c r="F36" i="2" s="1"/>
  <c r="BT22" i="2"/>
  <c r="E36" i="2" s="1"/>
  <c r="BT31" i="2"/>
  <c r="F52" i="2" s="1"/>
  <c r="BT49" i="2"/>
  <c r="F85" i="2" s="1"/>
  <c r="BT21" i="2"/>
  <c r="BT15" i="2"/>
  <c r="BT45" i="2"/>
  <c r="F77" i="2" s="1"/>
  <c r="BT33" i="2"/>
  <c r="F53" i="2" s="1"/>
  <c r="BT12" i="2"/>
  <c r="BT6" i="2"/>
  <c r="F8" i="2" s="1"/>
  <c r="BT10" i="2"/>
  <c r="BT46" i="2"/>
  <c r="E84" i="2" s="1"/>
  <c r="BT19" i="2"/>
  <c r="BT29" i="2"/>
  <c r="F45" i="2" s="1"/>
  <c r="BT53" i="2"/>
  <c r="F93" i="2" s="1"/>
  <c r="BT36" i="2"/>
  <c r="E61" i="2" s="1"/>
  <c r="F28" i="2" l="1"/>
  <c r="F31" i="2"/>
  <c r="F29" i="2"/>
  <c r="E31" i="2"/>
  <c r="E21" i="2"/>
  <c r="F23" i="2"/>
  <c r="E20" i="2"/>
  <c r="E23" i="2"/>
  <c r="F20" i="2"/>
  <c r="F22" i="2"/>
  <c r="F21" i="2"/>
  <c r="E22" i="2"/>
  <c r="E29" i="2"/>
  <c r="F30" i="2"/>
  <c r="E28" i="2"/>
  <c r="E30" i="2"/>
  <c r="E13" i="2"/>
  <c r="F15" i="2"/>
  <c r="E12" i="2"/>
  <c r="E15" i="2"/>
  <c r="F13" i="2"/>
  <c r="E14" i="2"/>
  <c r="F12" i="2"/>
  <c r="F14" i="2"/>
  <c r="BV40" i="2"/>
  <c r="E69" i="2"/>
  <c r="BU41" i="2" s="1"/>
  <c r="E5" i="2"/>
  <c r="F7" i="2"/>
  <c r="E4" i="2"/>
  <c r="E7" i="2"/>
  <c r="F5" i="2"/>
  <c r="BU8" i="2" s="1"/>
  <c r="E6" i="2"/>
  <c r="F4" i="2"/>
  <c r="BU6" i="2" s="1"/>
  <c r="F6" i="2"/>
  <c r="BU40" i="2"/>
  <c r="BW40" i="2"/>
  <c r="BV17" i="2"/>
  <c r="BW17" i="2"/>
  <c r="BU17" i="2"/>
  <c r="BV28" i="2"/>
  <c r="BW28" i="2"/>
  <c r="BU28" i="2"/>
  <c r="BW27" i="2"/>
  <c r="BV27" i="2"/>
  <c r="BU27" i="2"/>
  <c r="BW6" i="2"/>
  <c r="BV6" i="2"/>
  <c r="BV12" i="2"/>
  <c r="BW12" i="2"/>
  <c r="BU12" i="2"/>
  <c r="BV53" i="2"/>
  <c r="BU53" i="2"/>
  <c r="BW53" i="2"/>
  <c r="BV24" i="2"/>
  <c r="BW24" i="2"/>
  <c r="BU24" i="2"/>
  <c r="BW26" i="2"/>
  <c r="BV26" i="2"/>
  <c r="BU26" i="2"/>
  <c r="BV25" i="2"/>
  <c r="BU25" i="2"/>
  <c r="BW25" i="2"/>
  <c r="BW20" i="2"/>
  <c r="BV20" i="2"/>
  <c r="BU20" i="2"/>
  <c r="BW8" i="2"/>
  <c r="BV8" i="2"/>
  <c r="BW46" i="2"/>
  <c r="BV46" i="2"/>
  <c r="BU46" i="2"/>
  <c r="BV31" i="2"/>
  <c r="BW31" i="2"/>
  <c r="BU31" i="2"/>
  <c r="BW14" i="2"/>
  <c r="BV14" i="2"/>
  <c r="BU14" i="2"/>
  <c r="BW23" i="2"/>
  <c r="BV23" i="2"/>
  <c r="BU23" i="2"/>
  <c r="BU45" i="2"/>
  <c r="BV45" i="2"/>
  <c r="BW45" i="2"/>
  <c r="BV35" i="2"/>
  <c r="BU35" i="2"/>
  <c r="BW35" i="2"/>
  <c r="BV11" i="2"/>
  <c r="BU11" i="2"/>
  <c r="BW11" i="2"/>
  <c r="BV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W49" i="2"/>
  <c r="BV49" i="2"/>
  <c r="BU49" i="2"/>
  <c r="BW7" i="2"/>
  <c r="BV7" i="2"/>
  <c r="BU7" i="2"/>
  <c r="BU30" i="2"/>
  <c r="BV30" i="2"/>
  <c r="BW30" i="2"/>
  <c r="BU39" i="2"/>
  <c r="BV39" i="2"/>
  <c r="BW39" i="2"/>
  <c r="BU36" i="2"/>
  <c r="BW36" i="2"/>
  <c r="BV36" i="2"/>
  <c r="BW13" i="2"/>
  <c r="BV13" i="2"/>
  <c r="BU13" i="2"/>
  <c r="BW50" i="2"/>
  <c r="BV50" i="2"/>
  <c r="BU50" i="2"/>
  <c r="BW38" i="2"/>
  <c r="BV38" i="2"/>
  <c r="BU38" i="2"/>
  <c r="BX40" i="2" l="1"/>
  <c r="BX32" i="2"/>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I85" i="2" s="1"/>
  <c r="BZ40" i="2"/>
  <c r="H69" i="2" s="1"/>
  <c r="BZ42" i="2"/>
  <c r="BZ45" i="2"/>
  <c r="BZ24" i="2"/>
  <c r="BZ36" i="2"/>
  <c r="BZ39" i="2"/>
  <c r="BZ31" i="2"/>
  <c r="BZ22" i="2"/>
  <c r="BZ23" i="2"/>
  <c r="BZ33" i="2"/>
  <c r="BZ21" i="2"/>
  <c r="H31" i="2" s="1"/>
  <c r="BZ27" i="2"/>
  <c r="BZ12" i="2"/>
  <c r="BZ53" i="2"/>
  <c r="BZ25" i="2"/>
  <c r="BZ51" i="2"/>
  <c r="BZ16" i="2"/>
  <c r="I23" i="2" s="1"/>
  <c r="BZ50" i="2"/>
  <c r="BZ34" i="2"/>
  <c r="BZ41" i="2"/>
  <c r="BZ30" i="2"/>
  <c r="BZ9" i="2"/>
  <c r="H8" i="2" s="1"/>
  <c r="BZ32" i="2"/>
  <c r="BZ17" i="2"/>
  <c r="H22" i="2" s="1"/>
  <c r="BZ47" i="2"/>
  <c r="BZ6" i="2"/>
  <c r="BZ38" i="2"/>
  <c r="BZ46" i="2"/>
  <c r="BZ15" i="2"/>
  <c r="I22" i="2" s="1"/>
  <c r="BZ44" i="2"/>
  <c r="BZ48" i="2"/>
  <c r="BZ26" i="2"/>
  <c r="BZ19" i="2"/>
  <c r="I31" i="2" s="1"/>
  <c r="BZ20" i="2"/>
  <c r="I30" i="2" s="1"/>
  <c r="BZ29" i="2"/>
  <c r="BZ10" i="2"/>
  <c r="H15" i="2" s="1"/>
  <c r="BZ8" i="2"/>
  <c r="BZ28" i="2"/>
  <c r="BZ37" i="2"/>
  <c r="BZ52" i="2"/>
  <c r="BZ13" i="2"/>
  <c r="H14" i="2" s="1"/>
  <c r="BZ35" i="2"/>
  <c r="BZ18" i="2"/>
  <c r="H30" i="2" s="1"/>
  <c r="BZ43" i="2"/>
  <c r="BZ11" i="2"/>
  <c r="I14" i="2" s="1"/>
  <c r="BZ14" i="2"/>
  <c r="H23" i="2" s="1"/>
  <c r="BZ7" i="2"/>
  <c r="H9" i="2" s="1"/>
  <c r="CA49" i="2" l="1"/>
  <c r="CB49" i="2"/>
  <c r="H13" i="2"/>
  <c r="I15" i="2"/>
  <c r="CA48" i="2"/>
  <c r="H85" i="2"/>
  <c r="H93" i="2"/>
  <c r="CA53" i="2"/>
  <c r="I93" i="2"/>
  <c r="CB52" i="2" s="1"/>
  <c r="H92" i="2"/>
  <c r="CA51" i="2" s="1"/>
  <c r="I92" i="2"/>
  <c r="CA50" i="2" s="1"/>
  <c r="I84" i="2"/>
  <c r="CA46" i="2" s="1"/>
  <c r="H84" i="2"/>
  <c r="CA47" i="2" s="1"/>
  <c r="H77" i="2"/>
  <c r="CA45" i="2" s="1"/>
  <c r="I77" i="2"/>
  <c r="CB44" i="2" s="1"/>
  <c r="I76" i="2"/>
  <c r="CB42" i="2" s="1"/>
  <c r="CB45" i="2"/>
  <c r="H76" i="2"/>
  <c r="CB43" i="2" s="1"/>
  <c r="CB41" i="2"/>
  <c r="I69" i="2"/>
  <c r="I68" i="2"/>
  <c r="CB38" i="2" s="1"/>
  <c r="H68" i="2"/>
  <c r="CB39" i="2" s="1"/>
  <c r="H53" i="2"/>
  <c r="CB33" i="2" s="1"/>
  <c r="I53" i="2"/>
  <c r="CB32" i="2" s="1"/>
  <c r="H61" i="2"/>
  <c r="CA37" i="2" s="1"/>
  <c r="I61" i="2"/>
  <c r="CB36" i="2" s="1"/>
  <c r="H52" i="2"/>
  <c r="CA31" i="2" s="1"/>
  <c r="I52" i="2"/>
  <c r="CB30" i="2" s="1"/>
  <c r="H60" i="2"/>
  <c r="CB35" i="2" s="1"/>
  <c r="I60" i="2"/>
  <c r="CA34" i="2" s="1"/>
  <c r="CB29" i="2"/>
  <c r="I45" i="2"/>
  <c r="CA28" i="2"/>
  <c r="H45" i="2"/>
  <c r="H37" i="2"/>
  <c r="CB25" i="2" s="1"/>
  <c r="I37" i="2"/>
  <c r="CA24" i="2" s="1"/>
  <c r="H44" i="2"/>
  <c r="CA27" i="2" s="1"/>
  <c r="I44" i="2"/>
  <c r="CB26" i="2" s="1"/>
  <c r="I36" i="2"/>
  <c r="CB22" i="2" s="1"/>
  <c r="H36" i="2"/>
  <c r="CB23" i="2" s="1"/>
  <c r="I29" i="2"/>
  <c r="CB20" i="2" s="1"/>
  <c r="H29" i="2"/>
  <c r="CA21" i="2" s="1"/>
  <c r="CA16" i="2"/>
  <c r="H21" i="2"/>
  <c r="CB17" i="2"/>
  <c r="I21" i="2"/>
  <c r="I20" i="2"/>
  <c r="CB14" i="2" s="1"/>
  <c r="H20" i="2"/>
  <c r="CB15" i="2" s="1"/>
  <c r="CA13" i="2"/>
  <c r="I13" i="2"/>
  <c r="I28" i="2"/>
  <c r="CB18" i="2" s="1"/>
  <c r="H28" i="2"/>
  <c r="CA19" i="2" s="1"/>
  <c r="I12" i="2"/>
  <c r="CB10" i="2" s="1"/>
  <c r="H12" i="2"/>
  <c r="CA11" i="2" s="1"/>
  <c r="CB28" i="2"/>
  <c r="CC28" i="2" s="1"/>
  <c r="CA17" i="2"/>
  <c r="CC17" i="2" s="1"/>
  <c r="CA29" i="2"/>
  <c r="CC29" i="2" s="1"/>
  <c r="CB53" i="2"/>
  <c r="I7" i="2"/>
  <c r="I9" i="2"/>
  <c r="CB16" i="2"/>
  <c r="CC16" i="2" s="1"/>
  <c r="H7" i="2"/>
  <c r="I8" i="2"/>
  <c r="CB47" i="2"/>
  <c r="I4" i="2"/>
  <c r="CB6" i="2" s="1"/>
  <c r="I6" i="2"/>
  <c r="I5" i="2"/>
  <c r="H6" i="2"/>
  <c r="CA44" i="2"/>
  <c r="H5" i="2"/>
  <c r="CA52" i="2"/>
  <c r="CB13" i="2"/>
  <c r="CB37" i="2"/>
  <c r="CB51" i="2"/>
  <c r="CA38" i="2"/>
  <c r="CB48" i="2"/>
  <c r="CC48" i="2" s="1"/>
  <c r="H4" i="2"/>
  <c r="CA41" i="2"/>
  <c r="CC49" i="2"/>
  <c r="CC53" i="2" l="1"/>
  <c r="CB8" i="2"/>
  <c r="CA43" i="2"/>
  <c r="CC43" i="2" s="1"/>
  <c r="CB50" i="2"/>
  <c r="CC50" i="2" s="1"/>
  <c r="CC41" i="2"/>
  <c r="CB46" i="2"/>
  <c r="CC46" i="2" s="1"/>
  <c r="CA36" i="2"/>
  <c r="CC36" i="2" s="1"/>
  <c r="CA42" i="2"/>
  <c r="CC42" i="2" s="1"/>
  <c r="CC51" i="2"/>
  <c r="CA39" i="2"/>
  <c r="CC39" i="2" s="1"/>
  <c r="CC52" i="2"/>
  <c r="CC47" i="2"/>
  <c r="CA35" i="2"/>
  <c r="CC35" i="2" s="1"/>
  <c r="CC45" i="2"/>
  <c r="CA25" i="2"/>
  <c r="CC25" i="2" s="1"/>
  <c r="CA33" i="2"/>
  <c r="CC33" i="2" s="1"/>
  <c r="CA32" i="2"/>
  <c r="CC32" i="2" s="1"/>
  <c r="CC44" i="2"/>
  <c r="CB31" i="2"/>
  <c r="CC31" i="2" s="1"/>
  <c r="CC37" i="2"/>
  <c r="CA20" i="2"/>
  <c r="CC20" i="2" s="1"/>
  <c r="CB19" i="2"/>
  <c r="CC19" i="2" s="1"/>
  <c r="CB24" i="2"/>
  <c r="CC24" i="2" s="1"/>
  <c r="CA26" i="2"/>
  <c r="CC26" i="2" s="1"/>
  <c r="CC38" i="2"/>
  <c r="CB34" i="2"/>
  <c r="CC34" i="2" s="1"/>
  <c r="CA30" i="2"/>
  <c r="CC30" i="2" s="1"/>
  <c r="CA22" i="2"/>
  <c r="CC22" i="2" s="1"/>
  <c r="CA40" i="2"/>
  <c r="CB40" i="2"/>
  <c r="CA23" i="2"/>
  <c r="CC23" i="2" s="1"/>
  <c r="CA14" i="2"/>
  <c r="CC14" i="2" s="1"/>
  <c r="CB27" i="2"/>
  <c r="CC27" i="2" s="1"/>
  <c r="CB21" i="2"/>
  <c r="CC21" i="2" s="1"/>
  <c r="CA15" i="2"/>
  <c r="CC15" i="2" s="1"/>
  <c r="CA18" i="2"/>
  <c r="CC18" i="2" s="1"/>
  <c r="CC13" i="2"/>
  <c r="CB11" i="2"/>
  <c r="CC11" i="2" s="1"/>
  <c r="CA6" i="2"/>
  <c r="CC6" i="2" s="1"/>
  <c r="CA8" i="2"/>
  <c r="CC8" i="2" s="1"/>
  <c r="CA10" i="2"/>
  <c r="CC10" i="2" s="1"/>
  <c r="CB12" i="2"/>
  <c r="CA12" i="2"/>
  <c r="CA9" i="2"/>
  <c r="CB9" i="2"/>
  <c r="CB7" i="2"/>
  <c r="CA7" i="2"/>
  <c r="CC40" i="2" l="1"/>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K22" i="2" s="1"/>
  <c r="CE29" i="2"/>
  <c r="CE23" i="2"/>
  <c r="CE30" i="2"/>
  <c r="CE51" i="2"/>
  <c r="CE53" i="2"/>
  <c r="CE44" i="2"/>
  <c r="CE52" i="2"/>
  <c r="CE24" i="2"/>
  <c r="CE50" i="2"/>
  <c r="CE27" i="2"/>
  <c r="CE39" i="2"/>
  <c r="CE36" i="2"/>
  <c r="CE42" i="2"/>
  <c r="CE7" i="2"/>
  <c r="CE25" i="2"/>
  <c r="CE20" i="2"/>
  <c r="L30" i="2" s="1"/>
  <c r="CE47" i="2"/>
  <c r="CE34" i="2"/>
  <c r="CE6" i="2"/>
  <c r="L8" i="2" s="1"/>
  <c r="CE33" i="2"/>
  <c r="CE11" i="2"/>
  <c r="L14" i="2" s="1"/>
  <c r="CE15" i="2"/>
  <c r="L22" i="2" s="1"/>
  <c r="CE32" i="2"/>
  <c r="CE8" i="2"/>
  <c r="L9" i="2" s="1"/>
  <c r="CE31" i="2"/>
  <c r="CE45" i="2"/>
  <c r="CE12" i="2"/>
  <c r="L15" i="2" s="1"/>
  <c r="CE22" i="2"/>
  <c r="CE37" i="2"/>
  <c r="CE9" i="2"/>
  <c r="CE49" i="2"/>
  <c r="CE28" i="2"/>
  <c r="CE21" i="2"/>
  <c r="K31" i="2" s="1"/>
  <c r="CE48" i="2"/>
  <c r="CE10" i="2"/>
  <c r="K15" i="2" s="1"/>
  <c r="CE13" i="2"/>
  <c r="K14" i="2" s="1"/>
  <c r="CE40" i="2"/>
  <c r="CE38" i="2"/>
  <c r="CE35" i="2"/>
  <c r="CE16" i="2"/>
  <c r="L23" i="2" s="1"/>
  <c r="CE26" i="2"/>
  <c r="CE19" i="2"/>
  <c r="L31" i="2" s="1"/>
  <c r="CE18" i="2"/>
  <c r="K30" i="2" s="1"/>
  <c r="CE41" i="2"/>
  <c r="CE43" i="2"/>
  <c r="CE14" i="2"/>
  <c r="K23" i="2" s="1"/>
  <c r="CE46" i="2"/>
  <c r="CF48" i="2" l="1"/>
  <c r="K85" i="2"/>
  <c r="CF49" i="2"/>
  <c r="L85" i="2"/>
  <c r="K93" i="2"/>
  <c r="CF53" i="2"/>
  <c r="L93" i="2"/>
  <c r="CF52" i="2" s="1"/>
  <c r="L92" i="2"/>
  <c r="CF50" i="2" s="1"/>
  <c r="K92" i="2"/>
  <c r="CF51" i="2" s="1"/>
  <c r="L84" i="2"/>
  <c r="CF46" i="2" s="1"/>
  <c r="K84" i="2"/>
  <c r="CF47" i="2" s="1"/>
  <c r="K77" i="2"/>
  <c r="CF45" i="2" s="1"/>
  <c r="L77" i="2"/>
  <c r="CF44" i="2" s="1"/>
  <c r="L76" i="2"/>
  <c r="CF42" i="2" s="1"/>
  <c r="K76" i="2"/>
  <c r="CF43" i="2" s="1"/>
  <c r="L69" i="2"/>
  <c r="CF40" i="2" s="1"/>
  <c r="K69" i="2"/>
  <c r="CF41" i="2" s="1"/>
  <c r="L68" i="2"/>
  <c r="CF38" i="2" s="1"/>
  <c r="K68" i="2"/>
  <c r="CF39" i="2" s="1"/>
  <c r="K53" i="2"/>
  <c r="CF33" i="2" s="1"/>
  <c r="L53" i="2"/>
  <c r="CF32" i="2" s="1"/>
  <c r="L61" i="2"/>
  <c r="CF36" i="2" s="1"/>
  <c r="K61" i="2"/>
  <c r="CF37" i="2" s="1"/>
  <c r="K52" i="2"/>
  <c r="CF31" i="2" s="1"/>
  <c r="L52" i="2"/>
  <c r="CF30" i="2" s="1"/>
  <c r="K60" i="2"/>
  <c r="CF35" i="2" s="1"/>
  <c r="L60" i="2"/>
  <c r="CF34" i="2" s="1"/>
  <c r="CF28" i="2"/>
  <c r="K45" i="2"/>
  <c r="CF29" i="2"/>
  <c r="L45" i="2"/>
  <c r="K37" i="2"/>
  <c r="CF25" i="2" s="1"/>
  <c r="L37" i="2"/>
  <c r="CF24" i="2" s="1"/>
  <c r="L44" i="2"/>
  <c r="CF26" i="2" s="1"/>
  <c r="K44" i="2"/>
  <c r="CF27" i="2" s="1"/>
  <c r="K36" i="2"/>
  <c r="CF23" i="2" s="1"/>
  <c r="L36" i="2"/>
  <c r="CF22" i="2" s="1"/>
  <c r="L29" i="2"/>
  <c r="CF20" i="2" s="1"/>
  <c r="K29" i="2"/>
  <c r="CF21" i="2" s="1"/>
  <c r="CF16" i="2"/>
  <c r="K21" i="2"/>
  <c r="CF17" i="2"/>
  <c r="L21" i="2"/>
  <c r="K20" i="2"/>
  <c r="CF15" i="2" s="1"/>
  <c r="L20" i="2"/>
  <c r="CF14" i="2" s="1"/>
  <c r="K13" i="2"/>
  <c r="CF13" i="2" s="1"/>
  <c r="L13" i="2"/>
  <c r="CF12" i="2" s="1"/>
  <c r="K28" i="2"/>
  <c r="CF19" i="2" s="1"/>
  <c r="L28" i="2"/>
  <c r="CF18" i="2" s="1"/>
  <c r="K12" i="2"/>
  <c r="CF11" i="2" s="1"/>
  <c r="L12" i="2"/>
  <c r="CF10" i="2" s="1"/>
  <c r="L6" i="2"/>
  <c r="K9" i="2"/>
  <c r="K6" i="2"/>
  <c r="K8" i="2"/>
  <c r="L4" i="2"/>
  <c r="L7" i="2"/>
  <c r="K4" i="2"/>
  <c r="K7" i="2"/>
  <c r="L5" i="2"/>
  <c r="CF8" i="2" s="1"/>
  <c r="K5" i="2"/>
  <c r="CF7" i="2" l="1"/>
  <c r="CF9" i="2"/>
  <c r="CF6" i="2"/>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N45" i="2" s="1"/>
  <c r="CH6" i="2"/>
  <c r="N4" i="2" s="1"/>
  <c r="CH34" i="2"/>
  <c r="CH16" i="2"/>
  <c r="CH44" i="2"/>
  <c r="CH25" i="2"/>
  <c r="CH8" i="2"/>
  <c r="O9" i="2" s="1"/>
  <c r="CH45" i="2"/>
  <c r="CH18" i="2"/>
  <c r="CH23" i="2"/>
  <c r="O36" i="2" s="1"/>
  <c r="CH47" i="2"/>
  <c r="CH32" i="2"/>
  <c r="CH43" i="2"/>
  <c r="CH49" i="2"/>
  <c r="CH14" i="2"/>
  <c r="N23" i="2" s="1"/>
  <c r="CH38" i="2"/>
  <c r="N68" i="2" s="1"/>
  <c r="CH36" i="2"/>
  <c r="CH46" i="2"/>
  <c r="CH48" i="2"/>
  <c r="CH24" i="2"/>
  <c r="CH31" i="2"/>
  <c r="CH12" i="2"/>
  <c r="O15" i="2" s="1"/>
  <c r="CH37" i="2"/>
  <c r="CH35" i="2"/>
  <c r="CH53" i="2"/>
  <c r="CK41" i="2"/>
  <c r="CH17" i="2"/>
  <c r="N22" i="2" s="1"/>
  <c r="CH19" i="2"/>
  <c r="O31" i="2" s="1"/>
  <c r="CH52" i="2"/>
  <c r="N93" i="2" s="1"/>
  <c r="CH51" i="2"/>
  <c r="CH9" i="2"/>
  <c r="O5" i="2" s="1"/>
  <c r="CH30" i="2"/>
  <c r="CH13" i="2"/>
  <c r="N14" i="2" s="1"/>
  <c r="CH42" i="2"/>
  <c r="CH27" i="2"/>
  <c r="CH40" i="2"/>
  <c r="N69" i="2" s="1"/>
  <c r="N9" i="2"/>
  <c r="CH26" i="2"/>
  <c r="N44" i="2" s="1"/>
  <c r="CH11" i="2"/>
  <c r="CH33" i="2"/>
  <c r="O53" i="2" s="1"/>
  <c r="CH22" i="2"/>
  <c r="N36" i="2" s="1"/>
  <c r="CH21" i="2"/>
  <c r="CH15" i="2"/>
  <c r="O22" i="2" s="1"/>
  <c r="CH10" i="2"/>
  <c r="CH39" i="2"/>
  <c r="O68" i="2" s="1"/>
  <c r="CH29" i="2"/>
  <c r="O45" i="2" s="1"/>
  <c r="CH20" i="2"/>
  <c r="O30" i="2" s="1"/>
  <c r="CH50" i="2"/>
  <c r="N92" i="2" s="1"/>
  <c r="N7" i="2"/>
  <c r="O8" i="2"/>
  <c r="CJ28" i="2"/>
  <c r="O29" i="2" l="1"/>
  <c r="N31" i="2"/>
  <c r="CI16" i="2"/>
  <c r="O23" i="2"/>
  <c r="CK18" i="2"/>
  <c r="N30" i="2"/>
  <c r="O7" i="2"/>
  <c r="N12" i="2"/>
  <c r="N15" i="2"/>
  <c r="O12" i="2"/>
  <c r="O14" i="2"/>
  <c r="CI41" i="2"/>
  <c r="CK28" i="2"/>
  <c r="O6" i="2"/>
  <c r="CJ48" i="2"/>
  <c r="N85" i="2"/>
  <c r="CI49" i="2"/>
  <c r="O85" i="2"/>
  <c r="CI28" i="2"/>
  <c r="CJ53" i="2"/>
  <c r="O93" i="2"/>
  <c r="CI52" i="2" s="1"/>
  <c r="CK51" i="2"/>
  <c r="O92" i="2"/>
  <c r="CK46" i="2"/>
  <c r="N84" i="2"/>
  <c r="CI47" i="2"/>
  <c r="O84" i="2"/>
  <c r="CJ45" i="2"/>
  <c r="O77" i="2"/>
  <c r="CI44" i="2" s="1"/>
  <c r="N77" i="2"/>
  <c r="CJ43" i="2"/>
  <c r="O76" i="2"/>
  <c r="CI42" i="2" s="1"/>
  <c r="N76" i="2"/>
  <c r="N5" i="2"/>
  <c r="CJ41" i="2"/>
  <c r="O69" i="2"/>
  <c r="CK40" i="2" s="1"/>
  <c r="CI32" i="2"/>
  <c r="N53" i="2"/>
  <c r="CI36" i="2"/>
  <c r="N61" i="2"/>
  <c r="CK37" i="2"/>
  <c r="O61" i="2"/>
  <c r="O52" i="2"/>
  <c r="CJ30" i="2" s="1"/>
  <c r="N52" i="2"/>
  <c r="CJ31" i="2" s="1"/>
  <c r="O60" i="2"/>
  <c r="CJ34" i="2" s="1"/>
  <c r="N60" i="2"/>
  <c r="CJ35" i="2" s="1"/>
  <c r="CJ24" i="2"/>
  <c r="N37" i="2"/>
  <c r="CK25" i="2" s="1"/>
  <c r="CJ25" i="2"/>
  <c r="O37" i="2"/>
  <c r="CI24" i="2" s="1"/>
  <c r="CI27" i="2"/>
  <c r="O44" i="2"/>
  <c r="CJ26" i="2" s="1"/>
  <c r="CI45" i="2"/>
  <c r="CK20" i="2"/>
  <c r="N29" i="2"/>
  <c r="CK45" i="2"/>
  <c r="CI8" i="2"/>
  <c r="CK17" i="2"/>
  <c r="O21" i="2"/>
  <c r="CJ16" i="2"/>
  <c r="N21" i="2"/>
  <c r="CI15" i="2"/>
  <c r="O20" i="2"/>
  <c r="CJ14" i="2" s="1"/>
  <c r="CI14" i="2"/>
  <c r="N20" i="2"/>
  <c r="CI34" i="2"/>
  <c r="CJ32" i="2"/>
  <c r="CK43"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J36" i="2"/>
  <c r="CK42" i="2"/>
  <c r="CJ44" i="2"/>
  <c r="CK34" i="2"/>
  <c r="CK7" i="2"/>
  <c r="CI9" i="2"/>
  <c r="CJ47" i="2"/>
  <c r="CL16" i="2"/>
  <c r="CJ46" i="2"/>
  <c r="CK36" i="2"/>
  <c r="CK48" i="2"/>
  <c r="CK24" i="2"/>
  <c r="CI17" i="2"/>
  <c r="CK15" i="2"/>
  <c r="CJ27" i="2"/>
  <c r="CK13" i="2"/>
  <c r="CK27" i="2"/>
  <c r="CK16" i="2"/>
  <c r="CI46" i="2"/>
  <c r="CJ19" i="2"/>
  <c r="CI51" i="2"/>
  <c r="CI48" i="2"/>
  <c r="CL48" i="2" s="1"/>
  <c r="CJ17" i="2"/>
  <c r="CJ51" i="2"/>
  <c r="CJ15" i="2"/>
  <c r="CK35" i="2"/>
  <c r="CJ9" i="2"/>
  <c r="CJ42" i="2"/>
  <c r="CI19" i="2"/>
  <c r="CK31" i="2"/>
  <c r="CI31" i="2"/>
  <c r="CK44" i="2"/>
  <c r="CK9" i="2"/>
  <c r="CI30" i="2"/>
  <c r="CK14" i="2"/>
  <c r="CI23" i="2"/>
  <c r="CJ23" i="2"/>
  <c r="CK23" i="2"/>
  <c r="CI37" i="2"/>
  <c r="CJ37" i="2"/>
  <c r="CI38" i="2"/>
  <c r="CJ38" i="2"/>
  <c r="CK38" i="2"/>
  <c r="CJ40" i="2"/>
  <c r="CI40" i="2"/>
  <c r="CJ52" i="2"/>
  <c r="CK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L43" i="2" l="1"/>
  <c r="CL41" i="2"/>
  <c r="CJ7" i="2"/>
  <c r="CL7" i="2" s="1"/>
  <c r="CL47" i="2"/>
  <c r="CL42" i="2"/>
  <c r="CL36" i="2"/>
  <c r="CL30" i="2"/>
  <c r="CL44" i="2"/>
  <c r="CL45" i="2"/>
  <c r="CL24" i="2"/>
  <c r="CL25" i="2"/>
  <c r="CL27" i="2"/>
  <c r="CL32" i="2"/>
  <c r="CL31" i="2"/>
  <c r="CL35" i="2"/>
  <c r="CL34" i="2"/>
  <c r="CL14" i="2"/>
  <c r="CL8" i="2"/>
  <c r="CL18" i="2"/>
  <c r="CL6" i="2"/>
  <c r="CL15" i="2"/>
  <c r="CL13" i="2"/>
  <c r="CL46" i="2"/>
  <c r="CL12" i="2"/>
  <c r="CL9" i="2"/>
  <c r="CL19" i="2"/>
  <c r="CL17" i="2"/>
  <c r="CL51" i="2"/>
  <c r="CL26" i="2"/>
  <c r="CL39" i="2"/>
  <c r="CL23" i="2"/>
  <c r="CL33" i="2"/>
  <c r="CL20" i="2"/>
  <c r="CL38" i="2"/>
  <c r="CL37"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R61" i="2" s="1"/>
  <c r="CN32" i="2"/>
  <c r="Q53" i="2" s="1"/>
  <c r="CN45" i="2"/>
  <c r="R77" i="2" s="1"/>
  <c r="CN53" i="2"/>
  <c r="R93" i="2" s="1"/>
  <c r="CN18" i="2"/>
  <c r="CN33" i="2"/>
  <c r="R53" i="2" s="1"/>
  <c r="CN30" i="2"/>
  <c r="Q52" i="2" s="1"/>
  <c r="CN28" i="2"/>
  <c r="Q45" i="2" s="1"/>
  <c r="CN36" i="2"/>
  <c r="Q61" i="2" s="1"/>
  <c r="CN24" i="2"/>
  <c r="Q37" i="2" s="1"/>
  <c r="CN48" i="2"/>
  <c r="Q85" i="2" s="1"/>
  <c r="CN34" i="2"/>
  <c r="Q60" i="2" s="1"/>
  <c r="CN13" i="2"/>
  <c r="CN51" i="2"/>
  <c r="R92" i="2" s="1"/>
  <c r="CN43" i="2"/>
  <c r="R76" i="2" s="1"/>
  <c r="CN15" i="2"/>
  <c r="CN14" i="2"/>
  <c r="CN40" i="2"/>
  <c r="Q69" i="2" s="1"/>
  <c r="CN26" i="2"/>
  <c r="Q44" i="2" s="1"/>
  <c r="CN31" i="2"/>
  <c r="R52" i="2" s="1"/>
  <c r="CN38" i="2"/>
  <c r="Q68" i="2" s="1"/>
  <c r="CN21" i="2"/>
  <c r="CN23" i="2"/>
  <c r="R36" i="2" s="1"/>
  <c r="CN17" i="2"/>
  <c r="CN20" i="2"/>
  <c r="CN35" i="2"/>
  <c r="R60" i="2" s="1"/>
  <c r="CN44" i="2"/>
  <c r="Q77" i="2" s="1"/>
  <c r="CN25" i="2"/>
  <c r="R37" i="2" s="1"/>
  <c r="CN39" i="2"/>
  <c r="R68" i="2" s="1"/>
  <c r="CN52" i="2"/>
  <c r="Q93" i="2" s="1"/>
  <c r="CN47" i="2"/>
  <c r="R84" i="2" s="1"/>
  <c r="CN50" i="2"/>
  <c r="Q92" i="2" s="1"/>
  <c r="CN16" i="2"/>
  <c r="CN12" i="2"/>
  <c r="CN22" i="2"/>
  <c r="Q36" i="2" s="1"/>
  <c r="CN19" i="2"/>
  <c r="CN49" i="2"/>
  <c r="R85" i="2" s="1"/>
  <c r="CN41" i="2"/>
  <c r="R69" i="2" s="1"/>
  <c r="CN8" i="2"/>
  <c r="CN9" i="2"/>
  <c r="CN10" i="2"/>
  <c r="CN6" i="2"/>
  <c r="Q4" i="2" s="1"/>
  <c r="CN7" i="2"/>
  <c r="R4" i="2" s="1"/>
  <c r="CN46" i="2"/>
  <c r="Q84" i="2" s="1"/>
  <c r="CN11" i="2"/>
  <c r="R28" i="2" l="1"/>
  <c r="R31" i="2"/>
  <c r="R29" i="2"/>
  <c r="Q31" i="2"/>
  <c r="Q21" i="2"/>
  <c r="R23" i="2"/>
  <c r="Q20" i="2"/>
  <c r="Q23" i="2"/>
  <c r="R21" i="2"/>
  <c r="Q22" i="2"/>
  <c r="R20" i="2"/>
  <c r="R22" i="2"/>
  <c r="Q28" i="2"/>
  <c r="Q30" i="2"/>
  <c r="Q29" i="2"/>
  <c r="R30" i="2"/>
  <c r="Q12" i="2"/>
  <c r="Q15" i="2"/>
  <c r="Q13" i="2"/>
  <c r="R15" i="2"/>
  <c r="R12" i="2"/>
  <c r="R14" i="2"/>
  <c r="R13" i="2"/>
  <c r="Q14" i="2"/>
  <c r="CP42" i="2"/>
  <c r="Q76" i="2"/>
  <c r="CP29" i="2"/>
  <c r="R45" i="2"/>
  <c r="CP27" i="2"/>
  <c r="R44" i="2"/>
  <c r="CP26" i="2" s="1"/>
  <c r="CO42" i="2"/>
  <c r="CO29" i="2"/>
  <c r="CQ29" i="2" s="1"/>
  <c r="CO27" i="2"/>
  <c r="CO30" i="2"/>
  <c r="CP30" i="2"/>
  <c r="CP38" i="2"/>
  <c r="CO38" i="2"/>
  <c r="R8" i="2"/>
  <c r="Q7" i="2"/>
  <c r="CP10" i="2"/>
  <c r="CO10" i="2"/>
  <c r="CP40" i="2"/>
  <c r="CO40" i="2"/>
  <c r="Q8" i="2"/>
  <c r="R5" i="2"/>
  <c r="CO8" i="2" s="1"/>
  <c r="Q6" i="2"/>
  <c r="CP7" i="2" s="1"/>
  <c r="CP39" i="2"/>
  <c r="CO39" i="2"/>
  <c r="CP14" i="2"/>
  <c r="CO33" i="2"/>
  <c r="CP33" i="2"/>
  <c r="CP16" i="2"/>
  <c r="CO16" i="2"/>
  <c r="CO36" i="2"/>
  <c r="CP36" i="2"/>
  <c r="CP25" i="2"/>
  <c r="CO25" i="2"/>
  <c r="R6" i="2"/>
  <c r="Q9" i="2"/>
  <c r="CO47" i="2"/>
  <c r="CP47" i="2"/>
  <c r="CO52" i="2"/>
  <c r="CP52" i="2"/>
  <c r="R9" i="2"/>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O21" i="2"/>
  <c r="CP21" i="2"/>
  <c r="CO6" i="2"/>
  <c r="CO14" i="2" l="1"/>
  <c r="CQ14" i="2" s="1"/>
  <c r="CO7" i="2"/>
  <c r="CQ7" i="2" s="1"/>
  <c r="CO26" i="2"/>
  <c r="CQ26" i="2" s="1"/>
  <c r="CQ42" i="2"/>
  <c r="CQ27" i="2"/>
  <c r="CP8" i="2"/>
  <c r="CQ8" i="2" s="1"/>
  <c r="CP6" i="2"/>
  <c r="CQ6" i="2" s="1"/>
  <c r="CQ16" i="2"/>
  <c r="CQ30" i="2"/>
  <c r="CQ36" i="2"/>
  <c r="CQ31" i="2"/>
  <c r="CQ37" i="2"/>
  <c r="CQ11" i="2"/>
  <c r="CQ10" i="2"/>
  <c r="CQ49" i="2"/>
  <c r="CQ53" i="2"/>
  <c r="CQ48" i="2"/>
  <c r="CQ17" i="2"/>
  <c r="CQ52" i="2"/>
  <c r="CQ20" i="2"/>
  <c r="CQ38" i="2"/>
  <c r="CQ28" i="2"/>
  <c r="CQ18" i="2"/>
  <c r="CO9" i="2"/>
  <c r="CQ35" i="2"/>
  <c r="CQ40" i="2"/>
  <c r="CQ24" i="2"/>
  <c r="CQ47" i="2"/>
  <c r="CQ32" i="2"/>
  <c r="CQ15"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T23" i="2" s="1"/>
  <c r="CS15" i="2"/>
  <c r="U22" i="2" s="1"/>
  <c r="CS18" i="2"/>
  <c r="T30" i="2" s="1"/>
  <c r="CS49" i="2"/>
  <c r="CS26" i="2"/>
  <c r="CS52" i="2"/>
  <c r="CS53" i="2"/>
  <c r="CS41" i="2"/>
  <c r="CS29" i="2"/>
  <c r="CS8" i="2"/>
  <c r="U7" i="2" s="1"/>
  <c r="CS31" i="2"/>
  <c r="CS39" i="2"/>
  <c r="CS28" i="2"/>
  <c r="CS44" i="2"/>
  <c r="CS20" i="2"/>
  <c r="U30" i="2" s="1"/>
  <c r="CS21" i="2"/>
  <c r="T31" i="2" s="1"/>
  <c r="CS38" i="2"/>
  <c r="CS30" i="2"/>
  <c r="CS32" i="2"/>
  <c r="CS17" i="2"/>
  <c r="T22" i="2" s="1"/>
  <c r="CS7" i="2"/>
  <c r="U4" i="2" s="1"/>
  <c r="CS23" i="2"/>
  <c r="CS48" i="2"/>
  <c r="CS12" i="2"/>
  <c r="U15" i="2" s="1"/>
  <c r="CS34" i="2"/>
  <c r="CS16" i="2"/>
  <c r="U23" i="2" s="1"/>
  <c r="CS10" i="2"/>
  <c r="T15" i="2" s="1"/>
  <c r="CS9" i="2"/>
  <c r="T6" i="2" s="1"/>
  <c r="CS40" i="2"/>
  <c r="CS6" i="2"/>
  <c r="T7" i="2" s="1"/>
  <c r="CS11" i="2"/>
  <c r="U14" i="2" s="1"/>
  <c r="CS27" i="2"/>
  <c r="CS46" i="2"/>
  <c r="CS42" i="2"/>
  <c r="CS25" i="2"/>
  <c r="CS19" i="2"/>
  <c r="U31" i="2" s="1"/>
  <c r="CS33" i="2"/>
  <c r="CS13" i="2"/>
  <c r="T14" i="2" s="1"/>
  <c r="CS37" i="2"/>
  <c r="CS36" i="2"/>
  <c r="CS51" i="2"/>
  <c r="CS50" i="2"/>
  <c r="CS45" i="2"/>
  <c r="CS24" i="2"/>
  <c r="CS47" i="2"/>
  <c r="CS43" i="2"/>
  <c r="CS35" i="2"/>
  <c r="CS22" i="2"/>
  <c r="CT48" i="2" l="1"/>
  <c r="T85" i="2"/>
  <c r="CT49" i="2"/>
  <c r="U85" i="2"/>
  <c r="U93" i="2"/>
  <c r="CT52" i="2" s="1"/>
  <c r="T93" i="2"/>
  <c r="CT53" i="2" s="1"/>
  <c r="T92" i="2"/>
  <c r="CT51" i="2" s="1"/>
  <c r="U92" i="2"/>
  <c r="CT50" i="2" s="1"/>
  <c r="U84" i="2"/>
  <c r="CT46" i="2" s="1"/>
  <c r="T84" i="2"/>
  <c r="CT47" i="2" s="1"/>
  <c r="T77" i="2"/>
  <c r="CT45" i="2" s="1"/>
  <c r="U77" i="2"/>
  <c r="CT44" i="2" s="1"/>
  <c r="U76" i="2"/>
  <c r="CT42" i="2" s="1"/>
  <c r="T76" i="2"/>
  <c r="CT43" i="2" s="1"/>
  <c r="U69" i="2"/>
  <c r="CT40" i="2" s="1"/>
  <c r="T69" i="2"/>
  <c r="CT41" i="2" s="1"/>
  <c r="U68" i="2"/>
  <c r="CT38" i="2" s="1"/>
  <c r="T68" i="2"/>
  <c r="CT39" i="2" s="1"/>
  <c r="T53" i="2"/>
  <c r="CT33" i="2" s="1"/>
  <c r="U53" i="2"/>
  <c r="CT32" i="2" s="1"/>
  <c r="T61" i="2"/>
  <c r="CT37" i="2" s="1"/>
  <c r="U61" i="2"/>
  <c r="CT36" i="2" s="1"/>
  <c r="U52" i="2"/>
  <c r="CT30" i="2" s="1"/>
  <c r="T52" i="2"/>
  <c r="CT31" i="2" s="1"/>
  <c r="U60" i="2"/>
  <c r="CT34" i="2" s="1"/>
  <c r="T60" i="2"/>
  <c r="CT35" i="2" s="1"/>
  <c r="CT29" i="2"/>
  <c r="U45" i="2"/>
  <c r="CT28" i="2"/>
  <c r="T45" i="2"/>
  <c r="U37" i="2"/>
  <c r="CT24" i="2" s="1"/>
  <c r="T37" i="2"/>
  <c r="CT25" i="2" s="1"/>
  <c r="U44" i="2"/>
  <c r="CT26" i="2" s="1"/>
  <c r="T44" i="2"/>
  <c r="CT27" i="2" s="1"/>
  <c r="T36" i="2"/>
  <c r="CT23" i="2" s="1"/>
  <c r="U36" i="2"/>
  <c r="CT22" i="2" s="1"/>
  <c r="U29" i="2"/>
  <c r="CT20" i="2" s="1"/>
  <c r="T29" i="2"/>
  <c r="CT21" i="2" s="1"/>
  <c r="CT17" i="2"/>
  <c r="U21" i="2"/>
  <c r="CT16" i="2"/>
  <c r="T21" i="2"/>
  <c r="U20" i="2"/>
  <c r="CT14" i="2" s="1"/>
  <c r="T20" i="2"/>
  <c r="CT15" i="2" s="1"/>
  <c r="T13" i="2"/>
  <c r="CT13" i="2" s="1"/>
  <c r="U5" i="2"/>
  <c r="CT8" i="2" s="1"/>
  <c r="U13" i="2"/>
  <c r="CT12" i="2" s="1"/>
  <c r="U28" i="2"/>
  <c r="CT18" i="2" s="1"/>
  <c r="T28" i="2"/>
  <c r="CT19" i="2" s="1"/>
  <c r="U12" i="2"/>
  <c r="CT10" i="2" s="1"/>
  <c r="T12" i="2"/>
  <c r="CT11" i="2" s="1"/>
  <c r="T9" i="2"/>
  <c r="U8" i="2"/>
  <c r="T8" i="2"/>
  <c r="U6" i="2"/>
  <c r="U9" i="2"/>
  <c r="T5" i="2"/>
  <c r="CT6" i="2"/>
  <c r="T4" i="2"/>
  <c r="CT7" i="2" s="1"/>
  <c r="CT9" i="2" l="1"/>
  <c r="CU34" i="2" s="1"/>
  <c r="CU22" i="2"/>
  <c r="CU17" i="2"/>
  <c r="CU49" i="2"/>
  <c r="CU15" i="2"/>
  <c r="CU32" i="2"/>
  <c r="CU37" i="2"/>
  <c r="CU42" i="2"/>
  <c r="CU44" i="2"/>
  <c r="CU47" i="2"/>
  <c r="CU24" i="2"/>
  <c r="CU46" i="2"/>
  <c r="CU36" i="2"/>
  <c r="CU41" i="2"/>
  <c r="CU28" i="2"/>
  <c r="CU50" i="2"/>
  <c r="CU14" i="2"/>
  <c r="CU16" i="2"/>
  <c r="CU6" i="2"/>
  <c r="CU26" i="2"/>
  <c r="CU52" i="2"/>
  <c r="CU13" i="2"/>
  <c r="CU38" i="2"/>
  <c r="CU33" i="2"/>
  <c r="CU48" i="2"/>
  <c r="CU27" i="2"/>
  <c r="CU29" i="2"/>
  <c r="CU20" i="2"/>
  <c r="CU18" i="2"/>
  <c r="CU10" i="2"/>
  <c r="CU8" i="2"/>
  <c r="CU11" i="2" l="1"/>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W9" i="2"/>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DM9" i="2" l="1"/>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AU5" i="2" l="1"/>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T6" i="2" l="1"/>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4" i="4" l="1"/>
  <c r="K5" i="4"/>
  <c r="C130" i="3"/>
  <c r="BI28" i="4" s="1"/>
  <c r="BH28" i="4" s="1"/>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I6" i="4" l="1"/>
  <c r="BH6" i="4" s="1"/>
  <c r="BI26" i="4"/>
  <c r="BH26" i="4" s="1"/>
  <c r="BI51" i="4"/>
  <c r="BH51" i="4" s="1"/>
  <c r="BI16" i="4"/>
  <c r="BH16" i="4" s="1"/>
  <c r="BI40" i="4"/>
  <c r="BH40" i="4" s="1"/>
  <c r="BI27" i="4"/>
  <c r="BH27" i="4" s="1"/>
  <c r="BI5" i="4"/>
  <c r="BH5" i="4" s="1"/>
  <c r="BI4" i="4"/>
  <c r="BH4" i="4" s="1"/>
  <c r="BI25" i="4"/>
  <c r="BH25" i="4" s="1"/>
  <c r="BI20" i="4"/>
  <c r="BH20" i="4" s="1"/>
  <c r="BI17" i="4"/>
  <c r="BH17" i="4" s="1"/>
  <c r="BI33" i="4"/>
  <c r="BH33" i="4" s="1"/>
  <c r="BI24" i="4"/>
  <c r="BH24" i="4" s="1"/>
  <c r="BI39" i="4"/>
  <c r="BH39" i="4" s="1"/>
  <c r="BI10" i="4"/>
  <c r="BH10" i="4" s="1"/>
  <c r="BI43" i="4"/>
  <c r="BH43" i="4" s="1"/>
  <c r="BI8" i="4"/>
  <c r="BH8" i="4" s="1"/>
  <c r="BI37" i="4"/>
  <c r="BH37" i="4" s="1"/>
  <c r="BI19" i="4"/>
  <c r="BH19" i="4" s="1"/>
  <c r="BI14" i="4"/>
  <c r="BH14" i="4" s="1"/>
  <c r="BI46" i="4"/>
  <c r="BH46" i="4" s="1"/>
  <c r="BI15" i="4"/>
  <c r="BH15" i="4" s="1"/>
  <c r="BI13" i="4"/>
  <c r="BH13" i="4" s="1"/>
  <c r="BI36" i="4"/>
  <c r="BH36" i="4" s="1"/>
  <c r="BI18" i="4"/>
  <c r="BH18" i="4" s="1"/>
  <c r="BI42" i="4"/>
  <c r="BH42" i="4" s="1"/>
  <c r="BI34" i="4"/>
  <c r="BH34" i="4" s="1"/>
  <c r="BI47" i="4"/>
  <c r="BH47" i="4" s="1"/>
  <c r="BI45" i="4"/>
  <c r="BH45" i="4" s="1"/>
  <c r="BI22" i="4"/>
  <c r="BH22" i="4" s="1"/>
  <c r="BI11" i="4"/>
  <c r="BH11" i="4" s="1"/>
  <c r="BI30" i="4"/>
  <c r="BH30" i="4" s="1"/>
  <c r="BI29" i="4"/>
  <c r="BH29" i="4" s="1"/>
  <c r="BI41" i="4"/>
  <c r="BH41" i="4" s="1"/>
  <c r="BI21" i="4"/>
  <c r="BH21" i="4" s="1"/>
  <c r="BI44" i="4"/>
  <c r="BH44" i="4" s="1"/>
  <c r="BI23" i="4"/>
  <c r="BH23" i="4" s="1"/>
  <c r="BI49" i="4"/>
  <c r="BH49" i="4" s="1"/>
  <c r="BI9" i="4"/>
  <c r="BH9" i="4" s="1"/>
  <c r="BI35" i="4"/>
  <c r="BH35" i="4" s="1"/>
  <c r="BI38" i="4"/>
  <c r="BH38" i="4" s="1"/>
  <c r="BI48" i="4"/>
  <c r="BH48" i="4" s="1"/>
  <c r="BI32" i="4"/>
  <c r="BH32" i="4" s="1"/>
  <c r="BI12" i="4"/>
  <c r="BH12" i="4" s="1"/>
  <c r="BI50" i="4"/>
  <c r="BH50" i="4" s="1"/>
  <c r="BI31" i="4"/>
  <c r="BH31" i="4" s="1"/>
  <c r="BI7" i="4"/>
  <c r="BH7" i="4" s="1"/>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s="1"/>
  <c r="BY69" i="2" l="1"/>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65" i="2" l="1"/>
  <c r="CD58" i="2"/>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B497" i="6" l="1"/>
  <c r="BG122" i="2" s="1"/>
  <c r="AZ108" i="2" s="1"/>
  <c r="BG121" i="2"/>
  <c r="AZ107" i="2" s="1"/>
  <c r="BG124" i="2"/>
  <c r="AZ110" i="2" s="1"/>
  <c r="BG119" i="2"/>
  <c r="AZ105" i="2" s="1"/>
  <c r="BG117" i="2"/>
  <c r="AZ103" i="2" s="1"/>
  <c r="BG120" i="2"/>
  <c r="AZ106" i="2" s="1"/>
  <c r="BG123" i="2"/>
  <c r="AZ109" i="2" s="1"/>
  <c r="BG118" i="2"/>
  <c r="AZ104"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<sst xmlns="http://schemas.openxmlformats.org/spreadsheetml/2006/main" count="6754" uniqueCount="1516">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</sst>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3"/>
  <sheetViews>
    <sheetView showGridLines="0" showRowColHeaders="0" tabSelected="1" zoomScaleNormal="100" workbookViewId="0">
      <selection activeCell="AY34" sqref="AY3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60" spans="1:31" x14ac:dyDescent="0.2">
      <c r="AC60" s="292">
        <v>0</v>
      </c>
      <c r="AD60" s="292">
        <v>0</v>
      </c>
    </row>
    <row r="61" spans="1:31" x14ac:dyDescent="0.2">
      <c r="AC61" s="292">
        <v>1</v>
      </c>
      <c r="AD61" s="292">
        <v>1</v>
      </c>
    </row>
    <row r="68" spans="29:30" x14ac:dyDescent="0.2">
      <c r="AC68" s="292">
        <v>3</v>
      </c>
      <c r="AD68" s="292">
        <v>1</v>
      </c>
    </row>
    <row r="69" spans="29:30" x14ac:dyDescent="0.2">
      <c r="AC69" s="292">
        <v>1</v>
      </c>
      <c r="AD69" s="292">
        <v>4</v>
      </c>
    </row>
    <row r="76" spans="29:30" x14ac:dyDescent="0.2">
      <c r="AC76" s="292">
        <v>3</v>
      </c>
      <c r="AD76" s="292">
        <v>0</v>
      </c>
    </row>
    <row r="77" spans="29:30" x14ac:dyDescent="0.2">
      <c r="AC77" s="292">
        <v>3</v>
      </c>
      <c r="AD77" s="292">
        <v>1</v>
      </c>
    </row>
    <row r="84" spans="29:30" x14ac:dyDescent="0.2">
      <c r="AC84" s="292">
        <v>1</v>
      </c>
      <c r="AD84" s="292">
        <v>1</v>
      </c>
    </row>
    <row r="85" spans="29:30" x14ac:dyDescent="0.2">
      <c r="AC85" s="292">
        <v>1</v>
      </c>
      <c r="AD85" s="292">
        <v>3</v>
      </c>
    </row>
    <row r="92" spans="29:30" x14ac:dyDescent="0.2">
      <c r="AC92" s="292">
        <v>4</v>
      </c>
      <c r="AD92" s="292">
        <v>2</v>
      </c>
    </row>
    <row r="93" spans="29:30" x14ac:dyDescent="0.2">
      <c r="AC93" s="292">
        <v>1</v>
      </c>
      <c r="AD93" s="292">
        <v>0</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0" zoomScaleNormal="100" workbookViewId="0">
      <selection activeCell="AY34" sqref="AY34"/>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19"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P.3 (2)</v>
      </c>
      <c r="G4" s="16"/>
      <c r="H4" s="16" t="str">
        <f t="shared" ref="H4:H9" ca="1" si="3">IF(D4="Pendiente","-",INDEX($BZ$6:$BZ$53,MATCH($AA4,$BD$6:$BD$53,0)))</f>
        <v>-</v>
      </c>
      <c r="I4" s="16" t="str">
        <f t="shared" ref="I4:I9" ca="1" si="4">IF(D4="Pendiente","-",INDEX($BZ$6:$BZ$53,MATCH($AF4,$BD$6:$BD$53,0)))</f>
        <v>P.3 (2)</v>
      </c>
      <c r="J4" s="16"/>
      <c r="K4" s="16" t="str">
        <f t="shared" ref="K4:K9" ca="1" si="5">IF(D4="Pendiente","-",INDEX($CE$6:$CE$53,MATCH($AA4,$BD$6:$BD$53,0)))</f>
        <v>-</v>
      </c>
      <c r="L4" s="16" t="str">
        <f t="shared" ref="L4:L9" ca="1" si="6">IF(D4="Pendiente","-",INDEX($CE$6:$CE$53,MATCH($AF4,$BD$6:$BD$53,0)))</f>
        <v>P.3 (2)</v>
      </c>
      <c r="M4" s="16"/>
      <c r="N4" s="16" t="str">
        <f t="shared" ref="N4:N9" ca="1" si="7">IF(D4="Pendiente","-",INDEX($CH$6:$CH$53,MATCH($AA4,$BD$6:$BD$53,0)))</f>
        <v>-</v>
      </c>
      <c r="O4" s="16" t="str">
        <f t="shared" ref="O4:O9" ca="1" si="8">IF(D4="Pendiente","-",INDEX($CH$6:$CH$53,MATCH($AF4,$BD$6:$BD$53,0)))</f>
        <v>P.3 (2)</v>
      </c>
      <c r="P4" s="16"/>
      <c r="Q4" s="16" t="str">
        <f t="shared" ref="Q4:Q9" ca="1" si="9">IF(D4="Pendiente","-",INDEX($CN$6:$CN$53,MATCH($AA4,$BD$6:$BD$53,0)))</f>
        <v>-</v>
      </c>
      <c r="R4" s="16" t="str">
        <f t="shared" ref="R4:R9" ca="1" si="10">IF(D4="Pendiente","-",INDEX($CN$6:$CN$53,MATCH($AF4,$BD$6:$BD$53,0)))</f>
        <v>P.3 (2)</v>
      </c>
      <c r="S4" s="16"/>
      <c r="T4" s="16" t="str">
        <f t="shared" ref="T4:T9" ca="1" si="11">IF(D4="Pendiente","-",INDEX($CS$6:$CS$53,MATCH($AA4,$BD$6:$BD$53,0)))</f>
        <v>-</v>
      </c>
      <c r="U4" s="16" t="str">
        <f t="shared" ref="U4:U9" ca="1" si="12">IF(D4="Pendiente","-",INDEX($CS$6:$CS$53,MATCH($AF4,$BD$6:$BD$53,0)))</f>
        <v>P.3 (2)</v>
      </c>
      <c r="V4" s="17"/>
      <c r="W4" s="628"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P.3 (2)</v>
      </c>
      <c r="G5" s="16"/>
      <c r="H5" s="16" t="str">
        <f t="shared" ca="1" si="3"/>
        <v>-</v>
      </c>
      <c r="I5" s="16" t="str">
        <f t="shared" ca="1" si="4"/>
        <v>P.3 (2)</v>
      </c>
      <c r="J5" s="16"/>
      <c r="K5" s="16" t="str">
        <f t="shared" ca="1" si="5"/>
        <v>-</v>
      </c>
      <c r="L5" s="16" t="str">
        <f t="shared" ca="1" si="6"/>
        <v>P.3 (2)</v>
      </c>
      <c r="M5" s="16"/>
      <c r="N5" s="16" t="str">
        <f t="shared" ca="1" si="7"/>
        <v>-</v>
      </c>
      <c r="O5" s="16" t="str">
        <f t="shared" ca="1" si="8"/>
        <v>P.3 (2)</v>
      </c>
      <c r="P5" s="16"/>
      <c r="Q5" s="16" t="str">
        <f t="shared" ca="1" si="9"/>
        <v>-</v>
      </c>
      <c r="R5" s="16" t="str">
        <f t="shared" ca="1" si="10"/>
        <v>P.3 (2)</v>
      </c>
      <c r="S5" s="16"/>
      <c r="T5" s="16" t="str">
        <f t="shared" ca="1" si="11"/>
        <v>-</v>
      </c>
      <c r="U5" s="16" t="str">
        <f t="shared" ca="1" si="12"/>
        <v>P.3 (2)</v>
      </c>
      <c r="V5" s="17"/>
      <c r="W5" s="625"/>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P.3 (2)</v>
      </c>
      <c r="F6" s="16" t="str">
        <f t="shared" ca="1" si="2"/>
        <v>P.3 (2)</v>
      </c>
      <c r="G6" s="16"/>
      <c r="H6" s="16" t="str">
        <f t="shared" ca="1" si="3"/>
        <v>P.3 (2)</v>
      </c>
      <c r="I6" s="16" t="str">
        <f t="shared" ca="1" si="4"/>
        <v>P.3 (2)</v>
      </c>
      <c r="J6" s="16"/>
      <c r="K6" s="16" t="str">
        <f t="shared" ca="1" si="5"/>
        <v>P.3 (2)</v>
      </c>
      <c r="L6" s="16" t="str">
        <f t="shared" ca="1" si="6"/>
        <v>P.3 (2)</v>
      </c>
      <c r="M6" s="16"/>
      <c r="N6" s="16" t="str">
        <f t="shared" ca="1" si="7"/>
        <v>P.3 (2)</v>
      </c>
      <c r="O6" s="16" t="str">
        <f t="shared" ca="1" si="8"/>
        <v>P.3 (2)</v>
      </c>
      <c r="P6" s="16"/>
      <c r="Q6" s="16" t="str">
        <f t="shared" ca="1" si="9"/>
        <v>P.3 (2)</v>
      </c>
      <c r="R6" s="16" t="str">
        <f t="shared" ca="1" si="10"/>
        <v>P.3 (2)</v>
      </c>
      <c r="S6" s="16"/>
      <c r="T6" s="16" t="str">
        <f t="shared" ca="1" si="11"/>
        <v>P.3 (2)</v>
      </c>
      <c r="U6" s="16" t="str">
        <f t="shared" ca="1" si="12"/>
        <v>P.3 (2)</v>
      </c>
      <c r="V6" s="17"/>
      <c r="W6" s="625"/>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6</v>
      </c>
      <c r="AN6" s="36">
        <f t="shared" ca="1" si="15"/>
        <v>2</v>
      </c>
      <c r="AO6" s="36">
        <f t="shared" ca="1" si="15"/>
        <v>2</v>
      </c>
      <c r="AP6" s="36">
        <f t="shared" ca="1" si="15"/>
        <v>0</v>
      </c>
      <c r="AQ6" s="36">
        <f t="shared" ca="1" si="15"/>
        <v>0</v>
      </c>
      <c r="AR6" s="36">
        <f t="shared" ca="1" si="15"/>
        <v>3</v>
      </c>
      <c r="AS6" s="36">
        <f t="shared" ca="1" si="15"/>
        <v>0</v>
      </c>
      <c r="AT6" s="41">
        <f t="shared" ca="1" si="15"/>
        <v>3</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6</v>
      </c>
      <c r="BF6" s="16">
        <f t="shared" ref="BF6:BF53" ca="1" si="17">+BG6+BH6+BI6</f>
        <v>2</v>
      </c>
      <c r="BG6" s="16">
        <f t="shared" ref="BG6:BG53" ca="1" si="18">+COUNTIFS(FGLocal,BD6,Ganador,"Local")+COUNTIFS(FGVisitante,BD6,Ganador,"Visitante")</f>
        <v>2</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3</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3</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6</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8</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5"/>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Corea del Sur</v>
      </c>
      <c r="AM7" s="38">
        <f t="shared" ca="1" si="15"/>
        <v>3</v>
      </c>
      <c r="AN7" s="39">
        <f t="shared" ca="1" si="15"/>
        <v>2</v>
      </c>
      <c r="AO7" s="39">
        <f t="shared" ca="1" si="15"/>
        <v>1</v>
      </c>
      <c r="AP7" s="39">
        <f t="shared" ca="1" si="15"/>
        <v>0</v>
      </c>
      <c r="AQ7" s="39">
        <f t="shared" ca="1" si="15"/>
        <v>1</v>
      </c>
      <c r="AR7" s="39">
        <f t="shared" ca="1" si="15"/>
        <v>2</v>
      </c>
      <c r="AS7" s="39">
        <f t="shared" ca="1" si="15"/>
        <v>2</v>
      </c>
      <c r="AT7" s="43">
        <f t="shared" ca="1" si="15"/>
        <v>0</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2</v>
      </c>
      <c r="BG7" s="16">
        <f t="shared" ca="1" si="18"/>
        <v>0</v>
      </c>
      <c r="BH7" s="16">
        <f t="shared" ca="1" si="19"/>
        <v>1</v>
      </c>
      <c r="BI7" s="16">
        <f t="shared" ca="1" si="20"/>
        <v>1</v>
      </c>
      <c r="BJ7" s="16">
        <f t="shared" ca="1" si="21"/>
        <v>1</v>
      </c>
      <c r="BK7" s="16">
        <f t="shared" ca="1" si="22"/>
        <v>3</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1</v>
      </c>
      <c r="BW7" s="16">
        <f t="shared" ca="1" si="30"/>
        <v>0</v>
      </c>
      <c r="BX7" s="16">
        <f t="shared" ca="1" si="31"/>
        <v>1</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1</v>
      </c>
      <c r="CB7" s="16">
        <f t="shared" ca="1" si="33"/>
        <v>1</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1</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1</v>
      </c>
      <c r="CK7" s="16">
        <f t="shared" ca="1" si="38"/>
        <v>0</v>
      </c>
      <c r="CL7" s="16">
        <f t="shared" ca="1" si="39"/>
        <v>1</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1</v>
      </c>
      <c r="CP7" s="16">
        <f t="shared" ca="1" si="41"/>
        <v>1</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1</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8</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5"/>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1</v>
      </c>
      <c r="AN8" s="39">
        <f t="shared" ca="1" si="15"/>
        <v>2</v>
      </c>
      <c r="AO8" s="39">
        <f t="shared" ca="1" si="15"/>
        <v>0</v>
      </c>
      <c r="AP8" s="39">
        <f t="shared" ca="1" si="15"/>
        <v>1</v>
      </c>
      <c r="AQ8" s="39">
        <f t="shared" ca="1" si="15"/>
        <v>1</v>
      </c>
      <c r="AR8" s="39">
        <f t="shared" ca="1" si="15"/>
        <v>2</v>
      </c>
      <c r="AS8" s="39">
        <f t="shared" ca="1" si="15"/>
        <v>3</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2</v>
      </c>
      <c r="BG8" s="16">
        <f t="shared" ca="1" si="18"/>
        <v>1</v>
      </c>
      <c r="BH8" s="16">
        <f t="shared" ca="1" si="19"/>
        <v>0</v>
      </c>
      <c r="BI8" s="16">
        <f t="shared" ca="1" si="20"/>
        <v>1</v>
      </c>
      <c r="BJ8" s="16">
        <f t="shared" ca="1" si="21"/>
        <v>2</v>
      </c>
      <c r="BK8" s="16">
        <f t="shared" ca="1" si="22"/>
        <v>2</v>
      </c>
      <c r="BL8" s="16">
        <f t="shared" ca="1" si="23"/>
        <v>0</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2</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2</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2</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2</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2</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2</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2</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8</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6"/>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1</v>
      </c>
      <c r="AN9" s="47">
        <f t="shared" ca="1" si="15"/>
        <v>2</v>
      </c>
      <c r="AO9" s="47">
        <f t="shared" ca="1" si="15"/>
        <v>0</v>
      </c>
      <c r="AP9" s="47">
        <f t="shared" ca="1" si="15"/>
        <v>1</v>
      </c>
      <c r="AQ9" s="47">
        <f t="shared" ca="1" si="15"/>
        <v>1</v>
      </c>
      <c r="AR9" s="47">
        <f t="shared" ca="1" si="15"/>
        <v>1</v>
      </c>
      <c r="AS9" s="47">
        <f t="shared" ca="1" si="15"/>
        <v>3</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2</v>
      </c>
      <c r="BG9" s="16">
        <f t="shared" ca="1" si="18"/>
        <v>0</v>
      </c>
      <c r="BH9" s="16">
        <f t="shared" ca="1" si="19"/>
        <v>1</v>
      </c>
      <c r="BI9" s="16">
        <f t="shared" ca="1" si="20"/>
        <v>1</v>
      </c>
      <c r="BJ9" s="16">
        <f t="shared" ca="1" si="21"/>
        <v>2</v>
      </c>
      <c r="BK9" s="16">
        <f t="shared" ca="1" si="22"/>
        <v>3</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1</v>
      </c>
      <c r="BW9" s="16">
        <f t="shared" ca="1" si="30"/>
        <v>0</v>
      </c>
      <c r="BX9" s="16">
        <f t="shared" ca="1" si="31"/>
        <v>1</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1</v>
      </c>
      <c r="CB9" s="16">
        <f t="shared" ca="1" si="33"/>
        <v>1</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1</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1</v>
      </c>
      <c r="CK9" s="16">
        <f t="shared" ca="1" si="38"/>
        <v>0</v>
      </c>
      <c r="CL9" s="16">
        <f t="shared" ca="1" si="39"/>
        <v>1</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1</v>
      </c>
      <c r="CP9" s="16">
        <f t="shared" ca="1" si="41"/>
        <v>1</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1</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8</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2</v>
      </c>
      <c r="BG10" s="16">
        <f t="shared" ca="1" si="18"/>
        <v>1</v>
      </c>
      <c r="BH10" s="16">
        <f t="shared" ca="1" si="19"/>
        <v>1</v>
      </c>
      <c r="BI10" s="16">
        <f t="shared" ca="1" si="20"/>
        <v>0</v>
      </c>
      <c r="BJ10" s="16">
        <f t="shared" ca="1" si="21"/>
        <v>7</v>
      </c>
      <c r="BK10" s="16">
        <f t="shared" ca="1" si="22"/>
        <v>1</v>
      </c>
      <c r="BL10" s="16">
        <f t="shared" ca="1" si="23"/>
        <v>6</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0</v>
      </c>
      <c r="BW10" s="16">
        <f t="shared" ca="1" si="30"/>
        <v>0</v>
      </c>
      <c r="BX10" s="16">
        <f t="shared" ca="1" si="31"/>
        <v>0</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0</v>
      </c>
      <c r="CB10" s="16">
        <f t="shared" ca="1" si="33"/>
        <v>0</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0</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0</v>
      </c>
      <c r="CK10" s="16">
        <f t="shared" ca="1" si="38"/>
        <v>0</v>
      </c>
      <c r="CL10" s="16">
        <f t="shared" ca="1" si="39"/>
        <v>0</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0</v>
      </c>
      <c r="CP10" s="16">
        <f t="shared" ca="1" si="41"/>
        <v>0</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0</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6</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1</v>
      </c>
      <c r="DE10" s="16"/>
      <c r="DF10" s="16">
        <f t="shared" ca="1" si="46"/>
        <v>1</v>
      </c>
      <c r="DG10" s="16" t="str">
        <f ca="1">IF(DB10="-","-",COUNTIFS(DF$6:DF$53,"&lt;"&amp;DF10,$BC$6:$BC$53,INDEX(T_Equipos[Grupo],MATCH(BD10,T_Equipos[NombreEquipo],0))))</f>
        <v>-</v>
      </c>
      <c r="DH10" s="16">
        <f ca="1">DA10+COUNTIFS(DB$6:DB$53,DB10,DG$6:DG$53,"&lt;"&amp;DG10,$BC$6:$BC$53,INDEX(T_Equipos[Grupo],MATCH(BD10,T_Equipos[NombreEquipo],0)))</f>
        <v>1</v>
      </c>
      <c r="DI10" s="16"/>
      <c r="DJ10" s="16">
        <f t="shared" ca="1" si="47"/>
        <v>1</v>
      </c>
      <c r="DK10" s="16">
        <f t="shared" ca="1" si="48"/>
        <v>8</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2</v>
      </c>
      <c r="BG11" s="16">
        <f t="shared" ca="1" si="18"/>
        <v>0</v>
      </c>
      <c r="BH11" s="16">
        <f t="shared" ca="1" si="19"/>
        <v>1</v>
      </c>
      <c r="BI11" s="16">
        <f t="shared" ca="1" si="20"/>
        <v>1</v>
      </c>
      <c r="BJ11" s="16">
        <f t="shared" ca="1" si="21"/>
        <v>2</v>
      </c>
      <c r="BK11" s="16">
        <f t="shared" ca="1" si="22"/>
        <v>5</v>
      </c>
      <c r="BL11" s="16">
        <f t="shared" ca="1" si="23"/>
        <v>-3</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P.3 (2)</v>
      </c>
      <c r="BU11" s="16">
        <f t="shared" ca="1" si="28"/>
        <v>0</v>
      </c>
      <c r="BV11" s="16">
        <f t="shared" ca="1" si="29"/>
        <v>0</v>
      </c>
      <c r="BW11" s="16">
        <f t="shared" ca="1" si="30"/>
        <v>0</v>
      </c>
      <c r="BX11" s="16">
        <f t="shared" ca="1" si="31"/>
        <v>0</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P.3 (2)</v>
      </c>
      <c r="CA11" s="16">
        <f t="shared" ca="1" si="32"/>
        <v>0</v>
      </c>
      <c r="CB11" s="16">
        <f t="shared" ca="1" si="33"/>
        <v>0</v>
      </c>
      <c r="CC11" s="16">
        <f t="shared" ca="1" si="34"/>
        <v>0</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P.3 (2)</v>
      </c>
      <c r="CF11" s="16">
        <f t="shared" ca="1" si="35"/>
        <v>0</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P.3 (2)</v>
      </c>
      <c r="CI11" s="16">
        <f t="shared" ca="1" si="36"/>
        <v>0</v>
      </c>
      <c r="CJ11" s="16">
        <f t="shared" ca="1" si="37"/>
        <v>0</v>
      </c>
      <c r="CK11" s="16">
        <f t="shared" ca="1" si="38"/>
        <v>0</v>
      </c>
      <c r="CL11" s="16">
        <f t="shared" ca="1" si="39"/>
        <v>0</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P.3 (2)</v>
      </c>
      <c r="CO11" s="16">
        <f t="shared" ca="1" si="40"/>
        <v>0</v>
      </c>
      <c r="CP11" s="16">
        <f t="shared" ca="1" si="41"/>
        <v>0</v>
      </c>
      <c r="CQ11" s="16">
        <f t="shared" ca="1" si="42"/>
        <v>0</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P.3 (2)</v>
      </c>
      <c r="CT11" s="16">
        <f t="shared" ca="1" si="43"/>
        <v>0</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P.3 (2)</v>
      </c>
      <c r="CW11" s="16">
        <f t="shared" ca="1" si="44"/>
        <v>-3</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8</v>
      </c>
      <c r="DL11" s="16">
        <f t="shared" ca="1" si="49"/>
        <v>1</v>
      </c>
      <c r="DM11" s="16" t="str">
        <f t="shared" ca="1" si="50"/>
        <v>2.1</v>
      </c>
      <c r="DN11" s="16">
        <f t="array" aca="1" ref="DN11" ca="1">OFFSET(Horarios!$P$3,DJ11-1,0,DL11,1)</f>
        <v>2</v>
      </c>
      <c r="DO11" s="16"/>
      <c r="DP11" s="16" t="s">
        <v>75</v>
      </c>
      <c r="DQ11" s="16" t="str">
        <f t="shared" ca="1" si="51"/>
        <v>Suiza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(2)</v>
      </c>
      <c r="F12" s="16" t="str">
        <f t="shared" ref="F12:F17" ca="1" si="54">IF(D12="Pendiente","-",INDEX($BT$6:$BT$53,MATCH($AF12,$BD$6:$BD$53,0)))</f>
        <v>P.3 (2)</v>
      </c>
      <c r="G12" s="16"/>
      <c r="H12" s="16" t="str">
        <f t="shared" ref="H12:H17" ca="1" si="55">IF(D12="Pendiente","-",INDEX($BZ$6:$BZ$53,MATCH($AA12,$BD$6:$BD$53,0)))</f>
        <v>P.1 (2)</v>
      </c>
      <c r="I12" s="16" t="str">
        <f t="shared" ref="I12:I17" ca="1" si="56">IF(D12="Pendiente","-",INDEX($BZ$6:$BZ$53,MATCH($AF12,$BD$6:$BD$53,0)))</f>
        <v>P.3 (2)</v>
      </c>
      <c r="J12" s="16"/>
      <c r="K12" s="16" t="str">
        <f t="shared" ref="K12:K17" ca="1" si="57">IF(D12="Pendiente","-",INDEX($CE$6:$CE$53,MATCH($AA12,$BD$6:$BD$53,0)))</f>
        <v>P.1 (2)</v>
      </c>
      <c r="L12" s="16" t="str">
        <f t="shared" ref="L12:L17" ca="1" si="58">IF(D12="Pendiente","-",INDEX($CE$6:$CE$53,MATCH($AF12,$BD$6:$BD$53,0)))</f>
        <v>P.3 (2)</v>
      </c>
      <c r="M12" s="16"/>
      <c r="N12" s="16" t="str">
        <f t="shared" ref="N12:N17" ca="1" si="59">IF(D12="Pendiente","-",INDEX($CH$6:$CH$53,MATCH($AA12,$BD$6:$BD$53,0)))</f>
        <v>P.1 (2)</v>
      </c>
      <c r="O12" s="16" t="str">
        <f t="shared" ref="O12:O17" ca="1" si="60">IF(D12="Pendiente","-",INDEX($CH$6:$CH$53,MATCH($AF12,$BD$6:$BD$53,0)))</f>
        <v>P.3 (2)</v>
      </c>
      <c r="P12" s="16"/>
      <c r="Q12" s="16" t="str">
        <f t="shared" ref="Q12:Q17" ca="1" si="61">IF(D12="Pendiente","-",INDEX($CN$6:$CN$53,MATCH($AA12,$BD$6:$BD$53,0)))</f>
        <v>P.1 (2)</v>
      </c>
      <c r="R12" s="16" t="str">
        <f t="shared" ref="R12:R17" ca="1" si="62">IF(D12="Pendiente","-",INDEX($CN$6:$CN$53,MATCH($AF12,$BD$6:$BD$53,0)))</f>
        <v>P.3 (2)</v>
      </c>
      <c r="S12" s="16"/>
      <c r="T12" s="16" t="str">
        <f t="shared" ref="T12:T17" ca="1" si="63">IF(D12="Pendiente","-",INDEX($CS$6:$CS$53,MATCH($AA12,$BD$6:$BD$53,0)))</f>
        <v>P.1 (2)</v>
      </c>
      <c r="U12" s="16" t="str">
        <f t="shared" ref="U12:U17" ca="1" si="64">IF(D12="Pendiente","-",INDEX($CS$6:$CS$53,MATCH($AF12,$BD$6:$BD$53,0)))</f>
        <v>P.3 (2)</v>
      </c>
      <c r="V12" s="17"/>
      <c r="W12" s="637"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2</v>
      </c>
      <c r="BG12" s="16">
        <f t="shared" ca="1" si="18"/>
        <v>0</v>
      </c>
      <c r="BH12" s="16">
        <f t="shared" ca="1" si="19"/>
        <v>1</v>
      </c>
      <c r="BI12" s="16">
        <f t="shared" ca="1" si="20"/>
        <v>1</v>
      </c>
      <c r="BJ12" s="16">
        <f t="shared" ca="1" si="21"/>
        <v>1</v>
      </c>
      <c r="BK12" s="16">
        <f t="shared" ca="1" si="22"/>
        <v>7</v>
      </c>
      <c r="BL12" s="16">
        <f t="shared" ca="1" si="23"/>
        <v>-6</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0</v>
      </c>
      <c r="BW12" s="16">
        <f t="shared" ca="1" si="30"/>
        <v>0</v>
      </c>
      <c r="BX12" s="16">
        <f t="shared" ca="1" si="31"/>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0</v>
      </c>
      <c r="CK12" s="16">
        <f t="shared" ca="1" si="38"/>
        <v>0</v>
      </c>
      <c r="CL12" s="16">
        <f t="shared" ca="1" si="39"/>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-6</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8</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P.3 (2)</v>
      </c>
      <c r="F13" s="16" t="str">
        <f t="shared" ca="1" si="54"/>
        <v>P.1 (2)</v>
      </c>
      <c r="G13" s="16"/>
      <c r="H13" s="16" t="str">
        <f t="shared" ca="1" si="55"/>
        <v>P.3 (2)</v>
      </c>
      <c r="I13" s="16" t="str">
        <f t="shared" ca="1" si="56"/>
        <v>P.1 (2)</v>
      </c>
      <c r="J13" s="16"/>
      <c r="K13" s="16" t="str">
        <f t="shared" ca="1" si="57"/>
        <v>P.3 (2)</v>
      </c>
      <c r="L13" s="16" t="str">
        <f t="shared" ca="1" si="58"/>
        <v>P.1 (2)</v>
      </c>
      <c r="M13" s="16"/>
      <c r="N13" s="16" t="str">
        <f t="shared" ca="1" si="59"/>
        <v>P.3 (2)</v>
      </c>
      <c r="O13" s="16" t="str">
        <f t="shared" ca="1" si="60"/>
        <v>P.1 (2)</v>
      </c>
      <c r="P13" s="16"/>
      <c r="Q13" s="16" t="str">
        <f t="shared" ca="1" si="61"/>
        <v>P.3 (2)</v>
      </c>
      <c r="R13" s="16" t="str">
        <f t="shared" ca="1" si="62"/>
        <v>P.1 (2)</v>
      </c>
      <c r="S13" s="16"/>
      <c r="T13" s="16" t="str">
        <f t="shared" ca="1" si="63"/>
        <v>P.3 (2)</v>
      </c>
      <c r="U13" s="16" t="str">
        <f t="shared" ca="1" si="64"/>
        <v>P.1 (2)</v>
      </c>
      <c r="V13" s="17"/>
      <c r="W13" s="625"/>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4</v>
      </c>
      <c r="BF13" s="16">
        <f t="shared" ca="1" si="17"/>
        <v>2</v>
      </c>
      <c r="BG13" s="16">
        <f t="shared" ca="1" si="18"/>
        <v>1</v>
      </c>
      <c r="BH13" s="16">
        <f t="shared" ca="1" si="19"/>
        <v>1</v>
      </c>
      <c r="BI13" s="16">
        <f t="shared" ca="1" si="20"/>
        <v>0</v>
      </c>
      <c r="BJ13" s="16">
        <f t="shared" ca="1" si="21"/>
        <v>5</v>
      </c>
      <c r="BK13" s="16">
        <f t="shared" ca="1" si="22"/>
        <v>2</v>
      </c>
      <c r="BL13" s="16">
        <f t="shared" ca="1" si="23"/>
        <v>3</v>
      </c>
      <c r="BM13" s="16" t="str">
        <f t="shared" ca="1" si="24"/>
        <v>2B</v>
      </c>
      <c r="BN13" s="16" t="str">
        <f t="shared" ca="1" si="25"/>
        <v>2B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4</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P.1 (2)</v>
      </c>
      <c r="BU13" s="16">
        <f t="shared" ca="1" si="28"/>
        <v>0</v>
      </c>
      <c r="BV13" s="16">
        <f t="shared" ca="1" si="29"/>
        <v>0</v>
      </c>
      <c r="BW13" s="16">
        <f t="shared" ca="1" si="30"/>
        <v>0</v>
      </c>
      <c r="BX13" s="16">
        <f t="shared" ca="1" si="31"/>
        <v>0</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P.1 (2)</v>
      </c>
      <c r="CA13" s="16">
        <f t="shared" ca="1" si="32"/>
        <v>0</v>
      </c>
      <c r="CB13" s="16">
        <f t="shared" ca="1" si="33"/>
        <v>0</v>
      </c>
      <c r="CC13" s="16">
        <f t="shared" ca="1" si="34"/>
        <v>0</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P.1 (2)</v>
      </c>
      <c r="CF13" s="16">
        <f t="shared" ca="1" si="35"/>
        <v>0</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P.1 (2)</v>
      </c>
      <c r="CI13" s="16">
        <f t="shared" ca="1" si="36"/>
        <v>0</v>
      </c>
      <c r="CJ13" s="16">
        <f t="shared" ca="1" si="37"/>
        <v>0</v>
      </c>
      <c r="CK13" s="16">
        <f t="shared" ca="1" si="38"/>
        <v>0</v>
      </c>
      <c r="CL13" s="16">
        <f t="shared" ca="1" si="39"/>
        <v>0</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P.1 (2)</v>
      </c>
      <c r="CO13" s="16">
        <f t="shared" ca="1" si="40"/>
        <v>0</v>
      </c>
      <c r="CP13" s="16">
        <f t="shared" ca="1" si="41"/>
        <v>0</v>
      </c>
      <c r="CQ13" s="16">
        <f t="shared" ca="1" si="42"/>
        <v>0</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P.1 (2)</v>
      </c>
      <c r="CT13" s="16">
        <f t="shared" ca="1" si="43"/>
        <v>0</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P.1 (2)</v>
      </c>
      <c r="CW13" s="16">
        <f t="shared" ca="1" si="44"/>
        <v>3</v>
      </c>
      <c r="CX13" s="16">
        <f ca="1">CU13+COUNTIFS($CV$6:$CV$53,CV13,$CW$6:CW$53,"&gt;"&amp;CW13,$BC$6:$BC$53,INDEX(T_Equipos[Grupo],MATCH(BD13,T_Equipos[NombreEquipo],0)))</f>
        <v>2</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2</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2</v>
      </c>
      <c r="DE13" s="16"/>
      <c r="DF13" s="16">
        <f t="shared" ca="1" si="46"/>
        <v>2</v>
      </c>
      <c r="DG13" s="16" t="str">
        <f ca="1">IF(DB13="-","-",COUNTIFS(DF$6:DF$53,"&lt;"&amp;DF13,$BC$6:$BC$53,INDEX(T_Equipos[Grupo],MATCH(BD13,T_Equipos[NombreEquipo],0))))</f>
        <v>-</v>
      </c>
      <c r="DH13" s="16">
        <f ca="1">DA13+COUNTIFS(DB$6:DB$53,DB13,DG$6:DG$53,"&lt;"&amp;DG13,$BC$6:$BC$53,INDEX(T_Equipos[Grupo],MATCH(BD13,T_Equipos[NombreEquipo],0)))</f>
        <v>2</v>
      </c>
      <c r="DI13" s="16"/>
      <c r="DJ13" s="16">
        <f t="shared" ca="1" si="47"/>
        <v>4</v>
      </c>
      <c r="DK13" s="16">
        <f t="shared" ca="1" si="48"/>
        <v>8</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P.1 (2)</v>
      </c>
      <c r="F14" s="16" t="str">
        <f t="shared" ca="1" si="54"/>
        <v>P.3 (2)</v>
      </c>
      <c r="G14" s="16"/>
      <c r="H14" s="16" t="str">
        <f t="shared" ca="1" si="55"/>
        <v>P.1 (2)</v>
      </c>
      <c r="I14" s="16" t="str">
        <f t="shared" ca="1" si="56"/>
        <v>P.3 (2)</v>
      </c>
      <c r="J14" s="16"/>
      <c r="K14" s="16" t="str">
        <f t="shared" ca="1" si="57"/>
        <v>P.1 (2)</v>
      </c>
      <c r="L14" s="16" t="str">
        <f t="shared" ca="1" si="58"/>
        <v>P.3 (2)</v>
      </c>
      <c r="M14" s="16"/>
      <c r="N14" s="16" t="str">
        <f t="shared" ca="1" si="59"/>
        <v>P.1 (2)</v>
      </c>
      <c r="O14" s="16" t="str">
        <f t="shared" ca="1" si="60"/>
        <v>P.3 (2)</v>
      </c>
      <c r="P14" s="16"/>
      <c r="Q14" s="16" t="str">
        <f t="shared" ca="1" si="61"/>
        <v>P.1 (2)</v>
      </c>
      <c r="R14" s="16" t="str">
        <f t="shared" ca="1" si="62"/>
        <v>P.3 (2)</v>
      </c>
      <c r="S14" s="16"/>
      <c r="T14" s="16" t="str">
        <f t="shared" ca="1" si="63"/>
        <v>P.1 (2)</v>
      </c>
      <c r="U14" s="16" t="str">
        <f t="shared" ca="1" si="64"/>
        <v>P.3 (2)</v>
      </c>
      <c r="V14" s="17"/>
      <c r="W14" s="625"/>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4</v>
      </c>
      <c r="AN14" s="36">
        <f t="shared" ca="1" si="67"/>
        <v>2</v>
      </c>
      <c r="AO14" s="36">
        <f t="shared" ca="1" si="67"/>
        <v>1</v>
      </c>
      <c r="AP14" s="36">
        <f t="shared" ca="1" si="67"/>
        <v>1</v>
      </c>
      <c r="AQ14" s="36">
        <f t="shared" ca="1" si="67"/>
        <v>0</v>
      </c>
      <c r="AR14" s="36">
        <f t="shared" ca="1" si="67"/>
        <v>7</v>
      </c>
      <c r="AS14" s="36">
        <f t="shared" ca="1" si="67"/>
        <v>1</v>
      </c>
      <c r="AT14" s="72">
        <f t="shared" ca="1" si="67"/>
        <v>6</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4</v>
      </c>
      <c r="BF14" s="16">
        <f t="shared" ca="1" si="17"/>
        <v>2</v>
      </c>
      <c r="BG14" s="16">
        <f t="shared" ca="1" si="18"/>
        <v>1</v>
      </c>
      <c r="BH14" s="16">
        <f t="shared" ca="1" si="19"/>
        <v>1</v>
      </c>
      <c r="BI14" s="16">
        <f t="shared" ca="1" si="20"/>
        <v>0</v>
      </c>
      <c r="BJ14" s="16">
        <f t="shared" ca="1" si="21"/>
        <v>4</v>
      </c>
      <c r="BK14" s="16">
        <f t="shared" ca="1" si="22"/>
        <v>1</v>
      </c>
      <c r="BL14" s="16">
        <f t="shared" ca="1" si="23"/>
        <v>3</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4</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3</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8</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P.1 (2)</v>
      </c>
      <c r="F15" s="16" t="str">
        <f t="shared" ca="1" si="54"/>
        <v>P.3 (2)</v>
      </c>
      <c r="G15" s="16"/>
      <c r="H15" s="16" t="str">
        <f t="shared" ca="1" si="55"/>
        <v>P.1 (2)</v>
      </c>
      <c r="I15" s="16" t="str">
        <f t="shared" ca="1" si="56"/>
        <v>P.3 (2)</v>
      </c>
      <c r="J15" s="16"/>
      <c r="K15" s="16" t="str">
        <f t="shared" ca="1" si="57"/>
        <v>P.1 (2)</v>
      </c>
      <c r="L15" s="16" t="str">
        <f t="shared" ca="1" si="58"/>
        <v>P.3 (2)</v>
      </c>
      <c r="M15" s="16"/>
      <c r="N15" s="16" t="str">
        <f t="shared" ca="1" si="59"/>
        <v>P.1 (2)</v>
      </c>
      <c r="O15" s="16" t="str">
        <f t="shared" ca="1" si="60"/>
        <v>P.3 (2)</v>
      </c>
      <c r="P15" s="16"/>
      <c r="Q15" s="16" t="str">
        <f t="shared" ca="1" si="61"/>
        <v>P.1 (2)</v>
      </c>
      <c r="R15" s="16" t="str">
        <f t="shared" ca="1" si="62"/>
        <v>P.3 (2)</v>
      </c>
      <c r="S15" s="16"/>
      <c r="T15" s="16" t="str">
        <f t="shared" ca="1" si="63"/>
        <v>P.1 (2)</v>
      </c>
      <c r="U15" s="16" t="str">
        <f t="shared" ca="1" si="64"/>
        <v>P.3 (2)</v>
      </c>
      <c r="V15" s="17"/>
      <c r="W15" s="625"/>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Suiza</v>
      </c>
      <c r="AM15" s="38">
        <f t="shared" ca="1" si="67"/>
        <v>4</v>
      </c>
      <c r="AN15" s="39">
        <f t="shared" ca="1" si="67"/>
        <v>2</v>
      </c>
      <c r="AO15" s="39">
        <f t="shared" ca="1" si="67"/>
        <v>1</v>
      </c>
      <c r="AP15" s="39">
        <f t="shared" ca="1" si="67"/>
        <v>1</v>
      </c>
      <c r="AQ15" s="39">
        <f t="shared" ca="1" si="67"/>
        <v>0</v>
      </c>
      <c r="AR15" s="39">
        <f t="shared" ca="1" si="67"/>
        <v>5</v>
      </c>
      <c r="AS15" s="39">
        <f t="shared" ca="1" si="67"/>
        <v>2</v>
      </c>
      <c r="AT15" s="74">
        <f t="shared" ca="1" si="67"/>
        <v>3</v>
      </c>
      <c r="AU15" s="323">
        <f ca="1">INDEX($DL$6:$DL$53,MATCH(AI15,$DP$6:$DP$53,0))</f>
        <v>1</v>
      </c>
      <c r="AV15" s="182" t="str">
        <f ca="1">INDEX($BD$6:$BD$53,MATCH(AI15,$BM$6:$BM$53,0))</f>
        <v>Suiza</v>
      </c>
      <c r="AW15" s="210"/>
      <c r="AX15" s="171"/>
      <c r="AY15" s="203" t="str">
        <f ca="1">+A14</f>
        <v>Bosnia y Herzegovina</v>
      </c>
      <c r="AZ15" s="204"/>
      <c r="BA15" s="176"/>
      <c r="BC15" s="16" t="str">
        <f ca="1">+INDEX(T_Equipos[Grupo],MATCH(WORLDCUP!BD15,T_Equipos[NombreEquipo],0))</f>
        <v>C</v>
      </c>
      <c r="BD15" s="16" t="str">
        <f ca="1">+Equipos!B11</f>
        <v>Marruecos</v>
      </c>
      <c r="BE15" s="16">
        <f t="shared" ca="1" si="16"/>
        <v>4</v>
      </c>
      <c r="BF15" s="16">
        <f t="shared" ca="1" si="17"/>
        <v>2</v>
      </c>
      <c r="BG15" s="16">
        <f t="shared" ca="1" si="18"/>
        <v>1</v>
      </c>
      <c r="BH15" s="16">
        <f t="shared" ca="1" si="19"/>
        <v>1</v>
      </c>
      <c r="BI15" s="16">
        <f t="shared" ca="1" si="20"/>
        <v>0</v>
      </c>
      <c r="BJ15" s="16">
        <f t="shared" ca="1" si="21"/>
        <v>2</v>
      </c>
      <c r="BK15" s="16">
        <f t="shared" ca="1" si="22"/>
        <v>1</v>
      </c>
      <c r="BL15" s="16">
        <f t="shared" ca="1" si="23"/>
        <v>1</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4</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1</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8</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5"/>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Bosnia y Herzegovina</v>
      </c>
      <c r="AM16" s="38">
        <f t="shared" ca="1" si="67"/>
        <v>1</v>
      </c>
      <c r="AN16" s="39">
        <f t="shared" ca="1" si="67"/>
        <v>2</v>
      </c>
      <c r="AO16" s="39">
        <f t="shared" ca="1" si="67"/>
        <v>0</v>
      </c>
      <c r="AP16" s="39">
        <f t="shared" ca="1" si="67"/>
        <v>1</v>
      </c>
      <c r="AQ16" s="39">
        <f t="shared" ca="1" si="67"/>
        <v>1</v>
      </c>
      <c r="AR16" s="39">
        <f t="shared" ca="1" si="67"/>
        <v>2</v>
      </c>
      <c r="AS16" s="39">
        <f t="shared" ca="1" si="67"/>
        <v>5</v>
      </c>
      <c r="AT16" s="74">
        <f t="shared" ca="1" si="67"/>
        <v>-3</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2</v>
      </c>
      <c r="BG16" s="16">
        <f t="shared" ca="1" si="18"/>
        <v>0</v>
      </c>
      <c r="BH16" s="16">
        <f t="shared" ca="1" si="19"/>
        <v>0</v>
      </c>
      <c r="BI16" s="16">
        <f t="shared" ca="1" si="20"/>
        <v>2</v>
      </c>
      <c r="BJ16" s="16">
        <f t="shared" ca="1" si="21"/>
        <v>0</v>
      </c>
      <c r="BK16" s="16">
        <f t="shared" ca="1" si="22"/>
        <v>4</v>
      </c>
      <c r="BL16" s="16">
        <f t="shared" ca="1" si="23"/>
        <v>-4</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8</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6"/>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2</v>
      </c>
      <c r="AO17" s="78">
        <f t="shared" ca="1" si="67"/>
        <v>0</v>
      </c>
      <c r="AP17" s="78">
        <f t="shared" ca="1" si="67"/>
        <v>1</v>
      </c>
      <c r="AQ17" s="78">
        <f t="shared" ca="1" si="67"/>
        <v>1</v>
      </c>
      <c r="AR17" s="78">
        <f t="shared" ca="1" si="67"/>
        <v>1</v>
      </c>
      <c r="AS17" s="78">
        <f t="shared" ca="1" si="67"/>
        <v>7</v>
      </c>
      <c r="AT17" s="79">
        <f t="shared" ca="1" si="67"/>
        <v>-6</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2</v>
      </c>
      <c r="BG17" s="16">
        <f t="shared" ca="1" si="18"/>
        <v>1</v>
      </c>
      <c r="BH17" s="16">
        <f t="shared" ca="1" si="19"/>
        <v>0</v>
      </c>
      <c r="BI17" s="16">
        <f t="shared" ca="1" si="20"/>
        <v>1</v>
      </c>
      <c r="BJ17" s="16">
        <f t="shared" ca="1" si="21"/>
        <v>1</v>
      </c>
      <c r="BK17" s="16">
        <f t="shared" ca="1" si="22"/>
        <v>1</v>
      </c>
      <c r="BL17" s="16">
        <f t="shared" ca="1" si="23"/>
        <v>0</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8</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2</v>
      </c>
      <c r="BG18" s="16">
        <f t="shared" ca="1" si="18"/>
        <v>2</v>
      </c>
      <c r="BH18" s="16">
        <f t="shared" ca="1" si="19"/>
        <v>0</v>
      </c>
      <c r="BI18" s="16">
        <f t="shared" ca="1" si="20"/>
        <v>0</v>
      </c>
      <c r="BJ18" s="16">
        <f t="shared" ca="1" si="21"/>
        <v>6</v>
      </c>
      <c r="BK18" s="16">
        <f t="shared" ca="1" si="22"/>
        <v>1</v>
      </c>
      <c r="BL18" s="16">
        <f t="shared" ca="1" si="23"/>
        <v>5</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8</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3</v>
      </c>
      <c r="BF19" s="16">
        <f t="shared" ca="1" si="17"/>
        <v>2</v>
      </c>
      <c r="BG19" s="16">
        <f t="shared" ca="1" si="18"/>
        <v>1</v>
      </c>
      <c r="BH19" s="16">
        <f t="shared" ca="1" si="19"/>
        <v>0</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3</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0</v>
      </c>
      <c r="BW19" s="16">
        <f t="shared" ca="1" si="30"/>
        <v>0</v>
      </c>
      <c r="BX19" s="16">
        <f t="shared" ca="1" si="31"/>
        <v>0</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0</v>
      </c>
      <c r="CK19" s="16">
        <f t="shared" ca="1" si="38"/>
        <v>0</v>
      </c>
      <c r="CL19" s="16">
        <f t="shared" ca="1" si="39"/>
        <v>0</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8</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6"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3</v>
      </c>
      <c r="BF20" s="16">
        <f t="shared" ca="1" si="17"/>
        <v>2</v>
      </c>
      <c r="BG20" s="16">
        <f t="shared" ca="1" si="18"/>
        <v>1</v>
      </c>
      <c r="BH20" s="16">
        <f t="shared" ca="1" si="19"/>
        <v>0</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3</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0</v>
      </c>
      <c r="BW20" s="16">
        <f t="shared" ca="1" si="30"/>
        <v>0</v>
      </c>
      <c r="BX20" s="16">
        <f t="shared" ca="1" si="31"/>
        <v>0</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0</v>
      </c>
      <c r="CK20" s="16">
        <f t="shared" ca="1" si="38"/>
        <v>0</v>
      </c>
      <c r="CL20" s="16">
        <f t="shared" ca="1" si="39"/>
        <v>0</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8</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5"/>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2</v>
      </c>
      <c r="BG21" s="16">
        <f t="shared" ca="1" si="18"/>
        <v>0</v>
      </c>
      <c r="BH21" s="16">
        <f t="shared" ca="1" si="19"/>
        <v>0</v>
      </c>
      <c r="BI21" s="16">
        <f t="shared" ca="1" si="20"/>
        <v>2</v>
      </c>
      <c r="BJ21" s="16">
        <f t="shared" ca="1" si="21"/>
        <v>0</v>
      </c>
      <c r="BK21" s="16">
        <f t="shared" ca="1" si="22"/>
        <v>3</v>
      </c>
      <c r="BL21" s="16">
        <f t="shared" ca="1" si="23"/>
        <v>-3</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8</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5"/>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4</v>
      </c>
      <c r="AN22" s="36">
        <f t="shared" ca="1" si="83"/>
        <v>2</v>
      </c>
      <c r="AO22" s="36">
        <f t="shared" ca="1" si="83"/>
        <v>1</v>
      </c>
      <c r="AP22" s="36">
        <f t="shared" ca="1" si="83"/>
        <v>1</v>
      </c>
      <c r="AQ22" s="36">
        <f t="shared" ca="1" si="83"/>
        <v>0</v>
      </c>
      <c r="AR22" s="36">
        <f t="shared" ca="1" si="83"/>
        <v>4</v>
      </c>
      <c r="AS22" s="36">
        <f t="shared" ca="1" si="83"/>
        <v>1</v>
      </c>
      <c r="AT22" s="41">
        <f t="shared" ca="1" si="83"/>
        <v>3</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3</v>
      </c>
      <c r="BF22" s="16">
        <f t="shared" ca="1" si="17"/>
        <v>1</v>
      </c>
      <c r="BG22" s="16">
        <f t="shared" ca="1" si="18"/>
        <v>1</v>
      </c>
      <c r="BH22" s="16">
        <f t="shared" ca="1" si="19"/>
        <v>0</v>
      </c>
      <c r="BI22" s="16">
        <f t="shared" ca="1" si="20"/>
        <v>0</v>
      </c>
      <c r="BJ22" s="16">
        <f t="shared" ca="1" si="21"/>
        <v>7</v>
      </c>
      <c r="BK22" s="16">
        <f t="shared" ca="1" si="22"/>
        <v>1</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3</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6</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4</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5"/>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4</v>
      </c>
      <c r="AN23" s="39">
        <f t="shared" ca="1" si="83"/>
        <v>2</v>
      </c>
      <c r="AO23" s="39">
        <f t="shared" ca="1" si="83"/>
        <v>1</v>
      </c>
      <c r="AP23" s="39">
        <f t="shared" ca="1" si="83"/>
        <v>1</v>
      </c>
      <c r="AQ23" s="39">
        <f t="shared" ca="1" si="83"/>
        <v>0</v>
      </c>
      <c r="AR23" s="39">
        <f t="shared" ca="1" si="83"/>
        <v>2</v>
      </c>
      <c r="AS23" s="39">
        <f t="shared" ca="1" si="83"/>
        <v>1</v>
      </c>
      <c r="AT23" s="43">
        <f t="shared" ca="1" si="83"/>
        <v>1</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1</v>
      </c>
      <c r="BG23" s="16">
        <f t="shared" ca="1" si="18"/>
        <v>0</v>
      </c>
      <c r="BH23" s="16">
        <f t="shared" ca="1" si="19"/>
        <v>0</v>
      </c>
      <c r="BI23" s="16">
        <f t="shared" ca="1" si="20"/>
        <v>1</v>
      </c>
      <c r="BJ23" s="16">
        <f t="shared" ca="1" si="21"/>
        <v>1</v>
      </c>
      <c r="BK23" s="16">
        <f t="shared" ca="1" si="22"/>
        <v>7</v>
      </c>
      <c r="BL23" s="16">
        <f t="shared" ca="1" si="23"/>
        <v>-6</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3</v>
      </c>
      <c r="BT23" s="16" t="str">
        <f ca="1">IF(COUNTIFS($BS$6:$BS$53,BS23,$BC$6:$BC$53,INDEX(T_Equipos[Grupo],MATCH(BD23,T_Equipos[NombreEquipo],0)))=1,"-","P."&amp;BS23&amp;" ("&amp;COUNTIFS($BS$6:$BS$53,BS23,$BC$6:$BC$53,INDEX(T_Equipos[Grupo],MATCH(BD23,T_Equipos[NombreEquipo],0)))&amp;")")</f>
        <v>P.3 (2)</v>
      </c>
      <c r="BU23" s="16">
        <f t="shared" ca="1" si="28"/>
        <v>0</v>
      </c>
      <c r="BV23" s="16">
        <f t="shared" ca="1" si="29"/>
        <v>0</v>
      </c>
      <c r="BW23" s="16">
        <f t="shared" ca="1" si="30"/>
        <v>0</v>
      </c>
      <c r="BX23" s="16">
        <f t="shared" ca="1" si="31"/>
        <v>0</v>
      </c>
      <c r="BY23" s="16">
        <f ca="1">BS23+COUNTIFS($BT$6:$BT$53,BT23,$BX$6:BX$53,"&gt;"&amp;BX23,$BC$6:$BC$53,INDEX(T_Equipos[Grupo],MATCH(BD23,T_Equipos[NombreEquipo],0)))</f>
        <v>3</v>
      </c>
      <c r="BZ23" s="16" t="str">
        <f ca="1">IF(COUNTIFS($BY$6:$BY$53,BY23,$BC$6:$BC$53,INDEX(T_Equipos[Grupo],MATCH(BD23,T_Equipos[NombreEquipo],0)))=1,"-","P."&amp;BY23&amp;" ("&amp;COUNTIFS($BY$6:$BY$53,BY23,$BC$6:$BC$53,INDEX(T_Equipos[Grupo],MATCH(BD23,T_Equipos[NombreEquipo],0)))&amp;")")</f>
        <v>P.3 (2)</v>
      </c>
      <c r="CA23" s="16">
        <f t="shared" ca="1" si="32"/>
        <v>0</v>
      </c>
      <c r="CB23" s="16">
        <f t="shared" ca="1" si="33"/>
        <v>0</v>
      </c>
      <c r="CC23" s="16">
        <f t="shared" ca="1" si="34"/>
        <v>0</v>
      </c>
      <c r="CD23" s="16">
        <f ca="1">BY23+COUNTIFS($BZ$6:$BZ$53,BZ23,$CC$6:CC$53,"&gt;"&amp;CC23,$BC$6:$BC$53,INDEX(T_Equipos[Grupo],MATCH(BD23,T_Equipos[NombreEquipo],0)))</f>
        <v>3</v>
      </c>
      <c r="CE23" s="16" t="str">
        <f ca="1">IF(COUNTIFS($CD$6:$CD$53,CD23,$BC$6:$BC$53,INDEX(T_Equipos[Grupo],MATCH(BD23,T_Equipos[NombreEquipo],0)))=1,"-","P."&amp;CD23&amp;" ("&amp;COUNTIFS($CD$6:$CD$53,CD23,$BC$6:$BC$53,INDEX(T_Equipos[Grupo],MATCH(BD23,T_Equipos[NombreEquipo],0)))&amp;")")</f>
        <v>P.3 (2)</v>
      </c>
      <c r="CF23" s="16">
        <f t="shared" ca="1" si="35"/>
        <v>0</v>
      </c>
      <c r="CG23" s="16">
        <f ca="1">CD23+COUNTIFS($CE$6:$CE$53,CE23,$CF$6:CF$53,"&gt;"&amp;CF23,$BC$6:$BC$53,INDEX(T_Equipos[Grupo],MATCH(BD23,T_Equipos[NombreEquipo],0)))</f>
        <v>3</v>
      </c>
      <c r="CH23" s="16" t="str">
        <f ca="1">IF(COUNTIFS($CG$6:$CG$53,CG23,$BC$6:$BC$53,INDEX(T_Equipos[Grupo],MATCH(BD23,T_Equipos[NombreEquipo],0)))=1,"-","P."&amp;CG23&amp;" ("&amp;COUNTIFS($CG$6:$CG$53,CG23,$BC$6:$BC$53,INDEX(T_Equipos[Grupo],MATCH(BD23,T_Equipos[NombreEquipo],0)))&amp;")")</f>
        <v>P.3 (2)</v>
      </c>
      <c r="CI23" s="16">
        <f t="shared" ca="1" si="36"/>
        <v>0</v>
      </c>
      <c r="CJ23" s="16">
        <f t="shared" ca="1" si="37"/>
        <v>0</v>
      </c>
      <c r="CK23" s="16">
        <f t="shared" ca="1" si="38"/>
        <v>0</v>
      </c>
      <c r="CL23" s="16">
        <f t="shared" ca="1" si="39"/>
        <v>0</v>
      </c>
      <c r="CM23" s="16">
        <f ca="1">CG23+COUNTIFS($CH$6:$CH$53,CH23,$CL$6:CL$53,"&gt;"&amp;CL23,$BC$6:$BC$53,INDEX(T_Equipos[Grupo],MATCH(BD23,T_Equipos[NombreEquipo],0)))</f>
        <v>3</v>
      </c>
      <c r="CN23" s="16" t="str">
        <f ca="1">IF(COUNTIFS($CM$6:$CM$53,CM23,$BC$6:$BC$53,INDEX(T_Equipos[Grupo],MATCH(BD23,T_Equipos[NombreEquipo],0)))=1,"-","P."&amp;CM23&amp;" ("&amp;COUNTIFS($CM$6:$CM$53,CM23,$BC$6:$BC$53,INDEX(T_Equipos[Grupo],MATCH(BD23,T_Equipos[NombreEquipo],0)))&amp;")")</f>
        <v>P.3 (2)</v>
      </c>
      <c r="CO23" s="16">
        <f t="shared" ca="1" si="40"/>
        <v>0</v>
      </c>
      <c r="CP23" s="16">
        <f t="shared" ca="1" si="41"/>
        <v>0</v>
      </c>
      <c r="CQ23" s="16">
        <f t="shared" ca="1" si="42"/>
        <v>0</v>
      </c>
      <c r="CR23" s="16">
        <f ca="1">CM23+COUNTIFS($CN$6:$CN$53,CN23,$CQ$6:CQ$53,"&gt;"&amp;CQ23,$BC$6:$BC$53,INDEX(T_Equipos[Grupo],MATCH(BD23,T_Equipos[NombreEquipo],0)))</f>
        <v>3</v>
      </c>
      <c r="CS23" s="16" t="str">
        <f ca="1">IF(COUNTIFS($CR$6:$CR$53,CR23,$BC$6:$BC$53,INDEX(T_Equipos[Grupo],MATCH(BD23,T_Equipos[NombreEquipo],0)))=1,"-","P."&amp;CR23&amp;" ("&amp;COUNTIFS($CR$6:$CR$53,CR23,$BC$6:$BC$53,INDEX(T_Equipos[Grupo],MATCH(BD23,T_Equipos[NombreEquipo],0)))&amp;")")</f>
        <v>P.3 (2)</v>
      </c>
      <c r="CT23" s="16">
        <f t="shared" ca="1" si="43"/>
        <v>0</v>
      </c>
      <c r="CU23" s="16">
        <f ca="1">CR23+COUNTIFS($CS$6:$CS$53,CS23,$CT$6:CT$53,"&gt;"&amp;CT23,$BC$6:$BC$53,INDEX(T_Equipos[Grupo],MATCH(BD23,T_Equipos[NombreEquipo],0)))</f>
        <v>3</v>
      </c>
      <c r="CV23" s="16" t="str">
        <f ca="1">IF(COUNTIFS($CU$6:$CU$53,CU23,$BC$6:$BC$53,INDEX(T_Equipos[Grupo],MATCH(BD23,T_Equipos[NombreEquipo],0)))=1,"-","P."&amp;CU23&amp;" ("&amp;COUNTIFS($CU$6:$CU$53,CU23,$BC$6:$BC$53,INDEX(T_Equipos[Grupo],MATCH(BD23,T_Equipos[NombreEquipo],0)))&amp;")")</f>
        <v>P.3 (2)</v>
      </c>
      <c r="CW23" s="16">
        <f t="shared" ca="1" si="44"/>
        <v>-6</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4</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5"/>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2</v>
      </c>
      <c r="AO24" s="39">
        <f t="shared" ca="1" si="83"/>
        <v>1</v>
      </c>
      <c r="AP24" s="39">
        <f t="shared" ca="1" si="83"/>
        <v>0</v>
      </c>
      <c r="AQ24" s="39">
        <f t="shared" ca="1" si="83"/>
        <v>1</v>
      </c>
      <c r="AR24" s="39">
        <f t="shared" ca="1" si="83"/>
        <v>1</v>
      </c>
      <c r="AS24" s="39">
        <f t="shared" ca="1" si="83"/>
        <v>1</v>
      </c>
      <c r="AT24" s="43">
        <f t="shared" ca="1" si="83"/>
        <v>0</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1</v>
      </c>
      <c r="BG24" s="16">
        <f t="shared" ca="1" si="18"/>
        <v>1</v>
      </c>
      <c r="BH24" s="16">
        <f t="shared" ca="1" si="19"/>
        <v>0</v>
      </c>
      <c r="BI24" s="16">
        <f t="shared" ca="1" si="20"/>
        <v>0</v>
      </c>
      <c r="BJ24" s="16">
        <f t="shared" ca="1" si="21"/>
        <v>1</v>
      </c>
      <c r="BK24" s="16">
        <f t="shared" ca="1" si="22"/>
        <v>0</v>
      </c>
      <c r="BL24" s="16">
        <f t="shared" ca="1" si="23"/>
        <v>1</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(2)</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(2)</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(2)</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(2)</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(2)</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(2)</v>
      </c>
      <c r="CW24" s="16">
        <f t="shared" ca="1" si="44"/>
        <v>1</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4</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6"/>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2</v>
      </c>
      <c r="AO25" s="47">
        <f t="shared" ca="1" si="83"/>
        <v>0</v>
      </c>
      <c r="AP25" s="47">
        <f t="shared" ca="1" si="83"/>
        <v>0</v>
      </c>
      <c r="AQ25" s="47">
        <f t="shared" ca="1" si="83"/>
        <v>2</v>
      </c>
      <c r="AR25" s="47">
        <f t="shared" ca="1" si="83"/>
        <v>0</v>
      </c>
      <c r="AS25" s="47">
        <f t="shared" ca="1" si="83"/>
        <v>4</v>
      </c>
      <c r="AT25" s="48">
        <f t="shared" ca="1" si="83"/>
        <v>-4</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1</v>
      </c>
      <c r="BG25" s="16">
        <f t="shared" ca="1" si="18"/>
        <v>0</v>
      </c>
      <c r="BH25" s="16">
        <f t="shared" ca="1" si="19"/>
        <v>0</v>
      </c>
      <c r="BI25" s="16">
        <f t="shared" ca="1" si="20"/>
        <v>1</v>
      </c>
      <c r="BJ25" s="16">
        <f t="shared" ca="1" si="21"/>
        <v>0</v>
      </c>
      <c r="BK25" s="16">
        <f t="shared" ca="1" si="22"/>
        <v>1</v>
      </c>
      <c r="BL25" s="16">
        <f t="shared" ca="1" si="23"/>
        <v>-1</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P.3 (2)</v>
      </c>
      <c r="BU25" s="16">
        <f t="shared" ca="1" si="28"/>
        <v>0</v>
      </c>
      <c r="BV25" s="16">
        <f t="shared" ca="1" si="29"/>
        <v>0</v>
      </c>
      <c r="BW25" s="16">
        <f t="shared" ca="1" si="30"/>
        <v>0</v>
      </c>
      <c r="BX25" s="16">
        <f t="shared" ca="1" si="31"/>
        <v>0</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P.3 (2)</v>
      </c>
      <c r="CA25" s="16">
        <f t="shared" ca="1" si="32"/>
        <v>0</v>
      </c>
      <c r="CB25" s="16">
        <f t="shared" ca="1" si="33"/>
        <v>0</v>
      </c>
      <c r="CC25" s="16">
        <f t="shared" ca="1" si="34"/>
        <v>0</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P.3 (2)</v>
      </c>
      <c r="CF25" s="16">
        <f t="shared" ca="1" si="35"/>
        <v>0</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P.3 (2)</v>
      </c>
      <c r="CI25" s="16">
        <f t="shared" ca="1" si="36"/>
        <v>0</v>
      </c>
      <c r="CJ25" s="16">
        <f t="shared" ca="1" si="37"/>
        <v>0</v>
      </c>
      <c r="CK25" s="16">
        <f t="shared" ca="1" si="38"/>
        <v>0</v>
      </c>
      <c r="CL25" s="16">
        <f t="shared" ca="1" si="39"/>
        <v>0</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P.3 (2)</v>
      </c>
      <c r="CO25" s="16">
        <f t="shared" ca="1" si="40"/>
        <v>0</v>
      </c>
      <c r="CP25" s="16">
        <f t="shared" ca="1" si="41"/>
        <v>0</v>
      </c>
      <c r="CQ25" s="16">
        <f t="shared" ca="1" si="42"/>
        <v>0</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P.3 (2)</v>
      </c>
      <c r="CT25" s="16">
        <f t="shared" ca="1" si="43"/>
        <v>0</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P.3 (2)</v>
      </c>
      <c r="CW25" s="16">
        <f t="shared" ca="1" si="44"/>
        <v>-1</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4</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1</v>
      </c>
      <c r="BF26" s="16">
        <f t="shared" ca="1" si="17"/>
        <v>1</v>
      </c>
      <c r="BG26" s="16">
        <f t="shared" ca="1" si="18"/>
        <v>0</v>
      </c>
      <c r="BH26" s="16">
        <f t="shared" ca="1" si="19"/>
        <v>1</v>
      </c>
      <c r="BI26" s="16">
        <f t="shared" ca="1" si="20"/>
        <v>0</v>
      </c>
      <c r="BJ26" s="16">
        <f t="shared" ca="1" si="21"/>
        <v>2</v>
      </c>
      <c r="BK26" s="16">
        <f t="shared" ca="1" si="22"/>
        <v>2</v>
      </c>
      <c r="BL26" s="16">
        <f t="shared" ca="1" si="23"/>
        <v>0</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1</v>
      </c>
      <c r="BS26" s="16">
        <f ca="1">BP26+COUNTIFS($BQ$6:$BQ$53,BQ26,$BR$6:BR$53,"&gt;"&amp;BR26,$BC$6:$BC$53,INDEX(T_Equipos[Grupo],MATCH(BD26,T_Equipos[NombreEquipo],0)))</f>
        <v>2</v>
      </c>
      <c r="BT26" s="16" t="str">
        <f ca="1">IF(COUNTIFS($BS$6:$BS$53,BS26,$BC$6:$BC$53,INDEX(T_Equipos[Grupo],MATCH(BD26,T_Equipos[NombreEquipo],0)))=1,"-","P."&amp;BS26&amp;" ("&amp;COUNTIFS($BS$6:$BS$53,BS26,$BC$6:$BC$53,INDEX(T_Equipos[Grupo],MATCH(BD26,T_Equipos[NombreEquipo],0)))&amp;")")</f>
        <v>P.2 (2)</v>
      </c>
      <c r="BU26" s="16">
        <f t="shared" ca="1" si="28"/>
        <v>0</v>
      </c>
      <c r="BV26" s="16">
        <f t="shared" ca="1" si="29"/>
        <v>1</v>
      </c>
      <c r="BW26" s="16">
        <f t="shared" ca="1" si="30"/>
        <v>0</v>
      </c>
      <c r="BX26" s="16">
        <f t="shared" ca="1" si="31"/>
        <v>1</v>
      </c>
      <c r="BY26" s="16">
        <f ca="1">BS26+COUNTIFS($BT$6:$BT$53,BT26,$BX$6:BX$53,"&gt;"&amp;BX26,$BC$6:$BC$53,INDEX(T_Equipos[Grupo],MATCH(BD26,T_Equipos[NombreEquipo],0)))</f>
        <v>2</v>
      </c>
      <c r="BZ26" s="16" t="str">
        <f ca="1">IF(COUNTIFS($BY$6:$BY$53,BY26,$BC$6:$BC$53,INDEX(T_Equipos[Grupo],MATCH(BD26,T_Equipos[NombreEquipo],0)))=1,"-","P."&amp;BY26&amp;" ("&amp;COUNTIFS($BY$6:$BY$53,BY26,$BC$6:$BC$53,INDEX(T_Equipos[Grupo],MATCH(BD26,T_Equipos[NombreEquipo],0)))&amp;")")</f>
        <v>P.2 (2)</v>
      </c>
      <c r="CA26" s="16">
        <f t="shared" ca="1" si="32"/>
        <v>2</v>
      </c>
      <c r="CB26" s="16">
        <f t="shared" ca="1" si="33"/>
        <v>2</v>
      </c>
      <c r="CC26" s="16">
        <f t="shared" ca="1" si="34"/>
        <v>0</v>
      </c>
      <c r="CD26" s="16">
        <f ca="1">BY26+COUNTIFS($BZ$6:$BZ$53,BZ26,$CC$6:CC$53,"&gt;"&amp;CC26,$BC$6:$BC$53,INDEX(T_Equipos[Grupo],MATCH(BD26,T_Equipos[NombreEquipo],0)))</f>
        <v>2</v>
      </c>
      <c r="CE26" s="16" t="str">
        <f ca="1">IF(COUNTIFS($CD$6:$CD$53,CD26,$BC$6:$BC$53,INDEX(T_Equipos[Grupo],MATCH(BD26,T_Equipos[NombreEquipo],0)))=1,"-","P."&amp;CD26&amp;" ("&amp;COUNTIFS($CD$6:$CD$53,CD26,$BC$6:$BC$53,INDEX(T_Equipos[Grupo],MATCH(BD26,T_Equipos[NombreEquipo],0)))&amp;")")</f>
        <v>P.2 (2)</v>
      </c>
      <c r="CF26" s="16">
        <f t="shared" ca="1" si="35"/>
        <v>2</v>
      </c>
      <c r="CG26" s="16">
        <f ca="1">CD26+COUNTIFS($CE$6:$CE$53,CE26,$CF$6:CF$53,"&gt;"&amp;CF26,$BC$6:$BC$53,INDEX(T_Equipos[Grupo],MATCH(BD26,T_Equipos[NombreEquipo],0)))</f>
        <v>2</v>
      </c>
      <c r="CH26" s="16" t="str">
        <f ca="1">IF(COUNTIFS($CG$6:$CG$53,CG26,$BC$6:$BC$53,INDEX(T_Equipos[Grupo],MATCH(BD26,T_Equipos[NombreEquipo],0)))=1,"-","P."&amp;CG26&amp;" ("&amp;COUNTIFS($CG$6:$CG$53,CG26,$BC$6:$BC$53,INDEX(T_Equipos[Grupo],MATCH(BD26,T_Equipos[NombreEquipo],0)))&amp;")")</f>
        <v>P.2 (2)</v>
      </c>
      <c r="CI26" s="16">
        <f t="shared" ca="1" si="36"/>
        <v>0</v>
      </c>
      <c r="CJ26" s="16">
        <f t="shared" ca="1" si="37"/>
        <v>1</v>
      </c>
      <c r="CK26" s="16">
        <f t="shared" ca="1" si="38"/>
        <v>0</v>
      </c>
      <c r="CL26" s="16">
        <f t="shared" ca="1" si="39"/>
        <v>1</v>
      </c>
      <c r="CM26" s="16">
        <f ca="1">CG26+COUNTIFS($CH$6:$CH$53,CH26,$CL$6:CL$53,"&gt;"&amp;CL26,$BC$6:$BC$53,INDEX(T_Equipos[Grupo],MATCH(BD26,T_Equipos[NombreEquipo],0)))</f>
        <v>2</v>
      </c>
      <c r="CN26" s="16" t="str">
        <f ca="1">IF(COUNTIFS($CM$6:$CM$53,CM26,$BC$6:$BC$53,INDEX(T_Equipos[Grupo],MATCH(BD26,T_Equipos[NombreEquipo],0)))=1,"-","P."&amp;CM26&amp;" ("&amp;COUNTIFS($CM$6:$CM$53,CM26,$BC$6:$BC$53,INDEX(T_Equipos[Grupo],MATCH(BD26,T_Equipos[NombreEquipo],0)))&amp;")")</f>
        <v>P.2 (2)</v>
      </c>
      <c r="CO26" s="16">
        <f t="shared" ca="1" si="40"/>
        <v>2</v>
      </c>
      <c r="CP26" s="16">
        <f t="shared" ca="1" si="41"/>
        <v>2</v>
      </c>
      <c r="CQ26" s="16">
        <f t="shared" ca="1" si="42"/>
        <v>0</v>
      </c>
      <c r="CR26" s="16">
        <f ca="1">CM26+COUNTIFS($CN$6:$CN$53,CN26,$CQ$6:CQ$53,"&gt;"&amp;CQ26,$BC$6:$BC$53,INDEX(T_Equipos[Grupo],MATCH(BD26,T_Equipos[NombreEquipo],0)))</f>
        <v>2</v>
      </c>
      <c r="CS26" s="16" t="str">
        <f ca="1">IF(COUNTIFS($CR$6:$CR$53,CR26,$BC$6:$BC$53,INDEX(T_Equipos[Grupo],MATCH(BD26,T_Equipos[NombreEquipo],0)))=1,"-","P."&amp;CR26&amp;" ("&amp;COUNTIFS($CR$6:$CR$53,CR26,$BC$6:$BC$53,INDEX(T_Equipos[Grupo],MATCH(BD26,T_Equipos[NombreEquipo],0)))&amp;")")</f>
        <v>P.2 (2)</v>
      </c>
      <c r="CT26" s="16">
        <f t="shared" ca="1" si="43"/>
        <v>2</v>
      </c>
      <c r="CU26" s="16">
        <f ca="1">CR26+COUNTIFS($CS$6:$CS$53,CS26,$CT$6:CT$53,"&gt;"&amp;CT26,$BC$6:$BC$53,INDEX(T_Equipos[Grupo],MATCH(BD26,T_Equipos[NombreEquipo],0)))</f>
        <v>2</v>
      </c>
      <c r="CV26" s="16" t="str">
        <f ca="1">IF(COUNTIFS($CU$6:$CU$53,CU26,$BC$6:$BC$53,INDEX(T_Equipos[Grupo],MATCH(BD26,T_Equipos[NombreEquipo],0)))=1,"-","P."&amp;CU26&amp;" ("&amp;COUNTIFS($CU$6:$CU$53,CU26,$BC$6:$BC$53,INDEX(T_Equipos[Grupo],MATCH(BD26,T_Equipos[NombreEquipo],0)))&amp;")")</f>
        <v>P.2 (2)</v>
      </c>
      <c r="CW26" s="16">
        <f t="shared" ca="1" si="44"/>
        <v>0</v>
      </c>
      <c r="CX26" s="16">
        <f ca="1">CU26+COUNTIFS($CV$6:$CV$53,CV26,$CW$6:CW$53,"&gt;"&amp;CW26,$BC$6:$BC$53,INDEX(T_Equipos[Grupo],MATCH(BD26,T_Equipos[NombreEquipo],0)))</f>
        <v>2</v>
      </c>
      <c r="CY26" s="16" t="str">
        <f ca="1">IF(COUNTIFS($CX$6:$CX$53,CX26,$BC$6:$BC$53,INDEX(T_Equipos[Grupo],MATCH(BD26,T_Equipos[NombreEquipo],0)))=1,"-","P."&amp;CX26&amp;" ("&amp;COUNTIFS($CX$6:$CX$53,CX26,$BC$6:$BC$53,INDEX(T_Equipos[Grupo],MATCH(BD26,T_Equipos[NombreEquipo],0)))&amp;")")</f>
        <v>P.2 (2)</v>
      </c>
      <c r="CZ26" s="16">
        <f t="shared" ca="1" si="45"/>
        <v>2</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P.2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2</v>
      </c>
      <c r="DE26" s="16"/>
      <c r="DF26" s="16">
        <f t="shared" ca="1" si="46"/>
        <v>2</v>
      </c>
      <c r="DG26" s="16">
        <f ca="1">IF(DB26="-","-",COUNTIFS(DF$6:DF$53,"&lt;"&amp;DF26,$BC$6:$BC$53,INDEX(T_Equipos[Grupo],MATCH(BD26,T_Equipos[NombreEquipo],0))))</f>
        <v>1</v>
      </c>
      <c r="DH26" s="16">
        <f ca="1">DA26+COUNTIFS(DB$6:DB$53,DB26,DG$6:DG$53,"&lt;"&amp;DG26,$BC$6:$BC$53,INDEX(T_Equipos[Grupo],MATCH(BD26,T_Equipos[NombreEquipo],0)))</f>
        <v>2</v>
      </c>
      <c r="DI26" s="16"/>
      <c r="DJ26" s="16">
        <f t="shared" ca="1" si="47"/>
        <v>1</v>
      </c>
      <c r="DK26" s="16">
        <f t="shared" ca="1" si="48"/>
        <v>4</v>
      </c>
      <c r="DL26" s="16">
        <f t="shared" ca="1" si="49"/>
        <v>1</v>
      </c>
      <c r="DM26" s="16" t="str">
        <f t="shared" ca="1" si="50"/>
        <v>1.1</v>
      </c>
      <c r="DN26" s="16">
        <f t="array" aca="1" ref="DN26" ca="1">OFFSET(Horarios!$P$3,DJ26-1,0,DL26,1)</f>
        <v>1</v>
      </c>
      <c r="DO26" s="16"/>
      <c r="DP26" s="16" t="s">
        <v>92</v>
      </c>
      <c r="DQ26" s="16" t="str">
        <f t="shared" ca="1" si="51"/>
        <v>Suecia</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1</v>
      </c>
      <c r="BF27" s="16">
        <f t="shared" ca="1" si="17"/>
        <v>1</v>
      </c>
      <c r="BG27" s="16">
        <f t="shared" ca="1" si="18"/>
        <v>0</v>
      </c>
      <c r="BH27" s="16">
        <f t="shared" ca="1" si="19"/>
        <v>1</v>
      </c>
      <c r="BI27" s="16">
        <f t="shared" ca="1" si="20"/>
        <v>0</v>
      </c>
      <c r="BJ27" s="16">
        <f t="shared" ca="1" si="21"/>
        <v>2</v>
      </c>
      <c r="BK27" s="16">
        <f t="shared" ca="1" si="22"/>
        <v>2</v>
      </c>
      <c r="BL27" s="16">
        <f t="shared" ca="1" si="23"/>
        <v>0</v>
      </c>
      <c r="BM27" s="16" t="str">
        <f t="shared" ca="1" si="24"/>
        <v>3F</v>
      </c>
      <c r="BN27" s="16" t="str">
        <f t="shared" ca="1" si="25"/>
        <v>3F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1</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P.2 (2)</v>
      </c>
      <c r="BU27" s="16">
        <f t="shared" ca="1" si="28"/>
        <v>0</v>
      </c>
      <c r="BV27" s="16">
        <f t="shared" ca="1" si="29"/>
        <v>1</v>
      </c>
      <c r="BW27" s="16">
        <f t="shared" ca="1" si="30"/>
        <v>0</v>
      </c>
      <c r="BX27" s="16">
        <f t="shared" ca="1" si="31"/>
        <v>1</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P.2 (2)</v>
      </c>
      <c r="CA27" s="16">
        <f t="shared" ca="1" si="32"/>
        <v>2</v>
      </c>
      <c r="CB27" s="16">
        <f t="shared" ca="1" si="33"/>
        <v>2</v>
      </c>
      <c r="CC27" s="16">
        <f t="shared" ca="1" si="34"/>
        <v>0</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P.2 (2)</v>
      </c>
      <c r="CF27" s="16">
        <f t="shared" ca="1" si="35"/>
        <v>2</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P.2 (2)</v>
      </c>
      <c r="CI27" s="16">
        <f t="shared" ca="1" si="36"/>
        <v>0</v>
      </c>
      <c r="CJ27" s="16">
        <f t="shared" ca="1" si="37"/>
        <v>1</v>
      </c>
      <c r="CK27" s="16">
        <f t="shared" ca="1" si="38"/>
        <v>0</v>
      </c>
      <c r="CL27" s="16">
        <f t="shared" ca="1" si="39"/>
        <v>1</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P.2 (2)</v>
      </c>
      <c r="CO27" s="16">
        <f t="shared" ca="1" si="40"/>
        <v>2</v>
      </c>
      <c r="CP27" s="16">
        <f t="shared" ca="1" si="41"/>
        <v>2</v>
      </c>
      <c r="CQ27" s="16">
        <f t="shared" ca="1" si="42"/>
        <v>0</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P.2 (2)</v>
      </c>
      <c r="CT27" s="16">
        <f t="shared" ca="1" si="43"/>
        <v>2</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P.2 (2)</v>
      </c>
      <c r="CW27" s="16">
        <f t="shared" ca="1" si="44"/>
        <v>0</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P.2 (2)</v>
      </c>
      <c r="CZ27" s="16">
        <f t="shared" ca="1" si="45"/>
        <v>2</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P.2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3</v>
      </c>
      <c r="DE27" s="16"/>
      <c r="DF27" s="16">
        <f t="shared" ca="1" si="46"/>
        <v>3</v>
      </c>
      <c r="DG27" s="16">
        <f ca="1">IF(DB27="-","-",COUNTIFS(DF$6:DF$53,"&lt;"&amp;DF27,$BC$6:$BC$53,INDEX(T_Equipos[Grupo],MATCH(BD27,T_Equipos[NombreEquipo],0))))</f>
        <v>2</v>
      </c>
      <c r="DH27" s="16">
        <f ca="1">DA27+COUNTIFS(DB$6:DB$53,DB27,DG$6:DG$53,"&lt;"&amp;DG27,$BC$6:$BC$53,INDEX(T_Equipos[Grupo],MATCH(BD27,T_Equipos[NombreEquipo],0)))</f>
        <v>3</v>
      </c>
      <c r="DI27" s="16"/>
      <c r="DJ27" s="16">
        <f t="shared" ca="1" si="47"/>
        <v>2</v>
      </c>
      <c r="DK27" s="16">
        <f t="shared" ca="1" si="48"/>
        <v>4</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27"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1</v>
      </c>
      <c r="BG28" s="16">
        <f t="shared" ca="1" si="18"/>
        <v>1</v>
      </c>
      <c r="BH28" s="16">
        <f t="shared" ca="1" si="19"/>
        <v>0</v>
      </c>
      <c r="BI28" s="16">
        <f t="shared" ca="1" si="20"/>
        <v>0</v>
      </c>
      <c r="BJ28" s="16">
        <f t="shared" ca="1" si="21"/>
        <v>5</v>
      </c>
      <c r="BK28" s="16">
        <f t="shared" ca="1" si="22"/>
        <v>1</v>
      </c>
      <c r="BL28" s="16">
        <f t="shared" ca="1" si="23"/>
        <v>4</v>
      </c>
      <c r="BM28" s="16" t="str">
        <f t="shared" ca="1" si="24"/>
        <v>1F</v>
      </c>
      <c r="BN28" s="16" t="str">
        <f t="shared" ca="1" si="25"/>
        <v>1F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1</v>
      </c>
      <c r="DE28" s="16"/>
      <c r="DF28" s="16">
        <f t="shared" ca="1" si="46"/>
        <v>1</v>
      </c>
      <c r="DG28" s="16" t="str">
        <f ca="1">IF(DB28="-","-",COUNTIFS(DF$6:DF$53,"&lt;"&amp;DF28,$BC$6:$BC$53,INDEX(T_Equipos[Grupo],MATCH(BD28,T_Equipos[NombreEquipo],0))))</f>
        <v>-</v>
      </c>
      <c r="DH28" s="16">
        <f ca="1">DA28+COUNTIFS(DB$6:DB$53,DB28,DG$6:DG$53,"&lt;"&amp;DG28,$BC$6:$BC$53,INDEX(T_Equipos[Grupo],MATCH(BD28,T_Equipos[NombreEquipo],0)))</f>
        <v>1</v>
      </c>
      <c r="DI28" s="16"/>
      <c r="DJ28" s="16">
        <f t="shared" ca="1" si="47"/>
        <v>2</v>
      </c>
      <c r="DK28" s="16">
        <f t="shared" ca="1" si="48"/>
        <v>4</v>
      </c>
      <c r="DL28" s="16">
        <f t="shared" ca="1" si="49"/>
        <v>1</v>
      </c>
      <c r="DM28" s="16" t="str">
        <f t="shared" ca="1" si="50"/>
        <v>2.1</v>
      </c>
      <c r="DN28" s="16">
        <f t="array" aca="1" ref="DN28" ca="1">OFFSET(Horarios!$P$3,DJ28-1,0,DL28,1)</f>
        <v>2</v>
      </c>
      <c r="DO28" s="16"/>
      <c r="DP28" s="16" t="s">
        <v>95</v>
      </c>
      <c r="DQ28" s="16" t="str">
        <f t="shared" ca="1" si="51"/>
        <v>Japón</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5"/>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1</v>
      </c>
      <c r="BG29" s="16">
        <f t="shared" ca="1" si="18"/>
        <v>0</v>
      </c>
      <c r="BH29" s="16">
        <f t="shared" ca="1" si="19"/>
        <v>0</v>
      </c>
      <c r="BI29" s="16">
        <f t="shared" ca="1" si="20"/>
        <v>1</v>
      </c>
      <c r="BJ29" s="16">
        <f t="shared" ca="1" si="21"/>
        <v>1</v>
      </c>
      <c r="BK29" s="16">
        <f t="shared" ca="1" si="22"/>
        <v>5</v>
      </c>
      <c r="BL29" s="16">
        <f t="shared" ca="1" si="23"/>
        <v>-4</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4</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5"/>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2</v>
      </c>
      <c r="AO30" s="36">
        <f t="shared" ca="1" si="99"/>
        <v>2</v>
      </c>
      <c r="AP30" s="36">
        <f t="shared" ca="1" si="99"/>
        <v>0</v>
      </c>
      <c r="AQ30" s="36">
        <f t="shared" ca="1" si="99"/>
        <v>0</v>
      </c>
      <c r="AR30" s="36">
        <f t="shared" ca="1" si="99"/>
        <v>6</v>
      </c>
      <c r="AS30" s="36">
        <f t="shared" ca="1" si="99"/>
        <v>1</v>
      </c>
      <c r="AT30" s="41">
        <f t="shared" ca="1" si="99"/>
        <v>5</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1</v>
      </c>
      <c r="BF30" s="16">
        <f t="shared" ca="1" si="17"/>
        <v>1</v>
      </c>
      <c r="BG30" s="16">
        <f t="shared" ca="1" si="18"/>
        <v>0</v>
      </c>
      <c r="BH30" s="16">
        <f t="shared" ca="1" si="19"/>
        <v>1</v>
      </c>
      <c r="BI30" s="16">
        <f t="shared" ca="1" si="20"/>
        <v>0</v>
      </c>
      <c r="BJ30" s="16">
        <f t="shared" ca="1" si="21"/>
        <v>1</v>
      </c>
      <c r="BK30" s="16">
        <f t="shared" ca="1" si="22"/>
        <v>1</v>
      </c>
      <c r="BL30" s="16">
        <f t="shared" ca="1" si="23"/>
        <v>0</v>
      </c>
      <c r="BM30" s="16" t="str">
        <f t="shared" ca="1" si="24"/>
        <v>3G</v>
      </c>
      <c r="BN30" s="16" t="str">
        <f t="shared" ca="1" si="25"/>
        <v>3G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1</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1</v>
      </c>
      <c r="CG30" s="16">
        <f ca="1">CD30+COUNTIFS($CE$6:$CE$53,CE30,$CF$6:CF$53,"&gt;"&amp;CF30,$BC$6:$BC$53,INDEX(T_Equipos[Grupo],MATCH(BD30,T_Equipos[NombreEquipo],0)))</f>
        <v>3</v>
      </c>
      <c r="CH30" s="16" t="str">
        <f ca="1">IF(COUNTIFS($CG$6:$CG$53,CG30,$BC$6:$BC$53,INDEX(T_Equipos[Grupo],MATCH(BD30,T_Equipos[NombreEquipo],0)))=1,"-","P."&amp;CG30&amp;" ("&amp;COUNTIFS($CG$6:$CG$53,CG30,$BC$6:$BC$53,INDEX(T_Equipos[Grupo],MATCH(BD30,T_Equipos[NombreEquipo],0)))&amp;")")</f>
        <v>P.3 (2)</v>
      </c>
      <c r="CI30" s="16">
        <f t="shared" ca="1" si="36"/>
        <v>0</v>
      </c>
      <c r="CJ30" s="16">
        <f t="shared" ca="1" si="37"/>
        <v>1</v>
      </c>
      <c r="CK30" s="16">
        <f t="shared" ca="1" si="38"/>
        <v>0</v>
      </c>
      <c r="CL30" s="16">
        <f t="shared" ca="1" si="39"/>
        <v>1</v>
      </c>
      <c r="CM30" s="16">
        <f ca="1">CG30+COUNTIFS($CH$6:$CH$53,CH30,$CL$6:CL$53,"&gt;"&amp;CL30,$BC$6:$BC$53,INDEX(T_Equipos[Grupo],MATCH(BD30,T_Equipos[NombreEquipo],0)))</f>
        <v>3</v>
      </c>
      <c r="CN30" s="16" t="str">
        <f ca="1">IF(COUNTIFS($CM$6:$CM$53,CM30,$BC$6:$BC$53,INDEX(T_Equipos[Grupo],MATCH(BD30,T_Equipos[NombreEquipo],0)))=1,"-","P."&amp;CM30&amp;" ("&amp;COUNTIFS($CM$6:$CM$53,CM30,$BC$6:$BC$53,INDEX(T_Equipos[Grupo],MATCH(BD30,T_Equipos[NombreEquipo],0)))&amp;")")</f>
        <v>P.3 (2)</v>
      </c>
      <c r="CO30" s="16">
        <f t="shared" ca="1" si="40"/>
        <v>1</v>
      </c>
      <c r="CP30" s="16">
        <f t="shared" ca="1" si="41"/>
        <v>1</v>
      </c>
      <c r="CQ30" s="16">
        <f t="shared" ca="1" si="42"/>
        <v>0</v>
      </c>
      <c r="CR30" s="16">
        <f ca="1">CM30+COUNTIFS($CN$6:$CN$53,CN30,$CQ$6:CQ$53,"&gt;"&amp;CQ30,$BC$6:$BC$53,INDEX(T_Equipos[Grupo],MATCH(BD30,T_Equipos[NombreEquipo],0)))</f>
        <v>3</v>
      </c>
      <c r="CS30" s="16" t="str">
        <f ca="1">IF(COUNTIFS($CR$6:$CR$53,CR30,$BC$6:$BC$53,INDEX(T_Equipos[Grupo],MATCH(BD30,T_Equipos[NombreEquipo],0)))=1,"-","P."&amp;CR30&amp;" ("&amp;COUNTIFS($CR$6:$CR$53,CR30,$BC$6:$BC$53,INDEX(T_Equipos[Grupo],MATCH(BD30,T_Equipos[NombreEquipo],0)))&amp;")")</f>
        <v>P.3 (2)</v>
      </c>
      <c r="CT30" s="16">
        <f t="shared" ca="1" si="43"/>
        <v>1</v>
      </c>
      <c r="CU30" s="16">
        <f ca="1">CR30+COUNTIFS($CS$6:$CS$53,CS30,$CT$6:CT$53,"&gt;"&amp;CT30,$BC$6:$BC$53,INDEX(T_Equipos[Grupo],MATCH(BD30,T_Equipos[NombreEquipo],0)))</f>
        <v>3</v>
      </c>
      <c r="CV30" s="16" t="str">
        <f ca="1">IF(COUNTIFS($CU$6:$CU$53,CU30,$BC$6:$BC$53,INDEX(T_Equipos[Grupo],MATCH(BD30,T_Equipos[NombreEquipo],0)))=1,"-","P."&amp;CU30&amp;" ("&amp;COUNTIFS($CU$6:$CU$53,CU30,$BC$6:$BC$53,INDEX(T_Equipos[Grupo],MATCH(BD30,T_Equipos[NombreEquipo],0)))&amp;")")</f>
        <v>P.3 (2)</v>
      </c>
      <c r="CW30" s="16">
        <f t="shared" ca="1" si="44"/>
        <v>0</v>
      </c>
      <c r="CX30" s="16">
        <f ca="1">CU30+COUNTIFS($CV$6:$CV$53,CV30,$CW$6:CW$53,"&gt;"&amp;CW30,$BC$6:$BC$53,INDEX(T_Equipos[Grupo],MATCH(BD30,T_Equipos[NombreEquipo],0)))</f>
        <v>3</v>
      </c>
      <c r="CY30" s="16" t="str">
        <f ca="1">IF(COUNTIFS($CX$6:$CX$53,CX30,$BC$6:$BC$53,INDEX(T_Equipos[Grupo],MATCH(BD30,T_Equipos[NombreEquipo],0)))=1,"-","P."&amp;CX30&amp;" ("&amp;COUNTIFS($CX$6:$CX$53,CX30,$BC$6:$BC$53,INDEX(T_Equipos[Grupo],MATCH(BD30,T_Equipos[NombreEquipo],0)))&amp;")")</f>
        <v>P.3 (2)</v>
      </c>
      <c r="CZ30" s="16">
        <f t="shared" ca="1" si="45"/>
        <v>1</v>
      </c>
      <c r="DA30" s="16">
        <f ca="1">CX30+COUNTIFS($CY$6:$CY$53,CY30,$CZ$6:CZ$53,"&gt;"&amp;CZ30,$BC$6:$BC$53,INDEX(T_Equipos[Grupo],MATCH(BD30,T_Equipos[NombreEquipo],0)))</f>
        <v>3</v>
      </c>
      <c r="DB30" s="16" t="str">
        <f ca="1">IF(COUNTIFS($DA$6:$DA$53,DA30,$BC$6:$BC$53,INDEX(T_Equipos[Grupo],MATCH(BD30,T_Equipos[NombreEquipo],0)))=1,"-","P."&amp;DA30&amp;" ("&amp;COUNTIFS($DA$6:$DA$53,DA30,$BC$6:$BC$53,INDEX(T_Equipos[Grupo],MATCH(BD30,T_Equipos[NombreEquipo],0)))&amp;")")</f>
        <v>P.3 (2)</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3</v>
      </c>
      <c r="DE30" s="16"/>
      <c r="DF30" s="16">
        <f t="shared" ca="1" si="46"/>
        <v>3</v>
      </c>
      <c r="DG30" s="16">
        <f ca="1">IF(DB30="-","-",COUNTIFS(DF$6:DF$53,"&lt;"&amp;DF30,$BC$6:$BC$53,INDEX(T_Equipos[Grupo],MATCH(BD30,T_Equipos[NombreEquipo],0))))</f>
        <v>2</v>
      </c>
      <c r="DH30" s="16">
        <f ca="1">DA30+COUNTIFS(DB$6:DB$53,DB30,DG$6:DG$53,"&lt;"&amp;DG30,$BC$6:$BC$53,INDEX(T_Equipos[Grupo],MATCH(BD30,T_Equipos[NombreEquipo],0)))</f>
        <v>3</v>
      </c>
      <c r="DI30" s="16"/>
      <c r="DJ30" s="16">
        <f t="shared" ca="1" si="47"/>
        <v>1</v>
      </c>
      <c r="DK30" s="16">
        <f t="shared" ca="1" si="48"/>
        <v>4</v>
      </c>
      <c r="DL30" s="16">
        <f t="shared" ca="1" si="49"/>
        <v>1</v>
      </c>
      <c r="DM30" s="16" t="str">
        <f t="shared" ca="1" si="50"/>
        <v>1.1</v>
      </c>
      <c r="DN30" s="16">
        <f t="array" aca="1" ref="DN30" ca="1">OFFSET(Horarios!$P$3,DJ30-1,0,DL30,1)</f>
        <v>1</v>
      </c>
      <c r="DO30" s="16"/>
      <c r="DP30" s="16" t="s">
        <v>97</v>
      </c>
      <c r="DQ30" s="16" t="str">
        <f t="shared" ca="1" si="51"/>
        <v>Irán</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5"/>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3</v>
      </c>
      <c r="AN31" s="39">
        <f t="shared" ca="1" si="99"/>
        <v>2</v>
      </c>
      <c r="AO31" s="39">
        <f t="shared" ca="1" si="99"/>
        <v>1</v>
      </c>
      <c r="AP31" s="39">
        <f t="shared" ca="1" si="99"/>
        <v>0</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1</v>
      </c>
      <c r="BF31" s="16">
        <f t="shared" ca="1" si="17"/>
        <v>1</v>
      </c>
      <c r="BG31" s="16">
        <f t="shared" ca="1" si="18"/>
        <v>0</v>
      </c>
      <c r="BH31" s="16">
        <f t="shared" ca="1" si="19"/>
        <v>1</v>
      </c>
      <c r="BI31" s="16">
        <f t="shared" ca="1" si="20"/>
        <v>0</v>
      </c>
      <c r="BJ31" s="16">
        <f t="shared" ca="1" si="21"/>
        <v>1</v>
      </c>
      <c r="BK31" s="16">
        <f t="shared" ca="1" si="22"/>
        <v>1</v>
      </c>
      <c r="BL31" s="16">
        <f t="shared" ca="1" si="23"/>
        <v>0</v>
      </c>
      <c r="BM31" s="16" t="str">
        <f t="shared" ca="1" si="24"/>
        <v>4G</v>
      </c>
      <c r="BN31" s="16" t="str">
        <f t="shared" ca="1" si="25"/>
        <v>4G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1</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1</v>
      </c>
      <c r="CG31" s="16">
        <f ca="1">CD31+COUNTIFS($CE$6:$CE$53,CE31,$CF$6:CF$53,"&gt;"&amp;CF31,$BC$6:$BC$53,INDEX(T_Equipos[Grupo],MATCH(BD31,T_Equipos[NombreEquipo],0)))</f>
        <v>3</v>
      </c>
      <c r="CH31" s="16" t="str">
        <f ca="1">IF(COUNTIFS($CG$6:$CG$53,CG31,$BC$6:$BC$53,INDEX(T_Equipos[Grupo],MATCH(BD31,T_Equipos[NombreEquipo],0)))=1,"-","P."&amp;CG31&amp;" ("&amp;COUNTIFS($CG$6:$CG$53,CG31,$BC$6:$BC$53,INDEX(T_Equipos[Grupo],MATCH(BD31,T_Equipos[NombreEquipo],0)))&amp;")")</f>
        <v>P.3 (2)</v>
      </c>
      <c r="CI31" s="16">
        <f t="shared" ca="1" si="36"/>
        <v>0</v>
      </c>
      <c r="CJ31" s="16">
        <f t="shared" ca="1" si="37"/>
        <v>1</v>
      </c>
      <c r="CK31" s="16">
        <f t="shared" ca="1" si="38"/>
        <v>0</v>
      </c>
      <c r="CL31" s="16">
        <f t="shared" ca="1" si="39"/>
        <v>1</v>
      </c>
      <c r="CM31" s="16">
        <f ca="1">CG31+COUNTIFS($CH$6:$CH$53,CH31,$CL$6:CL$53,"&gt;"&amp;CL31,$BC$6:$BC$53,INDEX(T_Equipos[Grupo],MATCH(BD31,T_Equipos[NombreEquipo],0)))</f>
        <v>3</v>
      </c>
      <c r="CN31" s="16" t="str">
        <f ca="1">IF(COUNTIFS($CM$6:$CM$53,CM31,$BC$6:$BC$53,INDEX(T_Equipos[Grupo],MATCH(BD31,T_Equipos[NombreEquipo],0)))=1,"-","P."&amp;CM31&amp;" ("&amp;COUNTIFS($CM$6:$CM$53,CM31,$BC$6:$BC$53,INDEX(T_Equipos[Grupo],MATCH(BD31,T_Equipos[NombreEquipo],0)))&amp;")")</f>
        <v>P.3 (2)</v>
      </c>
      <c r="CO31" s="16">
        <f t="shared" ca="1" si="40"/>
        <v>1</v>
      </c>
      <c r="CP31" s="16">
        <f t="shared" ca="1" si="41"/>
        <v>1</v>
      </c>
      <c r="CQ31" s="16">
        <f t="shared" ca="1" si="42"/>
        <v>0</v>
      </c>
      <c r="CR31" s="16">
        <f ca="1">CM31+COUNTIFS($CN$6:$CN$53,CN31,$CQ$6:CQ$53,"&gt;"&amp;CQ31,$BC$6:$BC$53,INDEX(T_Equipos[Grupo],MATCH(BD31,T_Equipos[NombreEquipo],0)))</f>
        <v>3</v>
      </c>
      <c r="CS31" s="16" t="str">
        <f ca="1">IF(COUNTIFS($CR$6:$CR$53,CR31,$BC$6:$BC$53,INDEX(T_Equipos[Grupo],MATCH(BD31,T_Equipos[NombreEquipo],0)))=1,"-","P."&amp;CR31&amp;" ("&amp;COUNTIFS($CR$6:$CR$53,CR31,$BC$6:$BC$53,INDEX(T_Equipos[Grupo],MATCH(BD31,T_Equipos[NombreEquipo],0)))&amp;")")</f>
        <v>P.3 (2)</v>
      </c>
      <c r="CT31" s="16">
        <f t="shared" ca="1" si="43"/>
        <v>1</v>
      </c>
      <c r="CU31" s="16">
        <f ca="1">CR31+COUNTIFS($CS$6:$CS$53,CS31,$CT$6:CT$53,"&gt;"&amp;CT31,$BC$6:$BC$53,INDEX(T_Equipos[Grupo],MATCH(BD31,T_Equipos[NombreEquipo],0)))</f>
        <v>3</v>
      </c>
      <c r="CV31" s="16" t="str">
        <f ca="1">IF(COUNTIFS($CU$6:$CU$53,CU31,$BC$6:$BC$53,INDEX(T_Equipos[Grupo],MATCH(BD31,T_Equipos[NombreEquipo],0)))=1,"-","P."&amp;CU31&amp;" ("&amp;COUNTIFS($CU$6:$CU$53,CU31,$BC$6:$BC$53,INDEX(T_Equipos[Grupo],MATCH(BD31,T_Equipos[NombreEquipo],0)))&amp;")")</f>
        <v>P.3 (2)</v>
      </c>
      <c r="CW31" s="16">
        <f t="shared" ca="1" si="44"/>
        <v>0</v>
      </c>
      <c r="CX31" s="16">
        <f ca="1">CU31+COUNTIFS($CV$6:$CV$53,CV31,$CW$6:CW$53,"&gt;"&amp;CW31,$BC$6:$BC$53,INDEX(T_Equipos[Grupo],MATCH(BD31,T_Equipos[NombreEquipo],0)))</f>
        <v>3</v>
      </c>
      <c r="CY31" s="16" t="str">
        <f ca="1">IF(COUNTIFS($CX$6:$CX$53,CX31,$BC$6:$BC$53,INDEX(T_Equipos[Grupo],MATCH(BD31,T_Equipos[NombreEquipo],0)))=1,"-","P."&amp;CX31&amp;" ("&amp;COUNTIFS($CX$6:$CX$53,CX31,$BC$6:$BC$53,INDEX(T_Equipos[Grupo],MATCH(BD31,T_Equipos[NombreEquipo],0)))&amp;")")</f>
        <v>P.3 (2)</v>
      </c>
      <c r="CZ31" s="16">
        <f t="shared" ca="1" si="45"/>
        <v>1</v>
      </c>
      <c r="DA31" s="16">
        <f ca="1">CX31+COUNTIFS($CY$6:$CY$53,CY31,$CZ$6:CZ$53,"&gt;"&amp;CZ31,$BC$6:$BC$53,INDEX(T_Equipos[Grupo],MATCH(BD31,T_Equipos[NombreEquipo],0)))</f>
        <v>3</v>
      </c>
      <c r="DB31" s="16" t="str">
        <f ca="1">IF(COUNTIFS($DA$6:$DA$53,DA31,$BC$6:$BC$53,INDEX(T_Equipos[Grupo],MATCH(BD31,T_Equipos[NombreEquipo],0)))=1,"-","P."&amp;DA31&amp;" ("&amp;COUNTIFS($DA$6:$DA$53,DA31,$BC$6:$BC$53,INDEX(T_Equipos[Grupo],MATCH(BD31,T_Equipos[NombreEquipo],0)))&amp;")")</f>
        <v>P.3 (2)</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4</v>
      </c>
      <c r="DE31" s="16"/>
      <c r="DF31" s="16">
        <f t="shared" ca="1" si="46"/>
        <v>4</v>
      </c>
      <c r="DG31" s="16">
        <f ca="1">IF(DB31="-","-",COUNTIFS(DF$6:DF$53,"&lt;"&amp;DF31,$BC$6:$BC$53,INDEX(T_Equipos[Grupo],MATCH(BD31,T_Equipos[NombreEquipo],0))))</f>
        <v>3</v>
      </c>
      <c r="DH31" s="16">
        <f ca="1">DA31+COUNTIFS(DB$6:DB$53,DB31,DG$6:DG$53,"&lt;"&amp;DG31,$BC$6:$BC$53,INDEX(T_Equipos[Grupo],MATCH(BD31,T_Equipos[NombreEquipo],0)))</f>
        <v>4</v>
      </c>
      <c r="DI31" s="16"/>
      <c r="DJ31" s="16">
        <f t="shared" ca="1" si="47"/>
        <v>1</v>
      </c>
      <c r="DK31" s="16">
        <f t="shared" ca="1" si="48"/>
        <v>4</v>
      </c>
      <c r="DL31" s="16">
        <f t="shared" ca="1" si="49"/>
        <v>1</v>
      </c>
      <c r="DM31" s="16" t="str">
        <f t="shared" ca="1" si="50"/>
        <v>1.1</v>
      </c>
      <c r="DN31" s="16">
        <f t="array" aca="1" ref="DN31" ca="1">OFFSET(Horarios!$P$3,DJ31-1,0,DL31,1)</f>
        <v>1</v>
      </c>
      <c r="DO31" s="16"/>
      <c r="DP31" s="16" t="s">
        <v>98</v>
      </c>
      <c r="DQ31" s="16" t="str">
        <f t="shared" ca="1" si="51"/>
        <v>Nueva Zelanda</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5"/>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Paraguay</v>
      </c>
      <c r="AM32" s="38">
        <f t="shared" ca="1" si="99"/>
        <v>3</v>
      </c>
      <c r="AN32" s="39">
        <f t="shared" ca="1" si="99"/>
        <v>2</v>
      </c>
      <c r="AO32" s="39">
        <f t="shared" ca="1" si="99"/>
        <v>1</v>
      </c>
      <c r="AP32" s="39">
        <f t="shared" ca="1" si="99"/>
        <v>0</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1</v>
      </c>
      <c r="BG32" s="16">
        <f t="shared" ca="1" si="18"/>
        <v>0</v>
      </c>
      <c r="BH32" s="16">
        <f t="shared" ca="1" si="19"/>
        <v>1</v>
      </c>
      <c r="BI32" s="16">
        <f t="shared" ca="1" si="20"/>
        <v>0</v>
      </c>
      <c r="BJ32" s="16">
        <f t="shared" ca="1" si="21"/>
        <v>2</v>
      </c>
      <c r="BK32" s="16">
        <f t="shared" ca="1" si="22"/>
        <v>2</v>
      </c>
      <c r="BL32" s="16">
        <f t="shared" ca="1" si="23"/>
        <v>0</v>
      </c>
      <c r="BM32" s="16" t="str">
        <f t="shared" ca="1" si="24"/>
        <v>1G</v>
      </c>
      <c r="BN32" s="16" t="str">
        <f t="shared" ca="1" si="25"/>
        <v>1G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1</v>
      </c>
      <c r="BW32" s="16">
        <f t="shared" ca="1" si="30"/>
        <v>0</v>
      </c>
      <c r="BX32" s="16">
        <f t="shared" ca="1" si="31"/>
        <v>1</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2</v>
      </c>
      <c r="CB32" s="16">
        <f t="shared" ca="1" si="33"/>
        <v>2</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2</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(2)</v>
      </c>
      <c r="CI32" s="16">
        <f t="shared" ca="1" si="36"/>
        <v>0</v>
      </c>
      <c r="CJ32" s="16">
        <f t="shared" ca="1" si="37"/>
        <v>1</v>
      </c>
      <c r="CK32" s="16">
        <f t="shared" ca="1" si="38"/>
        <v>0</v>
      </c>
      <c r="CL32" s="16">
        <f t="shared" ca="1" si="39"/>
        <v>1</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(2)</v>
      </c>
      <c r="CO32" s="16">
        <f t="shared" ca="1" si="40"/>
        <v>2</v>
      </c>
      <c r="CP32" s="16">
        <f t="shared" ca="1" si="41"/>
        <v>2</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(2)</v>
      </c>
      <c r="CT32" s="16">
        <f t="shared" ca="1" si="43"/>
        <v>2</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(2)</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(2)</v>
      </c>
      <c r="CZ32" s="16">
        <f t="shared" ca="1" si="45"/>
        <v>2</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(2)</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1</v>
      </c>
      <c r="DE32" s="16"/>
      <c r="DF32" s="16">
        <f t="shared" ca="1" si="46"/>
        <v>1</v>
      </c>
      <c r="DG32" s="16">
        <f ca="1">IF(DB32="-","-",COUNTIFS(DF$6:DF$53,"&lt;"&amp;DF32,$BC$6:$BC$53,INDEX(T_Equipos[Grupo],MATCH(BD32,T_Equipos[NombreEquipo],0))))</f>
        <v>0</v>
      </c>
      <c r="DH32" s="16">
        <f ca="1">DA32+COUNTIFS(DB$6:DB$53,DB32,DG$6:DG$53,"&lt;"&amp;DG32,$BC$6:$BC$53,INDEX(T_Equipos[Grupo],MATCH(BD32,T_Equipos[NombreEquipo],0)))</f>
        <v>1</v>
      </c>
      <c r="DI32" s="16"/>
      <c r="DJ32" s="16">
        <f t="shared" ca="1" si="47"/>
        <v>3</v>
      </c>
      <c r="DK32" s="16">
        <f t="shared" ca="1" si="48"/>
        <v>4</v>
      </c>
      <c r="DL32" s="16">
        <f t="shared" ca="1" si="49"/>
        <v>1</v>
      </c>
      <c r="DM32" s="16" t="str">
        <f t="shared" ca="1" si="50"/>
        <v>3.1</v>
      </c>
      <c r="DN32" s="16">
        <f t="array" aca="1" ref="DN32" ca="1">OFFSET(Horarios!$P$3,DJ32-1,0,DL32,1)</f>
        <v>3</v>
      </c>
      <c r="DO32" s="16"/>
      <c r="DP32" s="16" t="s">
        <v>99</v>
      </c>
      <c r="DQ32" s="16" t="str">
        <f t="shared" ca="1" si="51"/>
        <v>Bélgica</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6"/>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2</v>
      </c>
      <c r="AO33" s="47">
        <f t="shared" ca="1" si="99"/>
        <v>0</v>
      </c>
      <c r="AP33" s="47">
        <f t="shared" ca="1" si="99"/>
        <v>0</v>
      </c>
      <c r="AQ33" s="47">
        <f t="shared" ca="1" si="99"/>
        <v>2</v>
      </c>
      <c r="AR33" s="47">
        <f t="shared" ca="1" si="99"/>
        <v>0</v>
      </c>
      <c r="AS33" s="47">
        <f t="shared" ca="1" si="99"/>
        <v>3</v>
      </c>
      <c r="AT33" s="48">
        <f t="shared" ca="1" si="99"/>
        <v>-3</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1</v>
      </c>
      <c r="BG33" s="16">
        <f t="shared" ca="1" si="18"/>
        <v>0</v>
      </c>
      <c r="BH33" s="16">
        <f t="shared" ca="1" si="19"/>
        <v>1</v>
      </c>
      <c r="BI33" s="16">
        <f t="shared" ca="1" si="20"/>
        <v>0</v>
      </c>
      <c r="BJ33" s="16">
        <f t="shared" ca="1" si="21"/>
        <v>2</v>
      </c>
      <c r="BK33" s="16">
        <f t="shared" ca="1" si="22"/>
        <v>2</v>
      </c>
      <c r="BL33" s="16">
        <f t="shared" ca="1" si="23"/>
        <v>0</v>
      </c>
      <c r="BM33" s="16" t="str">
        <f t="shared" ca="1" si="24"/>
        <v>2G</v>
      </c>
      <c r="BN33" s="16" t="str">
        <f t="shared" ca="1" si="25"/>
        <v>2G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1</v>
      </c>
      <c r="BW33" s="16">
        <f t="shared" ca="1" si="30"/>
        <v>0</v>
      </c>
      <c r="BX33" s="16">
        <f t="shared" ca="1" si="31"/>
        <v>1</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2</v>
      </c>
      <c r="CB33" s="16">
        <f t="shared" ca="1" si="33"/>
        <v>2</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2</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(2)</v>
      </c>
      <c r="CI33" s="16">
        <f t="shared" ca="1" si="36"/>
        <v>0</v>
      </c>
      <c r="CJ33" s="16">
        <f t="shared" ca="1" si="37"/>
        <v>1</v>
      </c>
      <c r="CK33" s="16">
        <f t="shared" ca="1" si="38"/>
        <v>0</v>
      </c>
      <c r="CL33" s="16">
        <f t="shared" ca="1" si="39"/>
        <v>1</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(2)</v>
      </c>
      <c r="CO33" s="16">
        <f t="shared" ca="1" si="40"/>
        <v>2</v>
      </c>
      <c r="CP33" s="16">
        <f t="shared" ca="1" si="41"/>
        <v>2</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(2)</v>
      </c>
      <c r="CT33" s="16">
        <f t="shared" ca="1" si="43"/>
        <v>2</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(2)</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(2)</v>
      </c>
      <c r="CZ33" s="16">
        <f t="shared" ca="1" si="45"/>
        <v>2</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(2)</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2</v>
      </c>
      <c r="DE33" s="16"/>
      <c r="DF33" s="16">
        <f t="shared" ca="1" si="46"/>
        <v>2</v>
      </c>
      <c r="DG33" s="16">
        <f ca="1">IF(DB33="-","-",COUNTIFS(DF$6:DF$53,"&lt;"&amp;DF33,$BC$6:$BC$53,INDEX(T_Equipos[Grupo],MATCH(BD33,T_Equipos[NombreEquipo],0))))</f>
        <v>1</v>
      </c>
      <c r="DH33" s="16">
        <f ca="1">DA33+COUNTIFS(DB$6:DB$53,DB33,DG$6:DG$53,"&lt;"&amp;DG33,$BC$6:$BC$53,INDEX(T_Equipos[Grupo],MATCH(BD33,T_Equipos[NombreEquipo],0)))</f>
        <v>2</v>
      </c>
      <c r="DI33" s="16"/>
      <c r="DJ33" s="16">
        <f t="shared" ca="1" si="47"/>
        <v>3</v>
      </c>
      <c r="DK33" s="16">
        <f t="shared" ca="1" si="48"/>
        <v>4</v>
      </c>
      <c r="DL33" s="16">
        <f t="shared" ca="1" si="49"/>
        <v>1</v>
      </c>
      <c r="DM33" s="16" t="str">
        <f t="shared" ca="1" si="50"/>
        <v>3.1</v>
      </c>
      <c r="DN33" s="16">
        <f t="array" aca="1" ref="DN33" ca="1">OFFSET(Horarios!$P$3,DJ33-1,0,DL33,1)</f>
        <v>3</v>
      </c>
      <c r="DO33" s="16"/>
      <c r="DP33" s="16" t="s">
        <v>100</v>
      </c>
      <c r="DQ33" s="16" t="str">
        <f t="shared" ca="1" si="51"/>
        <v>Egipto</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1</v>
      </c>
      <c r="BF34" s="16">
        <f t="shared" ca="1" si="17"/>
        <v>1</v>
      </c>
      <c r="BG34" s="16">
        <f t="shared" ca="1" si="18"/>
        <v>0</v>
      </c>
      <c r="BH34" s="16">
        <f t="shared" ca="1" si="19"/>
        <v>1</v>
      </c>
      <c r="BI34" s="16">
        <f t="shared" ca="1" si="20"/>
        <v>0</v>
      </c>
      <c r="BJ34" s="16">
        <f t="shared" ca="1" si="21"/>
        <v>0</v>
      </c>
      <c r="BK34" s="16">
        <f t="shared" ca="1" si="22"/>
        <v>0</v>
      </c>
      <c r="BL34" s="16">
        <f t="shared" ca="1" si="23"/>
        <v>0</v>
      </c>
      <c r="BM34" s="16" t="str">
        <f t="shared" ca="1" si="24"/>
        <v>3H</v>
      </c>
      <c r="BN34" s="16" t="str">
        <f t="shared" ca="1" si="25"/>
        <v>3H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1</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1</v>
      </c>
      <c r="BW34" s="16">
        <f t="shared" ca="1" si="30"/>
        <v>0</v>
      </c>
      <c r="BX34" s="16">
        <f t="shared" ca="1" si="31"/>
        <v>1</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3</v>
      </c>
      <c r="CH34" s="16" t="str">
        <f ca="1">IF(COUNTIFS($CG$6:$CG$53,CG34,$BC$6:$BC$53,INDEX(T_Equipos[Grupo],MATCH(BD34,T_Equipos[NombreEquipo],0)))=1,"-","P."&amp;CG34&amp;" ("&amp;COUNTIFS($CG$6:$CG$53,CG34,$BC$6:$BC$53,INDEX(T_Equipos[Grupo],MATCH(BD34,T_Equipos[NombreEquipo],0)))&amp;")")</f>
        <v>P.3 (2)</v>
      </c>
      <c r="CI34" s="16">
        <f t="shared" ca="1" si="36"/>
        <v>0</v>
      </c>
      <c r="CJ34" s="16">
        <f t="shared" ca="1" si="37"/>
        <v>1</v>
      </c>
      <c r="CK34" s="16">
        <f t="shared" ca="1" si="38"/>
        <v>0</v>
      </c>
      <c r="CL34" s="16">
        <f t="shared" ca="1" si="39"/>
        <v>1</v>
      </c>
      <c r="CM34" s="16">
        <f ca="1">CG34+COUNTIFS($CH$6:$CH$53,CH34,$CL$6:CL$53,"&gt;"&amp;CL34,$BC$6:$BC$53,INDEX(T_Equipos[Grupo],MATCH(BD34,T_Equipos[NombreEquipo],0)))</f>
        <v>3</v>
      </c>
      <c r="CN34" s="16" t="str">
        <f ca="1">IF(COUNTIFS($CM$6:$CM$53,CM34,$BC$6:$BC$53,INDEX(T_Equipos[Grupo],MATCH(BD34,T_Equipos[NombreEquipo],0)))=1,"-","P."&amp;CM34&amp;" ("&amp;COUNTIFS($CM$6:$CM$53,CM34,$BC$6:$BC$53,INDEX(T_Equipos[Grupo],MATCH(BD34,T_Equipos[NombreEquipo],0)))&amp;")")</f>
        <v>P.3 (2)</v>
      </c>
      <c r="CO34" s="16">
        <f t="shared" ca="1" si="40"/>
        <v>0</v>
      </c>
      <c r="CP34" s="16">
        <f t="shared" ca="1" si="41"/>
        <v>0</v>
      </c>
      <c r="CQ34" s="16">
        <f t="shared" ca="1" si="42"/>
        <v>0</v>
      </c>
      <c r="CR34" s="16">
        <f ca="1">CM34+COUNTIFS($CN$6:$CN$53,CN34,$CQ$6:CQ$53,"&gt;"&amp;CQ34,$BC$6:$BC$53,INDEX(T_Equipos[Grupo],MATCH(BD34,T_Equipos[NombreEquipo],0)))</f>
        <v>3</v>
      </c>
      <c r="CS34" s="16" t="str">
        <f ca="1">IF(COUNTIFS($CR$6:$CR$53,CR34,$BC$6:$BC$53,INDEX(T_Equipos[Grupo],MATCH(BD34,T_Equipos[NombreEquipo],0)))=1,"-","P."&amp;CR34&amp;" ("&amp;COUNTIFS($CR$6:$CR$53,CR34,$BC$6:$BC$53,INDEX(T_Equipos[Grupo],MATCH(BD34,T_Equipos[NombreEquipo],0)))&amp;")")</f>
        <v>P.3 (2)</v>
      </c>
      <c r="CT34" s="16">
        <f t="shared" ca="1" si="43"/>
        <v>0</v>
      </c>
      <c r="CU34" s="16">
        <f ca="1">CR34+COUNTIFS($CS$6:$CS$53,CS34,$CT$6:CT$53,"&gt;"&amp;CT34,$BC$6:$BC$53,INDEX(T_Equipos[Grupo],MATCH(BD34,T_Equipos[NombreEquipo],0)))</f>
        <v>3</v>
      </c>
      <c r="CV34" s="16" t="str">
        <f ca="1">IF(COUNTIFS($CU$6:$CU$53,CU34,$BC$6:$BC$53,INDEX(T_Equipos[Grupo],MATCH(BD34,T_Equipos[NombreEquipo],0)))=1,"-","P."&amp;CU34&amp;" ("&amp;COUNTIFS($CU$6:$CU$53,CU34,$BC$6:$BC$53,INDEX(T_Equipos[Grupo],MATCH(BD34,T_Equipos[NombreEquipo],0)))&amp;")")</f>
        <v>P.3 (2)</v>
      </c>
      <c r="CW34" s="16">
        <f t="shared" ca="1" si="44"/>
        <v>0</v>
      </c>
      <c r="CX34" s="16">
        <f ca="1">CU34+COUNTIFS($CV$6:$CV$53,CV34,$CW$6:CW$53,"&gt;"&amp;CW34,$BC$6:$BC$53,INDEX(T_Equipos[Grupo],MATCH(BD34,T_Equipos[NombreEquipo],0)))</f>
        <v>3</v>
      </c>
      <c r="CY34" s="16" t="str">
        <f ca="1">IF(COUNTIFS($CX$6:$CX$53,CX34,$BC$6:$BC$53,INDEX(T_Equipos[Grupo],MATCH(BD34,T_Equipos[NombreEquipo],0)))=1,"-","P."&amp;CX34&amp;" ("&amp;COUNTIFS($CX$6:$CX$53,CX34,$BC$6:$BC$53,INDEX(T_Equipos[Grupo],MATCH(BD34,T_Equipos[NombreEquipo],0)))&amp;")")</f>
        <v>P.3 (2)</v>
      </c>
      <c r="CZ34" s="16">
        <f t="shared" ca="1" si="45"/>
        <v>0</v>
      </c>
      <c r="DA34" s="16">
        <f ca="1">CX34+COUNTIFS($CY$6:$CY$53,CY34,$CZ$6:CZ$53,"&gt;"&amp;CZ34,$BC$6:$BC$53,INDEX(T_Equipos[Grupo],MATCH(BD34,T_Equipos[NombreEquipo],0)))</f>
        <v>3</v>
      </c>
      <c r="DB34" s="16" t="str">
        <f ca="1">IF(COUNTIFS($DA$6:$DA$53,DA34,$BC$6:$BC$53,INDEX(T_Equipos[Grupo],MATCH(BD34,T_Equipos[NombreEquipo],0)))=1,"-","P."&amp;DA34&amp;" ("&amp;COUNTIFS($DA$6:$DA$53,DA34,$BC$6:$BC$53,INDEX(T_Equipos[Grupo],MATCH(BD34,T_Equipos[NombreEquipo],0)))&amp;")")</f>
        <v>P.3 (2)</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3</v>
      </c>
      <c r="DE34" s="16"/>
      <c r="DF34" s="16">
        <f t="shared" ca="1" si="46"/>
        <v>3</v>
      </c>
      <c r="DG34" s="16">
        <f ca="1">IF(DB34="-","-",COUNTIFS(DF$6:DF$53,"&lt;"&amp;DF34,$BC$6:$BC$53,INDEX(T_Equipos[Grupo],MATCH(BD34,T_Equipos[NombreEquipo],0))))</f>
        <v>2</v>
      </c>
      <c r="DH34" s="16">
        <f ca="1">DA34+COUNTIFS(DB$6:DB$53,DB34,DG$6:DG$53,"&lt;"&amp;DG34,$BC$6:$BC$53,INDEX(T_Equipos[Grupo],MATCH(BD34,T_Equipos[NombreEquipo],0)))</f>
        <v>3</v>
      </c>
      <c r="DI34" s="16"/>
      <c r="DJ34" s="16">
        <f t="shared" ca="1" si="47"/>
        <v>1</v>
      </c>
      <c r="DK34" s="16">
        <f t="shared" ca="1" si="48"/>
        <v>4</v>
      </c>
      <c r="DL34" s="16">
        <f t="shared" ca="1" si="49"/>
        <v>1</v>
      </c>
      <c r="DM34" s="16" t="str">
        <f t="shared" ca="1" si="50"/>
        <v>1.1</v>
      </c>
      <c r="DN34" s="16">
        <f t="array" aca="1" ref="DN34" ca="1">OFFSET(Horarios!$P$3,DJ34-1,0,DL34,1)</f>
        <v>1</v>
      </c>
      <c r="DO34" s="16"/>
      <c r="DP34" s="16" t="s">
        <v>101</v>
      </c>
      <c r="DQ34" s="16" t="str">
        <f t="shared" ca="1" si="51"/>
        <v>Arabia Saudita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1</v>
      </c>
      <c r="BG35" s="16">
        <f t="shared" ca="1" si="18"/>
        <v>0</v>
      </c>
      <c r="BH35" s="16">
        <f t="shared" ca="1" si="19"/>
        <v>1</v>
      </c>
      <c r="BI35" s="16">
        <f t="shared" ca="1" si="20"/>
        <v>0</v>
      </c>
      <c r="BJ35" s="16">
        <f t="shared" ca="1" si="21"/>
        <v>0</v>
      </c>
      <c r="BK35" s="16">
        <f t="shared" ca="1" si="22"/>
        <v>0</v>
      </c>
      <c r="BL35" s="16">
        <f t="shared" ca="1" si="23"/>
        <v>0</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1</v>
      </c>
      <c r="BW35" s="16">
        <f t="shared" ca="1" si="30"/>
        <v>0</v>
      </c>
      <c r="BX35" s="16">
        <f t="shared" ca="1" si="31"/>
        <v>1</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3</v>
      </c>
      <c r="CH35" s="16" t="str">
        <f ca="1">IF(COUNTIFS($CG$6:$CG$53,CG35,$BC$6:$BC$53,INDEX(T_Equipos[Grupo],MATCH(BD35,T_Equipos[NombreEquipo],0)))=1,"-","P."&amp;CG35&amp;" ("&amp;COUNTIFS($CG$6:$CG$53,CG35,$BC$6:$BC$53,INDEX(T_Equipos[Grupo],MATCH(BD35,T_Equipos[NombreEquipo],0)))&amp;")")</f>
        <v>P.3 (2)</v>
      </c>
      <c r="CI35" s="16">
        <f t="shared" ca="1" si="36"/>
        <v>0</v>
      </c>
      <c r="CJ35" s="16">
        <f t="shared" ca="1" si="37"/>
        <v>1</v>
      </c>
      <c r="CK35" s="16">
        <f t="shared" ca="1" si="38"/>
        <v>0</v>
      </c>
      <c r="CL35" s="16">
        <f t="shared" ca="1" si="39"/>
        <v>1</v>
      </c>
      <c r="CM35" s="16">
        <f ca="1">CG35+COUNTIFS($CH$6:$CH$53,CH35,$CL$6:CL$53,"&gt;"&amp;CL35,$BC$6:$BC$53,INDEX(T_Equipos[Grupo],MATCH(BD35,T_Equipos[NombreEquipo],0)))</f>
        <v>3</v>
      </c>
      <c r="CN35" s="16" t="str">
        <f ca="1">IF(COUNTIFS($CM$6:$CM$53,CM35,$BC$6:$BC$53,INDEX(T_Equipos[Grupo],MATCH(BD35,T_Equipos[NombreEquipo],0)))=1,"-","P."&amp;CM35&amp;" ("&amp;COUNTIFS($CM$6:$CM$53,CM35,$BC$6:$BC$53,INDEX(T_Equipos[Grupo],MATCH(BD35,T_Equipos[NombreEquipo],0)))&amp;")")</f>
        <v>P.3 (2)</v>
      </c>
      <c r="CO35" s="16">
        <f t="shared" ca="1" si="40"/>
        <v>0</v>
      </c>
      <c r="CP35" s="16">
        <f t="shared" ca="1" si="41"/>
        <v>0</v>
      </c>
      <c r="CQ35" s="16">
        <f t="shared" ca="1" si="42"/>
        <v>0</v>
      </c>
      <c r="CR35" s="16">
        <f ca="1">CM35+COUNTIFS($CN$6:$CN$53,CN35,$CQ$6:CQ$53,"&gt;"&amp;CQ35,$BC$6:$BC$53,INDEX(T_Equipos[Grupo],MATCH(BD35,T_Equipos[NombreEquipo],0)))</f>
        <v>3</v>
      </c>
      <c r="CS35" s="16" t="str">
        <f ca="1">IF(COUNTIFS($CR$6:$CR$53,CR35,$BC$6:$BC$53,INDEX(T_Equipos[Grupo],MATCH(BD35,T_Equipos[NombreEquipo],0)))=1,"-","P."&amp;CR35&amp;" ("&amp;COUNTIFS($CR$6:$CR$53,CR35,$BC$6:$BC$53,INDEX(T_Equipos[Grupo],MATCH(BD35,T_Equipos[NombreEquipo],0)))&amp;")")</f>
        <v>P.3 (2)</v>
      </c>
      <c r="CT35" s="16">
        <f t="shared" ca="1" si="43"/>
        <v>0</v>
      </c>
      <c r="CU35" s="16">
        <f ca="1">CR35+COUNTIFS($CS$6:$CS$53,CS35,$CT$6:CT$53,"&gt;"&amp;CT35,$BC$6:$BC$53,INDEX(T_Equipos[Grupo],MATCH(BD35,T_Equipos[NombreEquipo],0)))</f>
        <v>3</v>
      </c>
      <c r="CV35" s="16" t="str">
        <f ca="1">IF(COUNTIFS($CU$6:$CU$53,CU35,$BC$6:$BC$53,INDEX(T_Equipos[Grupo],MATCH(BD35,T_Equipos[NombreEquipo],0)))=1,"-","P."&amp;CU35&amp;" ("&amp;COUNTIFS($CU$6:$CU$53,CU35,$BC$6:$BC$53,INDEX(T_Equipos[Grupo],MATCH(BD35,T_Equipos[NombreEquipo],0)))&amp;")")</f>
        <v>P.3 (2)</v>
      </c>
      <c r="CW35" s="16">
        <f t="shared" ca="1" si="44"/>
        <v>0</v>
      </c>
      <c r="CX35" s="16">
        <f ca="1">CU35+COUNTIFS($CV$6:$CV$53,CV35,$CW$6:CW$53,"&gt;"&amp;CW35,$BC$6:$BC$53,INDEX(T_Equipos[Grupo],MATCH(BD35,T_Equipos[NombreEquipo],0)))</f>
        <v>3</v>
      </c>
      <c r="CY35" s="16" t="str">
        <f ca="1">IF(COUNTIFS($CX$6:$CX$53,CX35,$BC$6:$BC$53,INDEX(T_Equipos[Grupo],MATCH(BD35,T_Equipos[NombreEquipo],0)))=1,"-","P."&amp;CX35&amp;" ("&amp;COUNTIFS($CX$6:$CX$53,CX35,$BC$6:$BC$53,INDEX(T_Equipos[Grupo],MATCH(BD35,T_Equipos[NombreEquipo],0)))&amp;")")</f>
        <v>P.3 (2)</v>
      </c>
      <c r="CZ35" s="16">
        <f t="shared" ca="1" si="45"/>
        <v>0</v>
      </c>
      <c r="DA35" s="16">
        <f ca="1">CX35+COUNTIFS($CY$6:$CY$53,CY35,$CZ$6:CZ$53,"&gt;"&amp;CZ35,$BC$6:$BC$53,INDEX(T_Equipos[Grupo],MATCH(BD35,T_Equipos[NombreEquipo],0)))</f>
        <v>3</v>
      </c>
      <c r="DB35" s="16" t="str">
        <f ca="1">IF(COUNTIFS($DA$6:$DA$53,DA35,$BC$6:$BC$53,INDEX(T_Equipos[Grupo],MATCH(BD35,T_Equipos[NombreEquipo],0)))=1,"-","P."&amp;DA35&amp;" ("&amp;COUNTIFS($DA$6:$DA$53,DA35,$BC$6:$BC$53,INDEX(T_Equipos[Grupo],MATCH(BD35,T_Equipos[NombreEquipo],0)))&amp;")")</f>
        <v>P.3 (2)</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4</v>
      </c>
      <c r="DE35" s="16"/>
      <c r="DF35" s="16">
        <f t="shared" ca="1" si="46"/>
        <v>4</v>
      </c>
      <c r="DG35" s="16">
        <f ca="1">IF(DB35="-","-",COUNTIFS(DF$6:DF$53,"&lt;"&amp;DF35,$BC$6:$BC$53,INDEX(T_Equipos[Grupo],MATCH(BD35,T_Equipos[NombreEquipo],0))))</f>
        <v>3</v>
      </c>
      <c r="DH35" s="16">
        <f ca="1">DA35+COUNTIFS(DB$6:DB$53,DB35,DG$6:DG$53,"&lt;"&amp;DG35,$BC$6:$BC$53,INDEX(T_Equipos[Grupo],MATCH(BD35,T_Equipos[NombreEquipo],0)))</f>
        <v>4</v>
      </c>
      <c r="DI35" s="16"/>
      <c r="DJ35" s="16">
        <f t="shared" ca="1" si="47"/>
        <v>1</v>
      </c>
      <c r="DK35" s="16">
        <f t="shared" ca="1" si="48"/>
        <v>4</v>
      </c>
      <c r="DL35" s="16">
        <f t="shared" ca="1" si="49"/>
        <v>1</v>
      </c>
      <c r="DM35" s="16" t="str">
        <f t="shared" ca="1" si="50"/>
        <v>1.1</v>
      </c>
      <c r="DN35" s="16">
        <f t="array" aca="1" ref="DN35" ca="1">OFFSET(Horarios!$P$3,DJ35-1,0,DL35,1)</f>
        <v>1</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P.3 (2)</v>
      </c>
      <c r="G36" s="16"/>
      <c r="H36" s="16" t="str">
        <f t="shared" ref="H36:H41" ca="1" si="103">IF(D36="Pendiente","-",INDEX($BZ$6:$BZ$53,MATCH($AA36,$BD$6:$BD$53,0)))</f>
        <v>P.1 (2)</v>
      </c>
      <c r="I36" s="16" t="str">
        <f t="shared" ref="I36:I41" ca="1" si="104">IF(D36="Pendiente","-",INDEX($BZ$6:$BZ$53,MATCH($AF36,$BD$6:$BD$53,0)))</f>
        <v>P.3 (2)</v>
      </c>
      <c r="J36" s="16"/>
      <c r="K36" s="16" t="str">
        <f t="shared" ref="K36:K41" ca="1" si="105">IF(D36="Pendiente","-",INDEX($CE$6:$CE$53,MATCH($AA36,$BD$6:$BD$53,0)))</f>
        <v>P.1 (2)</v>
      </c>
      <c r="L36" s="16" t="str">
        <f t="shared" ref="L36:L41" ca="1" si="106">IF(D36="Pendiente","-",INDEX($CE$6:$CE$53,MATCH($AF36,$BD$6:$BD$53,0)))</f>
        <v>P.3 (2)</v>
      </c>
      <c r="M36" s="16"/>
      <c r="N36" s="16" t="str">
        <f t="shared" ref="N36:N41" ca="1" si="107">IF(D36="Pendiente","-",INDEX($CH$6:$CH$53,MATCH($AA36,$BD$6:$BD$53,0)))</f>
        <v>P.1 (2)</v>
      </c>
      <c r="O36" s="16" t="str">
        <f t="shared" ref="O36:O41" ca="1" si="108">IF(D36="Pendiente","-",INDEX($CH$6:$CH$53,MATCH($AF36,$BD$6:$BD$53,0)))</f>
        <v>P.3 (2)</v>
      </c>
      <c r="P36" s="16"/>
      <c r="Q36" s="16" t="str">
        <f t="shared" ref="Q36:Q41" ca="1" si="109">IF(D36="Pendiente","-",INDEX($CN$6:$CN$53,MATCH($AA36,$BD$6:$BD$53,0)))</f>
        <v>P.1 (2)</v>
      </c>
      <c r="R36" s="16" t="str">
        <f t="shared" ref="R36:R41" ca="1" si="110">IF(D36="Pendiente","-",INDEX($CN$6:$CN$53,MATCH($AF36,$BD$6:$BD$53,0)))</f>
        <v>P.3 (2)</v>
      </c>
      <c r="S36" s="16"/>
      <c r="T36" s="16" t="str">
        <f t="shared" ref="T36:T41" ca="1" si="111">IF(D36="Pendiente","-",INDEX($CS$6:$CS$53,MATCH($AA36,$BD$6:$BD$53,0)))</f>
        <v>P.1 (2)</v>
      </c>
      <c r="U36" s="16" t="str">
        <f t="shared" ref="U36:U41" ca="1" si="112">IF(D36="Pendiente","-",INDEX($CS$6:$CS$53,MATCH($AF36,$BD$6:$BD$53,0)))</f>
        <v>P.3 (2)</v>
      </c>
      <c r="V36" s="17"/>
      <c r="W36" s="631"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1</v>
      </c>
      <c r="BF36" s="16">
        <f t="shared" ca="1" si="17"/>
        <v>1</v>
      </c>
      <c r="BG36" s="16">
        <f t="shared" ca="1" si="18"/>
        <v>0</v>
      </c>
      <c r="BH36" s="16">
        <f t="shared" ca="1" si="19"/>
        <v>1</v>
      </c>
      <c r="BI36" s="16">
        <f t="shared" ca="1" si="20"/>
        <v>0</v>
      </c>
      <c r="BJ36" s="16">
        <f t="shared" ca="1" si="21"/>
        <v>1</v>
      </c>
      <c r="BK36" s="16">
        <f t="shared" ca="1" si="22"/>
        <v>1</v>
      </c>
      <c r="BL36" s="16">
        <f t="shared" ca="1" si="23"/>
        <v>0</v>
      </c>
      <c r="BM36" s="16" t="str">
        <f t="shared" ca="1" si="24"/>
        <v>1H</v>
      </c>
      <c r="BN36" s="16" t="str">
        <f t="shared" ca="1" si="25"/>
        <v>1H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1</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1</v>
      </c>
      <c r="BW36" s="16">
        <f t="shared" ca="1" si="30"/>
        <v>0</v>
      </c>
      <c r="BX36" s="16">
        <f t="shared" ca="1" si="31"/>
        <v>1</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1</v>
      </c>
      <c r="CB36" s="16">
        <f t="shared" ca="1" si="33"/>
        <v>1</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1</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(2)</v>
      </c>
      <c r="CI36" s="16">
        <f t="shared" ca="1" si="36"/>
        <v>0</v>
      </c>
      <c r="CJ36" s="16">
        <f t="shared" ca="1" si="37"/>
        <v>1</v>
      </c>
      <c r="CK36" s="16">
        <f t="shared" ca="1" si="38"/>
        <v>0</v>
      </c>
      <c r="CL36" s="16">
        <f t="shared" ca="1" si="39"/>
        <v>1</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(2)</v>
      </c>
      <c r="CO36" s="16">
        <f t="shared" ca="1" si="40"/>
        <v>1</v>
      </c>
      <c r="CP36" s="16">
        <f t="shared" ca="1" si="41"/>
        <v>1</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(2)</v>
      </c>
      <c r="CT36" s="16">
        <f t="shared" ca="1" si="43"/>
        <v>1</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(2)</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(2)</v>
      </c>
      <c r="CZ36" s="16">
        <f t="shared" ca="1" si="45"/>
        <v>1</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(2)</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1</v>
      </c>
      <c r="DE36" s="16"/>
      <c r="DF36" s="16">
        <f t="shared" ca="1" si="46"/>
        <v>1</v>
      </c>
      <c r="DG36" s="16">
        <f ca="1">IF(DB36="-","-",COUNTIFS(DF$6:DF$53,"&lt;"&amp;DF36,$BC$6:$BC$53,INDEX(T_Equipos[Grupo],MATCH(BD36,T_Equipos[NombreEquipo],0))))</f>
        <v>0</v>
      </c>
      <c r="DH36" s="16">
        <f ca="1">DA36+COUNTIFS(DB$6:DB$53,DB36,DG$6:DG$53,"&lt;"&amp;DG36,$BC$6:$BC$53,INDEX(T_Equipos[Grupo],MATCH(BD36,T_Equipos[NombreEquipo],0)))</f>
        <v>1</v>
      </c>
      <c r="DI36" s="16"/>
      <c r="DJ36" s="16">
        <f t="shared" ca="1" si="47"/>
        <v>3</v>
      </c>
      <c r="DK36" s="16">
        <f t="shared" ca="1" si="48"/>
        <v>4</v>
      </c>
      <c r="DL36" s="16">
        <f t="shared" ca="1" si="49"/>
        <v>1</v>
      </c>
      <c r="DM36" s="16" t="str">
        <f t="shared" ca="1" si="50"/>
        <v>3.1</v>
      </c>
      <c r="DN36" s="16">
        <f t="array" aca="1" ref="DN36" ca="1">OFFSET(Horarios!$P$3,DJ36-1,0,DL36,1)</f>
        <v>3</v>
      </c>
      <c r="DO36" s="16"/>
      <c r="DP36" s="16" t="s">
        <v>104</v>
      </c>
      <c r="DQ36" s="16" t="str">
        <f t="shared" ca="1" si="51"/>
        <v>España</v>
      </c>
    </row>
    <row r="37" spans="1:121" ht="16" customHeight="1" x14ac:dyDescent="0.2">
      <c r="A37" s="16" t="str">
        <f ca="1">+Equipos!B18</f>
        <v>Alemania</v>
      </c>
      <c r="B37" s="16"/>
      <c r="C37" s="16"/>
      <c r="D37" s="16" t="str">
        <f t="shared" si="100"/>
        <v>Local</v>
      </c>
      <c r="E37" s="16" t="str">
        <f t="shared" ca="1" si="101"/>
        <v>P.1 (2)</v>
      </c>
      <c r="F37" s="16" t="str">
        <f t="shared" ca="1" si="102"/>
        <v>P.3 (2)</v>
      </c>
      <c r="G37" s="16"/>
      <c r="H37" s="16" t="str">
        <f t="shared" ca="1" si="103"/>
        <v>P.1 (2)</v>
      </c>
      <c r="I37" s="16" t="str">
        <f t="shared" ca="1" si="104"/>
        <v>P.3 (2)</v>
      </c>
      <c r="J37" s="16"/>
      <c r="K37" s="16" t="str">
        <f t="shared" ca="1" si="105"/>
        <v>P.1 (2)</v>
      </c>
      <c r="L37" s="16" t="str">
        <f t="shared" ca="1" si="106"/>
        <v>P.3 (2)</v>
      </c>
      <c r="M37" s="16"/>
      <c r="N37" s="16" t="str">
        <f t="shared" ca="1" si="107"/>
        <v>P.1 (2)</v>
      </c>
      <c r="O37" s="16" t="str">
        <f t="shared" ca="1" si="108"/>
        <v>P.3 (2)</v>
      </c>
      <c r="P37" s="16"/>
      <c r="Q37" s="16" t="str">
        <f t="shared" ca="1" si="109"/>
        <v>P.1 (2)</v>
      </c>
      <c r="R37" s="16" t="str">
        <f t="shared" ca="1" si="110"/>
        <v>P.3 (2)</v>
      </c>
      <c r="S37" s="16"/>
      <c r="T37" s="16" t="str">
        <f t="shared" ca="1" si="111"/>
        <v>P.1 (2)</v>
      </c>
      <c r="U37" s="16" t="str">
        <f t="shared" ca="1" si="112"/>
        <v>P.3 (2)</v>
      </c>
      <c r="V37" s="17"/>
      <c r="W37" s="625"/>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1</v>
      </c>
      <c r="BF37" s="16">
        <f t="shared" ca="1" si="17"/>
        <v>1</v>
      </c>
      <c r="BG37" s="16">
        <f t="shared" ca="1" si="18"/>
        <v>0</v>
      </c>
      <c r="BH37" s="16">
        <f t="shared" ca="1" si="19"/>
        <v>1</v>
      </c>
      <c r="BI37" s="16">
        <f t="shared" ca="1" si="20"/>
        <v>0</v>
      </c>
      <c r="BJ37" s="16">
        <f t="shared" ca="1" si="21"/>
        <v>1</v>
      </c>
      <c r="BK37" s="16">
        <f t="shared" ca="1" si="22"/>
        <v>1</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1</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1</v>
      </c>
      <c r="BW37" s="16">
        <f t="shared" ca="1" si="30"/>
        <v>0</v>
      </c>
      <c r="BX37" s="16">
        <f t="shared" ca="1" si="31"/>
        <v>1</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1</v>
      </c>
      <c r="CB37" s="16">
        <f t="shared" ca="1" si="33"/>
        <v>1</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1</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(2)</v>
      </c>
      <c r="CI37" s="16">
        <f t="shared" ca="1" si="36"/>
        <v>0</v>
      </c>
      <c r="CJ37" s="16">
        <f t="shared" ca="1" si="37"/>
        <v>1</v>
      </c>
      <c r="CK37" s="16">
        <f t="shared" ca="1" si="38"/>
        <v>0</v>
      </c>
      <c r="CL37" s="16">
        <f t="shared" ca="1" si="39"/>
        <v>1</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(2)</v>
      </c>
      <c r="CO37" s="16">
        <f t="shared" ca="1" si="40"/>
        <v>1</v>
      </c>
      <c r="CP37" s="16">
        <f t="shared" ca="1" si="41"/>
        <v>1</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(2)</v>
      </c>
      <c r="CT37" s="16">
        <f t="shared" ca="1" si="43"/>
        <v>1</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(2)</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(2)</v>
      </c>
      <c r="CZ37" s="16">
        <f t="shared" ca="1" si="45"/>
        <v>1</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(2)</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2</v>
      </c>
      <c r="DE37" s="16"/>
      <c r="DF37" s="16">
        <f t="shared" ca="1" si="46"/>
        <v>2</v>
      </c>
      <c r="DG37" s="16">
        <f ca="1">IF(DB37="-","-",COUNTIFS(DF$6:DF$53,"&lt;"&amp;DF37,$BC$6:$BC$53,INDEX(T_Equipos[Grupo],MATCH(BD37,T_Equipos[NombreEquipo],0))))</f>
        <v>1</v>
      </c>
      <c r="DH37" s="16">
        <f ca="1">DA37+COUNTIFS(DB$6:DB$53,DB37,DG$6:DG$53,"&lt;"&amp;DG37,$BC$6:$BC$53,INDEX(T_Equipos[Grupo],MATCH(BD37,T_Equipos[NombreEquipo],0)))</f>
        <v>2</v>
      </c>
      <c r="DI37" s="16"/>
      <c r="DJ37" s="16">
        <f t="shared" ca="1" si="47"/>
        <v>3</v>
      </c>
      <c r="DK37" s="16">
        <f t="shared" ca="1" si="48"/>
        <v>4</v>
      </c>
      <c r="DL37" s="16">
        <f t="shared" ca="1" si="49"/>
        <v>1</v>
      </c>
      <c r="DM37" s="16" t="str">
        <f t="shared" ca="1" si="50"/>
        <v>3.1</v>
      </c>
      <c r="DN37" s="16">
        <f t="array" aca="1" ref="DN37" ca="1">OFFSET(Horarios!$P$3,DJ37-1,0,DL37,1)</f>
        <v>3</v>
      </c>
      <c r="DO37" s="16"/>
      <c r="DP37" s="16" t="s">
        <v>105</v>
      </c>
      <c r="DQ37" s="16" t="str">
        <f t="shared" ca="1" si="51"/>
        <v>Cabo Verde</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5"/>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3</v>
      </c>
      <c r="AN38" s="36">
        <f t="shared" ca="1" si="115"/>
        <v>1</v>
      </c>
      <c r="AO38" s="36">
        <f t="shared" ca="1" si="115"/>
        <v>1</v>
      </c>
      <c r="AP38" s="36">
        <f t="shared" ca="1" si="115"/>
        <v>0</v>
      </c>
      <c r="AQ38" s="36">
        <f t="shared" ca="1" si="115"/>
        <v>0</v>
      </c>
      <c r="AR38" s="36">
        <f t="shared" ca="1" si="115"/>
        <v>7</v>
      </c>
      <c r="AS38" s="36">
        <f t="shared" ca="1" si="115"/>
        <v>1</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3</v>
      </c>
      <c r="BF38" s="16">
        <f t="shared" ca="1" si="17"/>
        <v>1</v>
      </c>
      <c r="BG38" s="16">
        <f t="shared" ca="1" si="18"/>
        <v>1</v>
      </c>
      <c r="BH38" s="16">
        <f t="shared" ca="1" si="19"/>
        <v>0</v>
      </c>
      <c r="BI38" s="16">
        <f t="shared" ca="1" si="20"/>
        <v>0</v>
      </c>
      <c r="BJ38" s="16">
        <f t="shared" ca="1" si="21"/>
        <v>3</v>
      </c>
      <c r="BK38" s="16">
        <f t="shared" ca="1" si="22"/>
        <v>1</v>
      </c>
      <c r="BL38" s="16">
        <f t="shared" ca="1" si="23"/>
        <v>2</v>
      </c>
      <c r="BM38" s="16" t="str">
        <f t="shared" ca="1" si="24"/>
        <v>2I</v>
      </c>
      <c r="BN38" s="16" t="str">
        <f t="shared" ca="1" si="25"/>
        <v>2I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3</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2</v>
      </c>
      <c r="CX38" s="16">
        <f ca="1">CU38+COUNTIFS($CV$6:$CV$53,CV38,$CW$6:CW$53,"&gt;"&amp;CW38,$BC$6:$BC$53,INDEX(T_Equipos[Grupo],MATCH(BD38,T_Equipos[NombreEquipo],0)))</f>
        <v>2</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2</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2</v>
      </c>
      <c r="DE38" s="16"/>
      <c r="DF38" s="16">
        <f t="shared" ca="1" si="46"/>
        <v>2</v>
      </c>
      <c r="DG38" s="16" t="str">
        <f ca="1">IF(DB38="-","-",COUNTIFS(DF$6:DF$53,"&lt;"&amp;DF38,$BC$6:$BC$53,INDEX(T_Equipos[Grupo],MATCH(BD38,T_Equipos[NombreEquipo],0))))</f>
        <v>-</v>
      </c>
      <c r="DH38" s="16">
        <f ca="1">DA38+COUNTIFS(DB$6:DB$53,DB38,DG$6:DG$53,"&lt;"&amp;DG38,$BC$6:$BC$53,INDEX(T_Equipos[Grupo],MATCH(BD38,T_Equipos[NombreEquipo],0)))</f>
        <v>2</v>
      </c>
      <c r="DI38" s="16"/>
      <c r="DJ38" s="16">
        <f t="shared" ca="1" si="47"/>
        <v>1</v>
      </c>
      <c r="DK38" s="16">
        <f t="shared" ca="1" si="48"/>
        <v>4</v>
      </c>
      <c r="DL38" s="16">
        <f t="shared" ca="1" si="49"/>
        <v>1</v>
      </c>
      <c r="DM38" s="16" t="str">
        <f t="shared" ca="1" si="50"/>
        <v>1.1</v>
      </c>
      <c r="DN38" s="16">
        <f t="array" aca="1" ref="DN38" ca="1">OFFSET(Horarios!$P$3,DJ38-1,0,DL38,1)</f>
        <v>1</v>
      </c>
      <c r="DO38" s="16"/>
      <c r="DP38" s="16" t="s">
        <v>106</v>
      </c>
      <c r="DQ38" s="16" t="str">
        <f t="shared" ca="1" si="51"/>
        <v>Noruega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5"/>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Costa de Marfil</v>
      </c>
      <c r="AM39" s="38">
        <f t="shared" ca="1" si="115"/>
        <v>3</v>
      </c>
      <c r="AN39" s="39">
        <f t="shared" ca="1" si="115"/>
        <v>1</v>
      </c>
      <c r="AO39" s="39">
        <f t="shared" ca="1" si="115"/>
        <v>1</v>
      </c>
      <c r="AP39" s="39">
        <f t="shared" ca="1" si="115"/>
        <v>0</v>
      </c>
      <c r="AQ39" s="39">
        <f t="shared" ca="1" si="115"/>
        <v>0</v>
      </c>
      <c r="AR39" s="39">
        <f t="shared" ca="1" si="115"/>
        <v>1</v>
      </c>
      <c r="AS39" s="39">
        <f t="shared" ca="1" si="115"/>
        <v>0</v>
      </c>
      <c r="AT39" s="43">
        <f t="shared" ca="1" si="115"/>
        <v>1</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1</v>
      </c>
      <c r="BG39" s="16">
        <f t="shared" ca="1" si="18"/>
        <v>0</v>
      </c>
      <c r="BH39" s="16">
        <f t="shared" ca="1" si="19"/>
        <v>0</v>
      </c>
      <c r="BI39" s="16">
        <f t="shared" ca="1" si="20"/>
        <v>1</v>
      </c>
      <c r="BJ39" s="16">
        <f t="shared" ca="1" si="21"/>
        <v>1</v>
      </c>
      <c r="BK39" s="16">
        <f t="shared" ca="1" si="22"/>
        <v>3</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P.3 (2)</v>
      </c>
      <c r="BU39" s="16">
        <f t="shared" ca="1" si="28"/>
        <v>0</v>
      </c>
      <c r="BV39" s="16">
        <f t="shared" ca="1" si="29"/>
        <v>0</v>
      </c>
      <c r="BW39" s="16">
        <f t="shared" ca="1" si="30"/>
        <v>0</v>
      </c>
      <c r="BX39" s="16">
        <f t="shared" ca="1" si="31"/>
        <v>0</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P.3 (2)</v>
      </c>
      <c r="CA39" s="16">
        <f t="shared" ca="1" si="32"/>
        <v>0</v>
      </c>
      <c r="CB39" s="16">
        <f t="shared" ca="1" si="33"/>
        <v>0</v>
      </c>
      <c r="CC39" s="16">
        <f t="shared" ca="1" si="34"/>
        <v>0</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P.3 (2)</v>
      </c>
      <c r="CF39" s="16">
        <f t="shared" ca="1" si="35"/>
        <v>0</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P.3 (2)</v>
      </c>
      <c r="CI39" s="16">
        <f t="shared" ca="1" si="36"/>
        <v>0</v>
      </c>
      <c r="CJ39" s="16">
        <f t="shared" ca="1" si="37"/>
        <v>0</v>
      </c>
      <c r="CK39" s="16">
        <f t="shared" ca="1" si="38"/>
        <v>0</v>
      </c>
      <c r="CL39" s="16">
        <f t="shared" ca="1" si="39"/>
        <v>0</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P.3 (2)</v>
      </c>
      <c r="CO39" s="16">
        <f t="shared" ca="1" si="40"/>
        <v>0</v>
      </c>
      <c r="CP39" s="16">
        <f t="shared" ca="1" si="41"/>
        <v>0</v>
      </c>
      <c r="CQ39" s="16">
        <f t="shared" ca="1" si="42"/>
        <v>0</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P.3 (2)</v>
      </c>
      <c r="CT39" s="16">
        <f t="shared" ca="1" si="43"/>
        <v>0</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P.3 (2)</v>
      </c>
      <c r="CW39" s="16">
        <f t="shared" ca="1" si="44"/>
        <v>-2</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4</v>
      </c>
      <c r="DL39" s="16">
        <f t="shared" ca="1" si="49"/>
        <v>1</v>
      </c>
      <c r="DM39" s="16" t="str">
        <f t="shared" ca="1" si="50"/>
        <v>2.1</v>
      </c>
      <c r="DN39" s="16">
        <f t="array" aca="1" ref="DN39" ca="1">OFFSET(Horarios!$P$3,DJ39-1,0,DL39,1)</f>
        <v>2</v>
      </c>
      <c r="DO39" s="16"/>
      <c r="DP39" s="16" t="s">
        <v>107</v>
      </c>
      <c r="DQ39" s="16" t="str">
        <f t="shared" ca="1" si="51"/>
        <v>Francia</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5"/>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Ecuador</v>
      </c>
      <c r="AM40" s="38">
        <f t="shared" ca="1" si="115"/>
        <v>0</v>
      </c>
      <c r="AN40" s="39">
        <f t="shared" ca="1" si="115"/>
        <v>1</v>
      </c>
      <c r="AO40" s="39">
        <f t="shared" ca="1" si="115"/>
        <v>0</v>
      </c>
      <c r="AP40" s="39">
        <f t="shared" ca="1" si="115"/>
        <v>0</v>
      </c>
      <c r="AQ40" s="39">
        <f t="shared" ca="1" si="115"/>
        <v>1</v>
      </c>
      <c r="AR40" s="39">
        <f t="shared" ca="1" si="115"/>
        <v>0</v>
      </c>
      <c r="AS40" s="39">
        <f t="shared" ca="1" si="115"/>
        <v>1</v>
      </c>
      <c r="AT40" s="43">
        <f t="shared" ca="1" si="115"/>
        <v>-1</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1</v>
      </c>
      <c r="BG40" s="16">
        <f t="shared" ca="1" si="18"/>
        <v>0</v>
      </c>
      <c r="BH40" s="16">
        <f t="shared" ca="1" si="19"/>
        <v>0</v>
      </c>
      <c r="BI40" s="16">
        <f t="shared" ca="1" si="20"/>
        <v>1</v>
      </c>
      <c r="BJ40" s="16">
        <f t="shared" ca="1" si="21"/>
        <v>1</v>
      </c>
      <c r="BK40" s="16">
        <f t="shared" ca="1" si="22"/>
        <v>4</v>
      </c>
      <c r="BL40" s="16">
        <f t="shared" ca="1" si="23"/>
        <v>-3</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3</v>
      </c>
      <c r="BT40" s="16" t="str">
        <f ca="1">IF(COUNTIFS($BS$6:$BS$53,BS40,$BC$6:$BC$53,INDEX(T_Equipos[Grupo],MATCH(BD40,T_Equipos[NombreEquipo],0)))=1,"-","P."&amp;BS40&amp;" ("&amp;COUNTIFS($BS$6:$BS$53,BS40,$BC$6:$BC$53,INDEX(T_Equipos[Grupo],MATCH(BD40,T_Equipos[NombreEquipo],0)))&amp;")")</f>
        <v>P.3 (2)</v>
      </c>
      <c r="BU40" s="16">
        <f t="shared" ca="1" si="28"/>
        <v>0</v>
      </c>
      <c r="BV40" s="16">
        <f t="shared" ca="1" si="29"/>
        <v>0</v>
      </c>
      <c r="BW40" s="16">
        <f t="shared" ca="1" si="30"/>
        <v>0</v>
      </c>
      <c r="BX40" s="16">
        <f t="shared" ca="1" si="31"/>
        <v>0</v>
      </c>
      <c r="BY40" s="16">
        <f ca="1">BS40+COUNTIFS($BT$6:$BT$53,BT40,$BX$6:BX$53,"&gt;"&amp;BX40,$BC$6:$BC$53,INDEX(T_Equipos[Grupo],MATCH(BD40,T_Equipos[NombreEquipo],0)))</f>
        <v>3</v>
      </c>
      <c r="BZ40" s="16" t="str">
        <f ca="1">IF(COUNTIFS($BY$6:$BY$53,BY40,$BC$6:$BC$53,INDEX(T_Equipos[Grupo],MATCH(BD40,T_Equipos[NombreEquipo],0)))=1,"-","P."&amp;BY40&amp;" ("&amp;COUNTIFS($BY$6:$BY$53,BY40,$BC$6:$BC$53,INDEX(T_Equipos[Grupo],MATCH(BD40,T_Equipos[NombreEquipo],0)))&amp;")")</f>
        <v>P.3 (2)</v>
      </c>
      <c r="CA40" s="16">
        <f t="shared" ca="1" si="32"/>
        <v>0</v>
      </c>
      <c r="CB40" s="16">
        <f t="shared" ca="1" si="33"/>
        <v>0</v>
      </c>
      <c r="CC40" s="16">
        <f t="shared" ca="1" si="34"/>
        <v>0</v>
      </c>
      <c r="CD40" s="16">
        <f ca="1">BY40+COUNTIFS($BZ$6:$BZ$53,BZ40,$CC$6:CC$53,"&gt;"&amp;CC40,$BC$6:$BC$53,INDEX(T_Equipos[Grupo],MATCH(BD40,T_Equipos[NombreEquipo],0)))</f>
        <v>3</v>
      </c>
      <c r="CE40" s="16" t="str">
        <f ca="1">IF(COUNTIFS($CD$6:$CD$53,CD40,$BC$6:$BC$53,INDEX(T_Equipos[Grupo],MATCH(BD40,T_Equipos[NombreEquipo],0)))=1,"-","P."&amp;CD40&amp;" ("&amp;COUNTIFS($CD$6:$CD$53,CD40,$BC$6:$BC$53,INDEX(T_Equipos[Grupo],MATCH(BD40,T_Equipos[NombreEquipo],0)))&amp;")")</f>
        <v>P.3 (2)</v>
      </c>
      <c r="CF40" s="16">
        <f t="shared" ca="1" si="35"/>
        <v>0</v>
      </c>
      <c r="CG40" s="16">
        <f ca="1">CD40+COUNTIFS($CE$6:$CE$53,CE40,$CF$6:CF$53,"&gt;"&amp;CF40,$BC$6:$BC$53,INDEX(T_Equipos[Grupo],MATCH(BD40,T_Equipos[NombreEquipo],0)))</f>
        <v>3</v>
      </c>
      <c r="CH40" s="16" t="str">
        <f ca="1">IF(COUNTIFS($CG$6:$CG$53,CG40,$BC$6:$BC$53,INDEX(T_Equipos[Grupo],MATCH(BD40,T_Equipos[NombreEquipo],0)))=1,"-","P."&amp;CG40&amp;" ("&amp;COUNTIFS($CG$6:$CG$53,CG40,$BC$6:$BC$53,INDEX(T_Equipos[Grupo],MATCH(BD40,T_Equipos[NombreEquipo],0)))&amp;")")</f>
        <v>P.3 (2)</v>
      </c>
      <c r="CI40" s="16">
        <f t="shared" ca="1" si="36"/>
        <v>0</v>
      </c>
      <c r="CJ40" s="16">
        <f t="shared" ca="1" si="37"/>
        <v>0</v>
      </c>
      <c r="CK40" s="16">
        <f t="shared" ca="1" si="38"/>
        <v>0</v>
      </c>
      <c r="CL40" s="16">
        <f t="shared" ca="1" si="39"/>
        <v>0</v>
      </c>
      <c r="CM40" s="16">
        <f ca="1">CG40+COUNTIFS($CH$6:$CH$53,CH40,$CL$6:CL$53,"&gt;"&amp;CL40,$BC$6:$BC$53,INDEX(T_Equipos[Grupo],MATCH(BD40,T_Equipos[NombreEquipo],0)))</f>
        <v>3</v>
      </c>
      <c r="CN40" s="16" t="str">
        <f ca="1">IF(COUNTIFS($CM$6:$CM$53,CM40,$BC$6:$BC$53,INDEX(T_Equipos[Grupo],MATCH(BD40,T_Equipos[NombreEquipo],0)))=1,"-","P."&amp;CM40&amp;" ("&amp;COUNTIFS($CM$6:$CM$53,CM40,$BC$6:$BC$53,INDEX(T_Equipos[Grupo],MATCH(BD40,T_Equipos[NombreEquipo],0)))&amp;")")</f>
        <v>P.3 (2)</v>
      </c>
      <c r="CO40" s="16">
        <f t="shared" ca="1" si="40"/>
        <v>0</v>
      </c>
      <c r="CP40" s="16">
        <f t="shared" ca="1" si="41"/>
        <v>0</v>
      </c>
      <c r="CQ40" s="16">
        <f t="shared" ca="1" si="42"/>
        <v>0</v>
      </c>
      <c r="CR40" s="16">
        <f ca="1">CM40+COUNTIFS($CN$6:$CN$53,CN40,$CQ$6:CQ$53,"&gt;"&amp;CQ40,$BC$6:$BC$53,INDEX(T_Equipos[Grupo],MATCH(BD40,T_Equipos[NombreEquipo],0)))</f>
        <v>3</v>
      </c>
      <c r="CS40" s="16" t="str">
        <f ca="1">IF(COUNTIFS($CR$6:$CR$53,CR40,$BC$6:$BC$53,INDEX(T_Equipos[Grupo],MATCH(BD40,T_Equipos[NombreEquipo],0)))=1,"-","P."&amp;CR40&amp;" ("&amp;COUNTIFS($CR$6:$CR$53,CR40,$BC$6:$BC$53,INDEX(T_Equipos[Grupo],MATCH(BD40,T_Equipos[NombreEquipo],0)))&amp;")")</f>
        <v>P.3 (2)</v>
      </c>
      <c r="CT40" s="16">
        <f t="shared" ca="1" si="43"/>
        <v>0</v>
      </c>
      <c r="CU40" s="16">
        <f ca="1">CR40+COUNTIFS($CS$6:$CS$53,CS40,$CT$6:CT$53,"&gt;"&amp;CT40,$BC$6:$BC$53,INDEX(T_Equipos[Grupo],MATCH(BD40,T_Equipos[NombreEquipo],0)))</f>
        <v>3</v>
      </c>
      <c r="CV40" s="16" t="str">
        <f ca="1">IF(COUNTIFS($CU$6:$CU$53,CU40,$BC$6:$BC$53,INDEX(T_Equipos[Grupo],MATCH(BD40,T_Equipos[NombreEquipo],0)))=1,"-","P."&amp;CU40&amp;" ("&amp;COUNTIFS($CU$6:$CU$53,CU40,$BC$6:$BC$53,INDEX(T_Equipos[Grupo],MATCH(BD40,T_Equipos[NombreEquipo],0)))&amp;")")</f>
        <v>P.3 (2)</v>
      </c>
      <c r="CW40" s="16">
        <f t="shared" ca="1" si="44"/>
        <v>-3</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4</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6"/>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1</v>
      </c>
      <c r="AO41" s="47">
        <f t="shared" ca="1" si="115"/>
        <v>0</v>
      </c>
      <c r="AP41" s="47">
        <f t="shared" ca="1" si="115"/>
        <v>0</v>
      </c>
      <c r="AQ41" s="47">
        <f t="shared" ca="1" si="115"/>
        <v>1</v>
      </c>
      <c r="AR41" s="47">
        <f t="shared" ca="1" si="115"/>
        <v>1</v>
      </c>
      <c r="AS41" s="47">
        <f t="shared" ca="1" si="115"/>
        <v>7</v>
      </c>
      <c r="AT41" s="48">
        <f t="shared" ca="1" si="115"/>
        <v>-6</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3</v>
      </c>
      <c r="BF41" s="16">
        <f t="shared" ca="1" si="17"/>
        <v>1</v>
      </c>
      <c r="BG41" s="16">
        <f t="shared" ca="1" si="18"/>
        <v>1</v>
      </c>
      <c r="BH41" s="16">
        <f t="shared" ca="1" si="19"/>
        <v>0</v>
      </c>
      <c r="BI41" s="16">
        <f t="shared" ca="1" si="20"/>
        <v>0</v>
      </c>
      <c r="BJ41" s="16">
        <f t="shared" ca="1" si="21"/>
        <v>4</v>
      </c>
      <c r="BK41" s="16">
        <f t="shared" ca="1" si="22"/>
        <v>1</v>
      </c>
      <c r="BL41" s="16">
        <f t="shared" ca="1" si="23"/>
        <v>3</v>
      </c>
      <c r="BM41" s="16" t="str">
        <f t="shared" ca="1" si="24"/>
        <v>1I</v>
      </c>
      <c r="BN41" s="16" t="str">
        <f t="shared" ca="1" si="25"/>
        <v>1I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3</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1</v>
      </c>
      <c r="DE41" s="16"/>
      <c r="DF41" s="16">
        <f t="shared" ca="1" si="46"/>
        <v>1</v>
      </c>
      <c r="DG41" s="16" t="str">
        <f ca="1">IF(DB41="-","-",COUNTIFS(DF$6:DF$53,"&lt;"&amp;DF41,$BC$6:$BC$53,INDEX(T_Equipos[Grupo],MATCH(BD41,T_Equipos[NombreEquipo],0))))</f>
        <v>-</v>
      </c>
      <c r="DH41" s="16">
        <f ca="1">DA41+COUNTIFS(DB$6:DB$53,DB41,DG$6:DG$53,"&lt;"&amp;DG41,$BC$6:$BC$53,INDEX(T_Equipos[Grupo],MATCH(BD41,T_Equipos[NombreEquipo],0)))</f>
        <v>1</v>
      </c>
      <c r="DI41" s="16"/>
      <c r="DJ41" s="16">
        <f t="shared" ca="1" si="47"/>
        <v>4</v>
      </c>
      <c r="DK41" s="16">
        <f t="shared" ca="1" si="48"/>
        <v>4</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3</v>
      </c>
      <c r="BF42" s="16">
        <f t="shared" ca="1" si="17"/>
        <v>1</v>
      </c>
      <c r="BG42" s="16">
        <f t="shared" ca="1" si="18"/>
        <v>1</v>
      </c>
      <c r="BH42" s="16">
        <f t="shared" ca="1" si="19"/>
        <v>0</v>
      </c>
      <c r="BI42" s="16">
        <f t="shared" ca="1" si="20"/>
        <v>0</v>
      </c>
      <c r="BJ42" s="16">
        <f t="shared" ca="1" si="21"/>
        <v>3</v>
      </c>
      <c r="BK42" s="16">
        <f t="shared" ca="1" si="22"/>
        <v>0</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3</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4</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1</v>
      </c>
      <c r="BG43" s="16">
        <f t="shared" ca="1" si="18"/>
        <v>0</v>
      </c>
      <c r="BH43" s="16">
        <f t="shared" ca="1" si="19"/>
        <v>0</v>
      </c>
      <c r="BI43" s="16">
        <f t="shared" ca="1" si="20"/>
        <v>1</v>
      </c>
      <c r="BJ43" s="16">
        <f t="shared" ca="1" si="21"/>
        <v>0</v>
      </c>
      <c r="BK43" s="16">
        <f t="shared" ca="1" si="22"/>
        <v>3</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3</v>
      </c>
      <c r="BT43" s="16" t="str">
        <f ca="1">IF(COUNTIFS($BS$6:$BS$53,BS43,$BC$6:$BC$53,INDEX(T_Equipos[Grupo],MATCH(BD43,T_Equipos[NombreEquipo],0)))=1,"-","P."&amp;BS43&amp;" ("&amp;COUNTIFS($BS$6:$BS$53,BS43,$BC$6:$BC$53,INDEX(T_Equipos[Grupo],MATCH(BD43,T_Equipos[NombreEquipo],0)))&amp;")")</f>
        <v>P.3 (2)</v>
      </c>
      <c r="BU43" s="16">
        <f t="shared" ca="1" si="28"/>
        <v>0</v>
      </c>
      <c r="BV43" s="16">
        <f t="shared" ca="1" si="29"/>
        <v>0</v>
      </c>
      <c r="BW43" s="16">
        <f t="shared" ca="1" si="30"/>
        <v>0</v>
      </c>
      <c r="BX43" s="16">
        <f t="shared" ca="1" si="31"/>
        <v>0</v>
      </c>
      <c r="BY43" s="16">
        <f ca="1">BS43+COUNTIFS($BT$6:$BT$53,BT43,$BX$6:BX$53,"&gt;"&amp;BX43,$BC$6:$BC$53,INDEX(T_Equipos[Grupo],MATCH(BD43,T_Equipos[NombreEquipo],0)))</f>
        <v>3</v>
      </c>
      <c r="BZ43" s="16" t="str">
        <f ca="1">IF(COUNTIFS($BY$6:$BY$53,BY43,$BC$6:$BC$53,INDEX(T_Equipos[Grupo],MATCH(BD43,T_Equipos[NombreEquipo],0)))=1,"-","P."&amp;BY43&amp;" ("&amp;COUNTIFS($BY$6:$BY$53,BY43,$BC$6:$BC$53,INDEX(T_Equipos[Grupo],MATCH(BD43,T_Equipos[NombreEquipo],0)))&amp;")")</f>
        <v>P.3 (2)</v>
      </c>
      <c r="CA43" s="16">
        <f t="shared" ca="1" si="32"/>
        <v>0</v>
      </c>
      <c r="CB43" s="16">
        <f t="shared" ca="1" si="33"/>
        <v>0</v>
      </c>
      <c r="CC43" s="16">
        <f t="shared" ca="1" si="34"/>
        <v>0</v>
      </c>
      <c r="CD43" s="16">
        <f ca="1">BY43+COUNTIFS($BZ$6:$BZ$53,BZ43,$CC$6:CC$53,"&gt;"&amp;CC43,$BC$6:$BC$53,INDEX(T_Equipos[Grupo],MATCH(BD43,T_Equipos[NombreEquipo],0)))</f>
        <v>3</v>
      </c>
      <c r="CE43" s="16" t="str">
        <f ca="1">IF(COUNTIFS($CD$6:$CD$53,CD43,$BC$6:$BC$53,INDEX(T_Equipos[Grupo],MATCH(BD43,T_Equipos[NombreEquipo],0)))=1,"-","P."&amp;CD43&amp;" ("&amp;COUNTIFS($CD$6:$CD$53,CD43,$BC$6:$BC$53,INDEX(T_Equipos[Grupo],MATCH(BD43,T_Equipos[NombreEquipo],0)))&amp;")")</f>
        <v>P.3 (2)</v>
      </c>
      <c r="CF43" s="16">
        <f t="shared" ca="1" si="35"/>
        <v>0</v>
      </c>
      <c r="CG43" s="16">
        <f ca="1">CD43+COUNTIFS($CE$6:$CE$53,CE43,$CF$6:CF$53,"&gt;"&amp;CF43,$BC$6:$BC$53,INDEX(T_Equipos[Grupo],MATCH(BD43,T_Equipos[NombreEquipo],0)))</f>
        <v>3</v>
      </c>
      <c r="CH43" s="16" t="str">
        <f ca="1">IF(COUNTIFS($CG$6:$CG$53,CG43,$BC$6:$BC$53,INDEX(T_Equipos[Grupo],MATCH(BD43,T_Equipos[NombreEquipo],0)))=1,"-","P."&amp;CG43&amp;" ("&amp;COUNTIFS($CG$6:$CG$53,CG43,$BC$6:$BC$53,INDEX(T_Equipos[Grupo],MATCH(BD43,T_Equipos[NombreEquipo],0)))&amp;")")</f>
        <v>P.3 (2)</v>
      </c>
      <c r="CI43" s="16">
        <f t="shared" ca="1" si="36"/>
        <v>0</v>
      </c>
      <c r="CJ43" s="16">
        <f t="shared" ca="1" si="37"/>
        <v>0</v>
      </c>
      <c r="CK43" s="16">
        <f t="shared" ca="1" si="38"/>
        <v>0</v>
      </c>
      <c r="CL43" s="16">
        <f t="shared" ca="1" si="39"/>
        <v>0</v>
      </c>
      <c r="CM43" s="16">
        <f ca="1">CG43+COUNTIFS($CH$6:$CH$53,CH43,$CL$6:CL$53,"&gt;"&amp;CL43,$BC$6:$BC$53,INDEX(T_Equipos[Grupo],MATCH(BD43,T_Equipos[NombreEquipo],0)))</f>
        <v>3</v>
      </c>
      <c r="CN43" s="16" t="str">
        <f ca="1">IF(COUNTIFS($CM$6:$CM$53,CM43,$BC$6:$BC$53,INDEX(T_Equipos[Grupo],MATCH(BD43,T_Equipos[NombreEquipo],0)))=1,"-","P."&amp;CM43&amp;" ("&amp;COUNTIFS($CM$6:$CM$53,CM43,$BC$6:$BC$53,INDEX(T_Equipos[Grupo],MATCH(BD43,T_Equipos[NombreEquipo],0)))&amp;")")</f>
        <v>P.3 (2)</v>
      </c>
      <c r="CO43" s="16">
        <f t="shared" ca="1" si="40"/>
        <v>0</v>
      </c>
      <c r="CP43" s="16">
        <f t="shared" ca="1" si="41"/>
        <v>0</v>
      </c>
      <c r="CQ43" s="16">
        <f t="shared" ca="1" si="42"/>
        <v>0</v>
      </c>
      <c r="CR43" s="16">
        <f ca="1">CM43+COUNTIFS($CN$6:$CN$53,CN43,$CQ$6:CQ$53,"&gt;"&amp;CQ43,$BC$6:$BC$53,INDEX(T_Equipos[Grupo],MATCH(BD43,T_Equipos[NombreEquipo],0)))</f>
        <v>3</v>
      </c>
      <c r="CS43" s="16" t="str">
        <f ca="1">IF(COUNTIFS($CR$6:$CR$53,CR43,$BC$6:$BC$53,INDEX(T_Equipos[Grupo],MATCH(BD43,T_Equipos[NombreEquipo],0)))=1,"-","P."&amp;CR43&amp;" ("&amp;COUNTIFS($CR$6:$CR$53,CR43,$BC$6:$BC$53,INDEX(T_Equipos[Grupo],MATCH(BD43,T_Equipos[NombreEquipo],0)))&amp;")")</f>
        <v>P.3 (2)</v>
      </c>
      <c r="CT43" s="16">
        <f t="shared" ca="1" si="43"/>
        <v>0</v>
      </c>
      <c r="CU43" s="16">
        <f ca="1">CR43+COUNTIFS($CS$6:$CS$53,CS43,$CT$6:CT$53,"&gt;"&amp;CT43,$BC$6:$BC$53,INDEX(T_Equipos[Grupo],MATCH(BD43,T_Equipos[NombreEquipo],0)))</f>
        <v>3</v>
      </c>
      <c r="CV43" s="16" t="str">
        <f ca="1">IF(COUNTIFS($CU$6:$CU$53,CU43,$BC$6:$BC$53,INDEX(T_Equipos[Grupo],MATCH(BD43,T_Equipos[NombreEquipo],0)))=1,"-","P."&amp;CU43&amp;" ("&amp;COUNTIFS($CU$6:$CU$53,CU43,$BC$6:$BC$53,INDEX(T_Equipos[Grupo],MATCH(BD43,T_Equipos[NombreEquipo],0)))&amp;")")</f>
        <v>P.3 (2)</v>
      </c>
      <c r="CW43" s="16">
        <f t="shared" ca="1" si="44"/>
        <v>-3</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4</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P.2 (2)</v>
      </c>
      <c r="F44" s="16" t="str">
        <f t="shared" ref="F44:F49" ca="1" si="118">IF(D44="Pendiente","-",INDEX($BT$6:$BT$53,MATCH($AF44,$BD$6:$BD$53,0)))</f>
        <v>P.2 (2)</v>
      </c>
      <c r="G44" s="16"/>
      <c r="H44" s="16" t="str">
        <f t="shared" ref="H44:H49" ca="1" si="119">IF(D44="Pendiente","-",INDEX($BZ$6:$BZ$53,MATCH($AA44,$BD$6:$BD$53,0)))</f>
        <v>P.2 (2)</v>
      </c>
      <c r="I44" s="16" t="str">
        <f t="shared" ref="I44:I49" ca="1" si="120">IF(D44="Pendiente","-",INDEX($BZ$6:$BZ$53,MATCH($AF44,$BD$6:$BD$53,0)))</f>
        <v>P.2 (2)</v>
      </c>
      <c r="J44" s="16"/>
      <c r="K44" s="16" t="str">
        <f t="shared" ref="K44:K49" ca="1" si="121">IF(D44="Pendiente","-",INDEX($CE$6:$CE$53,MATCH($AA44,$BD$6:$BD$53,0)))</f>
        <v>P.2 (2)</v>
      </c>
      <c r="L44" s="16" t="str">
        <f t="shared" ref="L44:L49" ca="1" si="122">IF(D44="Pendiente","-",INDEX($CE$6:$CE$53,MATCH($AF44,$BD$6:$BD$53,0)))</f>
        <v>P.2 (2)</v>
      </c>
      <c r="M44" s="16"/>
      <c r="N44" s="16" t="str">
        <f t="shared" ref="N44:N49" ca="1" si="123">IF(D44="Pendiente","-",INDEX($CH$6:$CH$53,MATCH($AA44,$BD$6:$BD$53,0)))</f>
        <v>P.2 (2)</v>
      </c>
      <c r="O44" s="16" t="str">
        <f t="shared" ref="O44:O49" ca="1" si="124">IF(D44="Pendiente","-",INDEX($CH$6:$CH$53,MATCH($AF44,$BD$6:$BD$53,0)))</f>
        <v>P.2 (2)</v>
      </c>
      <c r="P44" s="16"/>
      <c r="Q44" s="16" t="str">
        <f t="shared" ref="Q44:Q49" ca="1" si="125">IF(D44="Pendiente","-",INDEX($CN$6:$CN$53,MATCH($AA44,$BD$6:$BD$53,0)))</f>
        <v>P.2 (2)</v>
      </c>
      <c r="R44" s="16" t="str">
        <f t="shared" ref="R44:R49" ca="1" si="126">IF(D44="Pendiente","-",INDEX($CN$6:$CN$53,MATCH($AF44,$BD$6:$BD$53,0)))</f>
        <v>P.2 (2)</v>
      </c>
      <c r="S44" s="16"/>
      <c r="T44" s="16" t="str">
        <f t="shared" ref="T44:T49" ca="1" si="127">IF(D44="Pendiente","-",INDEX($CS$6:$CS$53,MATCH($AA44,$BD$6:$BD$53,0)))</f>
        <v>P.2 (2)</v>
      </c>
      <c r="U44" s="16" t="str">
        <f t="shared" ref="U44:U49" ca="1" si="128">IF(D44="Pendiente","-",INDEX($CS$6:$CS$53,MATCH($AF44,$BD$6:$BD$53,0)))</f>
        <v>P.2 (2)</v>
      </c>
      <c r="V44" s="17"/>
      <c r="W44" s="634"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3</v>
      </c>
      <c r="BF44" s="16">
        <f t="shared" ca="1" si="17"/>
        <v>1</v>
      </c>
      <c r="BG44" s="16">
        <f t="shared" ca="1" si="18"/>
        <v>1</v>
      </c>
      <c r="BH44" s="16">
        <f t="shared" ca="1" si="19"/>
        <v>0</v>
      </c>
      <c r="BI44" s="16">
        <f t="shared" ca="1" si="20"/>
        <v>0</v>
      </c>
      <c r="BJ44" s="16">
        <f t="shared" ca="1" si="21"/>
        <v>3</v>
      </c>
      <c r="BK44" s="16">
        <f t="shared" ca="1" si="22"/>
        <v>1</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3</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4</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5"/>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1</v>
      </c>
      <c r="BG45" s="16">
        <f t="shared" ca="1" si="18"/>
        <v>0</v>
      </c>
      <c r="BH45" s="16">
        <f t="shared" ca="1" si="19"/>
        <v>0</v>
      </c>
      <c r="BI45" s="16">
        <f t="shared" ca="1" si="20"/>
        <v>1</v>
      </c>
      <c r="BJ45" s="16">
        <f t="shared" ca="1" si="21"/>
        <v>1</v>
      </c>
      <c r="BK45" s="16">
        <f t="shared" ca="1" si="22"/>
        <v>3</v>
      </c>
      <c r="BL45" s="16">
        <f t="shared" ca="1" si="23"/>
        <v>-2</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0</v>
      </c>
      <c r="BW45" s="16">
        <f t="shared" ca="1" si="30"/>
        <v>0</v>
      </c>
      <c r="BX45" s="16">
        <f t="shared" ca="1" si="31"/>
        <v>0</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0</v>
      </c>
      <c r="CK45" s="16">
        <f t="shared" ca="1" si="38"/>
        <v>0</v>
      </c>
      <c r="CL45" s="16">
        <f t="shared" ca="1" si="39"/>
        <v>0</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-2</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4</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5"/>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Suecia</v>
      </c>
      <c r="AM46" s="35">
        <f t="shared" ref="AM46:AT49" ca="1" si="131">INDEX($BE$6:$BN$53,MATCH($AL46,$BD$6:$BD$53,0),MATCH(AM$5,$BE$5:$BN$5,0))</f>
        <v>3</v>
      </c>
      <c r="AN46" s="36">
        <f t="shared" ca="1" si="131"/>
        <v>1</v>
      </c>
      <c r="AO46" s="36">
        <f t="shared" ca="1" si="131"/>
        <v>1</v>
      </c>
      <c r="AP46" s="36">
        <f t="shared" ca="1" si="131"/>
        <v>0</v>
      </c>
      <c r="AQ46" s="36">
        <f t="shared" ca="1" si="131"/>
        <v>0</v>
      </c>
      <c r="AR46" s="36">
        <f t="shared" ca="1" si="131"/>
        <v>5</v>
      </c>
      <c r="AS46" s="36">
        <f t="shared" ca="1" si="131"/>
        <v>1</v>
      </c>
      <c r="AT46" s="41">
        <f t="shared" ca="1" si="131"/>
        <v>4</v>
      </c>
      <c r="AU46" s="323">
        <f ca="1">INDEX($DL$6:$DL$53,MATCH(AI46,$DP$6:$DP$53,0))</f>
        <v>1</v>
      </c>
      <c r="AV46" s="182" t="str">
        <f ca="1">INDEX($BD$6:$BD$53,MATCH(AI46,$BM$6:$BM$53,0))</f>
        <v>Suecia</v>
      </c>
      <c r="AW46" s="210"/>
      <c r="AX46" s="171"/>
      <c r="AY46" s="201" t="str">
        <f ca="1">+A45</f>
        <v>Países Bajos</v>
      </c>
      <c r="AZ46" s="202"/>
      <c r="BA46" s="176"/>
      <c r="BC46" s="16" t="str">
        <f ca="1">+INDEX(T_Equipos[Grupo],MATCH(WORLDCUP!BD46,T_Equipos[NombreEquipo],0))</f>
        <v>K</v>
      </c>
      <c r="BD46" s="16" t="str">
        <f ca="1">+Equipos!B42</f>
        <v>Portugal</v>
      </c>
      <c r="BE46" s="16">
        <f t="shared" ca="1" si="16"/>
        <v>1</v>
      </c>
      <c r="BF46" s="16">
        <f t="shared" ca="1" si="17"/>
        <v>1</v>
      </c>
      <c r="BG46" s="16">
        <f t="shared" ca="1" si="18"/>
        <v>0</v>
      </c>
      <c r="BH46" s="16">
        <f t="shared" ca="1" si="19"/>
        <v>1</v>
      </c>
      <c r="BI46" s="16">
        <f t="shared" ca="1" si="20"/>
        <v>0</v>
      </c>
      <c r="BJ46" s="16">
        <f t="shared" ca="1" si="21"/>
        <v>1</v>
      </c>
      <c r="BK46" s="16">
        <f t="shared" ca="1" si="22"/>
        <v>1</v>
      </c>
      <c r="BL46" s="16">
        <f t="shared" ca="1" si="23"/>
        <v>0</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1</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P.2 (2)</v>
      </c>
      <c r="BU46" s="16">
        <f t="shared" ca="1" si="28"/>
        <v>0</v>
      </c>
      <c r="BV46" s="16">
        <f t="shared" ca="1" si="29"/>
        <v>1</v>
      </c>
      <c r="BW46" s="16">
        <f t="shared" ca="1" si="30"/>
        <v>0</v>
      </c>
      <c r="BX46" s="16">
        <f t="shared" ca="1" si="31"/>
        <v>1</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P.2 (2)</v>
      </c>
      <c r="CA46" s="16">
        <f t="shared" ca="1" si="32"/>
        <v>1</v>
      </c>
      <c r="CB46" s="16">
        <f t="shared" ca="1" si="33"/>
        <v>1</v>
      </c>
      <c r="CC46" s="16">
        <f t="shared" ca="1" si="34"/>
        <v>0</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P.2 (2)</v>
      </c>
      <c r="CF46" s="16">
        <f t="shared" ca="1" si="35"/>
        <v>1</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P.2 (2)</v>
      </c>
      <c r="CI46" s="16">
        <f t="shared" ca="1" si="36"/>
        <v>0</v>
      </c>
      <c r="CJ46" s="16">
        <f t="shared" ca="1" si="37"/>
        <v>1</v>
      </c>
      <c r="CK46" s="16">
        <f t="shared" ca="1" si="38"/>
        <v>0</v>
      </c>
      <c r="CL46" s="16">
        <f t="shared" ca="1" si="39"/>
        <v>1</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P.2 (2)</v>
      </c>
      <c r="CO46" s="16">
        <f t="shared" ca="1" si="40"/>
        <v>1</v>
      </c>
      <c r="CP46" s="16">
        <f t="shared" ca="1" si="41"/>
        <v>1</v>
      </c>
      <c r="CQ46" s="16">
        <f t="shared" ca="1" si="42"/>
        <v>0</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P.2 (2)</v>
      </c>
      <c r="CT46" s="16">
        <f t="shared" ca="1" si="43"/>
        <v>1</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P.2 (2)</v>
      </c>
      <c r="CW46" s="16">
        <f t="shared" ca="1" si="44"/>
        <v>0</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P.2 (2)</v>
      </c>
      <c r="CZ46" s="16">
        <f t="shared" ca="1" si="45"/>
        <v>1</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P.2 (2)</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2</v>
      </c>
      <c r="DE46" s="16"/>
      <c r="DF46" s="16">
        <f t="shared" ca="1" si="46"/>
        <v>2</v>
      </c>
      <c r="DG46" s="16">
        <f ca="1">IF(DB46="-","-",COUNTIFS(DF$6:DF$53,"&lt;"&amp;DF46,$BC$6:$BC$53,INDEX(T_Equipos[Grupo],MATCH(BD46,T_Equipos[NombreEquipo],0))))</f>
        <v>1</v>
      </c>
      <c r="DH46" s="16">
        <f ca="1">DA46+COUNTIFS(DB$6:DB$53,DB46,DG$6:DG$53,"&lt;"&amp;DG46,$BC$6:$BC$53,INDEX(T_Equipos[Grupo],MATCH(BD46,T_Equipos[NombreEquipo],0)))</f>
        <v>2</v>
      </c>
      <c r="DI46" s="16"/>
      <c r="DJ46" s="16">
        <f t="shared" ca="1" si="47"/>
        <v>1</v>
      </c>
      <c r="DK46" s="16">
        <f t="shared" ca="1" si="48"/>
        <v>4</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5"/>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Países Bajos</v>
      </c>
      <c r="AM47" s="38">
        <f t="shared" ca="1" si="131"/>
        <v>1</v>
      </c>
      <c r="AN47" s="39">
        <f t="shared" ca="1" si="131"/>
        <v>1</v>
      </c>
      <c r="AO47" s="39">
        <f t="shared" ca="1" si="131"/>
        <v>0</v>
      </c>
      <c r="AP47" s="39">
        <f t="shared" ca="1" si="131"/>
        <v>1</v>
      </c>
      <c r="AQ47" s="39">
        <f t="shared" ca="1" si="131"/>
        <v>0</v>
      </c>
      <c r="AR47" s="39">
        <f t="shared" ca="1" si="131"/>
        <v>2</v>
      </c>
      <c r="AS47" s="39">
        <f t="shared" ca="1" si="131"/>
        <v>2</v>
      </c>
      <c r="AT47" s="43">
        <f t="shared" ca="1" si="131"/>
        <v>0</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1</v>
      </c>
      <c r="BF47" s="16">
        <f t="shared" ca="1" si="17"/>
        <v>1</v>
      </c>
      <c r="BG47" s="16">
        <f t="shared" ca="1" si="18"/>
        <v>0</v>
      </c>
      <c r="BH47" s="16">
        <f t="shared" ca="1" si="19"/>
        <v>1</v>
      </c>
      <c r="BI47" s="16">
        <f t="shared" ca="1" si="20"/>
        <v>0</v>
      </c>
      <c r="BJ47" s="16">
        <f t="shared" ca="1" si="21"/>
        <v>1</v>
      </c>
      <c r="BK47" s="16">
        <f t="shared" ca="1" si="22"/>
        <v>1</v>
      </c>
      <c r="BL47" s="16">
        <f t="shared" ca="1" si="23"/>
        <v>0</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1</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0</v>
      </c>
      <c r="CX47" s="16">
        <f ca="1">CU47+COUNTIFS($CV$6:$CV$53,CV47,$CW$6:CW$53,"&gt;"&amp;CW47,$BC$6:$BC$53,INDEX(T_Equipos[Grupo],MATCH(BD47,T_Equipos[NombreEquipo],0)))</f>
        <v>2</v>
      </c>
      <c r="CY47" s="16" t="str">
        <f ca="1">IF(COUNTIFS($CX$6:$CX$53,CX47,$BC$6:$BC$53,INDEX(T_Equipos[Grupo],MATCH(BD47,T_Equipos[NombreEquipo],0)))=1,"-","P."&amp;CX47&amp;" ("&amp;COUNTIFS($CX$6:$CX$53,CX47,$BC$6:$BC$53,INDEX(T_Equipos[Grupo],MATCH(BD47,T_Equipos[NombreEquipo],0)))&amp;")")</f>
        <v>P.2 (2)</v>
      </c>
      <c r="CZ47" s="16">
        <f t="shared" ca="1" si="45"/>
        <v>1</v>
      </c>
      <c r="DA47" s="16">
        <f ca="1">CX47+COUNTIFS($CY$6:$CY$53,CY47,$CZ$6:CZ$53,"&gt;"&amp;CZ47,$BC$6:$BC$53,INDEX(T_Equipos[Grupo],MATCH(BD47,T_Equipos[NombreEquipo],0)))</f>
        <v>2</v>
      </c>
      <c r="DB47" s="16" t="str">
        <f ca="1">IF(COUNTIFS($DA$6:$DA$53,DA47,$BC$6:$BC$53,INDEX(T_Equipos[Grupo],MATCH(BD47,T_Equipos[NombreEquipo],0)))=1,"-","P."&amp;DA47&amp;" ("&amp;COUNTIFS($DA$6:$DA$53,DA47,$BC$6:$BC$53,INDEX(T_Equipos[Grupo],MATCH(BD47,T_Equipos[NombreEquipo],0)))&amp;")")</f>
        <v>P.2 (2)</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3</v>
      </c>
      <c r="DE47" s="16"/>
      <c r="DF47" s="16">
        <f t="shared" ca="1" si="46"/>
        <v>3</v>
      </c>
      <c r="DG47" s="16">
        <f ca="1">IF(DB47="-","-",COUNTIFS(DF$6:DF$53,"&lt;"&amp;DF47,$BC$6:$BC$53,INDEX(T_Equipos[Grupo],MATCH(BD47,T_Equipos[NombreEquipo],0))))</f>
        <v>2</v>
      </c>
      <c r="DH47" s="16">
        <f ca="1">DA47+COUNTIFS(DB$6:DB$53,DB47,DG$6:DG$53,"&lt;"&amp;DG47,$BC$6:$BC$53,INDEX(T_Equipos[Grupo],MATCH(BD47,T_Equipos[NombreEquipo],0)))</f>
        <v>3</v>
      </c>
      <c r="DI47" s="16"/>
      <c r="DJ47" s="16">
        <f t="shared" ca="1" si="47"/>
        <v>2</v>
      </c>
      <c r="DK47" s="16">
        <f t="shared" ca="1" si="48"/>
        <v>4</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5"/>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Japón</v>
      </c>
      <c r="AM48" s="38">
        <f t="shared" ca="1" si="131"/>
        <v>1</v>
      </c>
      <c r="AN48" s="39">
        <f t="shared" ca="1" si="131"/>
        <v>1</v>
      </c>
      <c r="AO48" s="39">
        <f t="shared" ca="1" si="131"/>
        <v>0</v>
      </c>
      <c r="AP48" s="39">
        <f t="shared" ca="1" si="131"/>
        <v>1</v>
      </c>
      <c r="AQ48" s="39">
        <f t="shared" ca="1" si="131"/>
        <v>0</v>
      </c>
      <c r="AR48" s="39">
        <f t="shared" ca="1" si="131"/>
        <v>2</v>
      </c>
      <c r="AS48" s="39">
        <f t="shared" ca="1" si="131"/>
        <v>2</v>
      </c>
      <c r="AT48" s="43">
        <f t="shared" ca="1" si="131"/>
        <v>0</v>
      </c>
      <c r="AU48" s="323">
        <f ca="1">INDEX($DL$6:$DL$53,MATCH(AI48,$DP$6:$DP$53,0))</f>
        <v>1</v>
      </c>
      <c r="AV48" s="182" t="str">
        <f ca="1">INDEX($BD$6:$BD$53,MATCH(AI48,$BM$6:$BM$53,0))</f>
        <v>Japón</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1</v>
      </c>
      <c r="BG48" s="16">
        <f t="shared" ca="1" si="18"/>
        <v>0</v>
      </c>
      <c r="BH48" s="16">
        <f t="shared" ca="1" si="19"/>
        <v>0</v>
      </c>
      <c r="BI48" s="16">
        <f t="shared" ca="1" si="20"/>
        <v>1</v>
      </c>
      <c r="BJ48" s="16">
        <f t="shared" ca="1" si="21"/>
        <v>1</v>
      </c>
      <c r="BK48" s="16">
        <f t="shared" ca="1" si="22"/>
        <v>3</v>
      </c>
      <c r="BL48" s="16">
        <f t="shared" ca="1" si="23"/>
        <v>-2</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2</v>
      </c>
      <c r="DK48" s="16">
        <f t="shared" ca="1" si="48"/>
        <v>4</v>
      </c>
      <c r="DL48" s="16">
        <f t="shared" ca="1" si="49"/>
        <v>1</v>
      </c>
      <c r="DM48" s="16" t="str">
        <f t="shared" ca="1" si="50"/>
        <v>2.1</v>
      </c>
      <c r="DN48" s="16">
        <f t="array" aca="1" ref="DN48" ca="1">OFFSET(Horarios!$P$3,DJ48-1,0,DL48,1)</f>
        <v>2</v>
      </c>
      <c r="DO48" s="16"/>
      <c r="DP48" s="16" t="s">
        <v>117</v>
      </c>
      <c r="DQ48" s="16" t="str">
        <f t="shared" ca="1" si="51"/>
        <v>RD Congo</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6"/>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1</v>
      </c>
      <c r="AO49" s="47">
        <f t="shared" ca="1" si="131"/>
        <v>0</v>
      </c>
      <c r="AP49" s="47">
        <f t="shared" ca="1" si="131"/>
        <v>0</v>
      </c>
      <c r="AQ49" s="47">
        <f t="shared" ca="1" si="131"/>
        <v>1</v>
      </c>
      <c r="AR49" s="47">
        <f t="shared" ca="1" si="131"/>
        <v>1</v>
      </c>
      <c r="AS49" s="47">
        <f t="shared" ca="1" si="131"/>
        <v>5</v>
      </c>
      <c r="AT49" s="48">
        <f t="shared" ca="1" si="131"/>
        <v>-4</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3</v>
      </c>
      <c r="BF49" s="16">
        <f t="shared" ca="1" si="17"/>
        <v>1</v>
      </c>
      <c r="BG49" s="16">
        <f t="shared" ca="1" si="18"/>
        <v>1</v>
      </c>
      <c r="BH49" s="16">
        <f t="shared" ca="1" si="19"/>
        <v>0</v>
      </c>
      <c r="BI49" s="16">
        <f t="shared" ca="1" si="20"/>
        <v>0</v>
      </c>
      <c r="BJ49" s="16">
        <f t="shared" ca="1" si="21"/>
        <v>3</v>
      </c>
      <c r="BK49" s="16">
        <f t="shared" ca="1" si="22"/>
        <v>1</v>
      </c>
      <c r="BL49" s="16">
        <f t="shared" ca="1" si="23"/>
        <v>2</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3</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4</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3</v>
      </c>
      <c r="BF50" s="16">
        <f t="shared" ca="1" si="17"/>
        <v>1</v>
      </c>
      <c r="BG50" s="16">
        <f t="shared" ca="1" si="18"/>
        <v>1</v>
      </c>
      <c r="BH50" s="16">
        <f t="shared" ca="1" si="19"/>
        <v>0</v>
      </c>
      <c r="BI50" s="16">
        <f t="shared" ca="1" si="20"/>
        <v>0</v>
      </c>
      <c r="BJ50" s="16">
        <f t="shared" ca="1" si="21"/>
        <v>4</v>
      </c>
      <c r="BK50" s="16">
        <f t="shared" ca="1" si="22"/>
        <v>2</v>
      </c>
      <c r="BL50" s="16">
        <f t="shared" ca="1" si="23"/>
        <v>2</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3</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(2)</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(2)</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(2)</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(2)</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(2)</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(2)</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(2)</v>
      </c>
      <c r="CW50" s="16">
        <f t="shared" ca="1" si="44"/>
        <v>2</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4</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1</v>
      </c>
      <c r="BG51" s="16">
        <f t="shared" ca="1" si="18"/>
        <v>0</v>
      </c>
      <c r="BH51" s="16">
        <f t="shared" ca="1" si="19"/>
        <v>0</v>
      </c>
      <c r="BI51" s="16">
        <f t="shared" ca="1" si="20"/>
        <v>1</v>
      </c>
      <c r="BJ51" s="16">
        <f t="shared" ca="1" si="21"/>
        <v>2</v>
      </c>
      <c r="BK51" s="16">
        <f t="shared" ca="1" si="22"/>
        <v>4</v>
      </c>
      <c r="BL51" s="16">
        <f t="shared" ca="1" si="23"/>
        <v>-2</v>
      </c>
      <c r="BM51" s="16" t="str">
        <f t="shared" ca="1" si="24"/>
        <v>4L</v>
      </c>
      <c r="BN51" s="16" t="str">
        <f t="shared" ca="1" si="25"/>
        <v>4L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3</v>
      </c>
      <c r="BT51" s="16" t="str">
        <f ca="1">IF(COUNTIFS($BS$6:$BS$53,BS51,$BC$6:$BC$53,INDEX(T_Equipos[Grupo],MATCH(BD51,T_Equipos[NombreEquipo],0)))=1,"-","P."&amp;BS51&amp;" ("&amp;COUNTIFS($BS$6:$BS$53,BS51,$BC$6:$BC$53,INDEX(T_Equipos[Grupo],MATCH(BD51,T_Equipos[NombreEquipo],0)))&amp;")")</f>
        <v>P.3 (2)</v>
      </c>
      <c r="BU51" s="16">
        <f t="shared" ca="1" si="28"/>
        <v>0</v>
      </c>
      <c r="BV51" s="16">
        <f t="shared" ca="1" si="29"/>
        <v>0</v>
      </c>
      <c r="BW51" s="16">
        <f t="shared" ca="1" si="30"/>
        <v>0</v>
      </c>
      <c r="BX51" s="16">
        <f t="shared" ca="1" si="31"/>
        <v>0</v>
      </c>
      <c r="BY51" s="16">
        <f ca="1">BS51+COUNTIFS($BT$6:$BT$53,BT51,$BX$6:BX$53,"&gt;"&amp;BX51,$BC$6:$BC$53,INDEX(T_Equipos[Grupo],MATCH(BD51,T_Equipos[NombreEquipo],0)))</f>
        <v>3</v>
      </c>
      <c r="BZ51" s="16" t="str">
        <f ca="1">IF(COUNTIFS($BY$6:$BY$53,BY51,$BC$6:$BC$53,INDEX(T_Equipos[Grupo],MATCH(BD51,T_Equipos[NombreEquipo],0)))=1,"-","P."&amp;BY51&amp;" ("&amp;COUNTIFS($BY$6:$BY$53,BY51,$BC$6:$BC$53,INDEX(T_Equipos[Grupo],MATCH(BD51,T_Equipos[NombreEquipo],0)))&amp;")")</f>
        <v>P.3 (2)</v>
      </c>
      <c r="CA51" s="16">
        <f t="shared" ca="1" si="32"/>
        <v>0</v>
      </c>
      <c r="CB51" s="16">
        <f t="shared" ca="1" si="33"/>
        <v>0</v>
      </c>
      <c r="CC51" s="16">
        <f t="shared" ca="1" si="34"/>
        <v>0</v>
      </c>
      <c r="CD51" s="16">
        <f ca="1">BY51+COUNTIFS($BZ$6:$BZ$53,BZ51,$CC$6:CC$53,"&gt;"&amp;CC51,$BC$6:$BC$53,INDEX(T_Equipos[Grupo],MATCH(BD51,T_Equipos[NombreEquipo],0)))</f>
        <v>3</v>
      </c>
      <c r="CE51" s="16" t="str">
        <f ca="1">IF(COUNTIFS($CD$6:$CD$53,CD51,$BC$6:$BC$53,INDEX(T_Equipos[Grupo],MATCH(BD51,T_Equipos[NombreEquipo],0)))=1,"-","P."&amp;CD51&amp;" ("&amp;COUNTIFS($CD$6:$CD$53,CD51,$BC$6:$BC$53,INDEX(T_Equipos[Grupo],MATCH(BD51,T_Equipos[NombreEquipo],0)))&amp;")")</f>
        <v>P.3 (2)</v>
      </c>
      <c r="CF51" s="16">
        <f t="shared" ca="1" si="35"/>
        <v>0</v>
      </c>
      <c r="CG51" s="16">
        <f ca="1">CD51+COUNTIFS($CE$6:$CE$53,CE51,$CF$6:CF$53,"&gt;"&amp;CF51,$BC$6:$BC$53,INDEX(T_Equipos[Grupo],MATCH(BD51,T_Equipos[NombreEquipo],0)))</f>
        <v>3</v>
      </c>
      <c r="CH51" s="16" t="str">
        <f ca="1">IF(COUNTIFS($CG$6:$CG$53,CG51,$BC$6:$BC$53,INDEX(T_Equipos[Grupo],MATCH(BD51,T_Equipos[NombreEquipo],0)))=1,"-","P."&amp;CG51&amp;" ("&amp;COUNTIFS($CG$6:$CG$53,CG51,$BC$6:$BC$53,INDEX(T_Equipos[Grupo],MATCH(BD51,T_Equipos[NombreEquipo],0)))&amp;")")</f>
        <v>P.3 (2)</v>
      </c>
      <c r="CI51" s="16">
        <f t="shared" ca="1" si="36"/>
        <v>0</v>
      </c>
      <c r="CJ51" s="16">
        <f t="shared" ca="1" si="37"/>
        <v>0</v>
      </c>
      <c r="CK51" s="16">
        <f t="shared" ca="1" si="38"/>
        <v>0</v>
      </c>
      <c r="CL51" s="16">
        <f t="shared" ca="1" si="39"/>
        <v>0</v>
      </c>
      <c r="CM51" s="16">
        <f ca="1">CG51+COUNTIFS($CH$6:$CH$53,CH51,$CL$6:CL$53,"&gt;"&amp;CL51,$BC$6:$BC$53,INDEX(T_Equipos[Grupo],MATCH(BD51,T_Equipos[NombreEquipo],0)))</f>
        <v>3</v>
      </c>
      <c r="CN51" s="16" t="str">
        <f ca="1">IF(COUNTIFS($CM$6:$CM$53,CM51,$BC$6:$BC$53,INDEX(T_Equipos[Grupo],MATCH(BD51,T_Equipos[NombreEquipo],0)))=1,"-","P."&amp;CM51&amp;" ("&amp;COUNTIFS($CM$6:$CM$53,CM51,$BC$6:$BC$53,INDEX(T_Equipos[Grupo],MATCH(BD51,T_Equipos[NombreEquipo],0)))&amp;")")</f>
        <v>P.3 (2)</v>
      </c>
      <c r="CO51" s="16">
        <f t="shared" ca="1" si="40"/>
        <v>0</v>
      </c>
      <c r="CP51" s="16">
        <f t="shared" ca="1" si="41"/>
        <v>0</v>
      </c>
      <c r="CQ51" s="16">
        <f t="shared" ca="1" si="42"/>
        <v>0</v>
      </c>
      <c r="CR51" s="16">
        <f ca="1">CM51+COUNTIFS($CN$6:$CN$53,CN51,$CQ$6:CQ$53,"&gt;"&amp;CQ51,$BC$6:$BC$53,INDEX(T_Equipos[Grupo],MATCH(BD51,T_Equipos[NombreEquipo],0)))</f>
        <v>3</v>
      </c>
      <c r="CS51" s="16" t="str">
        <f ca="1">IF(COUNTIFS($CR$6:$CR$53,CR51,$BC$6:$BC$53,INDEX(T_Equipos[Grupo],MATCH(BD51,T_Equipos[NombreEquipo],0)))=1,"-","P."&amp;CR51&amp;" ("&amp;COUNTIFS($CR$6:$CR$53,CR51,$BC$6:$BC$53,INDEX(T_Equipos[Grupo],MATCH(BD51,T_Equipos[NombreEquipo],0)))&amp;")")</f>
        <v>P.3 (2)</v>
      </c>
      <c r="CT51" s="16">
        <f t="shared" ca="1" si="43"/>
        <v>0</v>
      </c>
      <c r="CU51" s="16">
        <f ca="1">CR51+COUNTIFS($CS$6:$CS$53,CS51,$CT$6:CT$53,"&gt;"&amp;CT51,$BC$6:$BC$53,INDEX(T_Equipos[Grupo],MATCH(BD51,T_Equipos[NombreEquipo],0)))</f>
        <v>3</v>
      </c>
      <c r="CV51" s="16" t="str">
        <f ca="1">IF(COUNTIFS($CU$6:$CU$53,CU51,$BC$6:$BC$53,INDEX(T_Equipos[Grupo],MATCH(BD51,T_Equipos[NombreEquipo],0)))=1,"-","P."&amp;CU51&amp;" ("&amp;COUNTIFS($CU$6:$CU$53,CU51,$BC$6:$BC$53,INDEX(T_Equipos[Grupo],MATCH(BD51,T_Equipos[NombreEquipo],0)))&amp;")")</f>
        <v>P.3 (2)</v>
      </c>
      <c r="CW51" s="16">
        <f t="shared" ca="1" si="44"/>
        <v>-2</v>
      </c>
      <c r="CX51" s="16">
        <f ca="1">CU51+COUNTIFS($CV$6:$CV$53,CV51,$CW$6:CW$53,"&gt;"&amp;CW51,$BC$6:$BC$53,INDEX(T_Equipos[Grupo],MATCH(BD51,T_Equipos[NombreEquipo],0)))</f>
        <v>4</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4</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4</v>
      </c>
      <c r="DE51" s="16"/>
      <c r="DF51" s="16">
        <f t="shared" ca="1" si="46"/>
        <v>4</v>
      </c>
      <c r="DG51" s="16" t="str">
        <f ca="1">IF(DB51="-","-",COUNTIFS(DF$6:DF$53,"&lt;"&amp;DF51,$BC$6:$BC$53,INDEX(T_Equipos[Grupo],MATCH(BD51,T_Equipos[NombreEquipo],0))))</f>
        <v>-</v>
      </c>
      <c r="DH51" s="16">
        <f ca="1">DA51+COUNTIFS(DB$6:DB$53,DB51,DG$6:DG$53,"&lt;"&amp;DG51,$BC$6:$BC$53,INDEX(T_Equipos[Grupo],MATCH(BD51,T_Equipos[NombreEquipo],0)))</f>
        <v>4</v>
      </c>
      <c r="DI51" s="16"/>
      <c r="DJ51" s="16">
        <f t="shared" ca="1" si="47"/>
        <v>2</v>
      </c>
      <c r="DK51" s="16">
        <f t="shared" ca="1" si="48"/>
        <v>4</v>
      </c>
      <c r="DL51" s="16">
        <f t="shared" ca="1" si="49"/>
        <v>1</v>
      </c>
      <c r="DM51" s="16" t="str">
        <f t="shared" ca="1" si="50"/>
        <v>2.1</v>
      </c>
      <c r="DN51" s="16">
        <f t="array" aca="1" ref="DN51" ca="1">OFFSET(Horarios!$P$3,DJ51-1,0,DL51,1)</f>
        <v>2</v>
      </c>
      <c r="DO51" s="16"/>
      <c r="DP51" s="16" t="s">
        <v>120</v>
      </c>
      <c r="DQ51" s="16" t="str">
        <f t="shared" ca="1" si="51"/>
        <v>Ghana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(4)</v>
      </c>
      <c r="F52" s="16" t="str">
        <f t="shared" ref="F52:F57" ca="1" si="134">IF(D52="Pendiente","-",INDEX($BT$6:$BT$53,MATCH($AF52,$BD$6:$BD$53,0)))</f>
        <v>P.1 (4)</v>
      </c>
      <c r="G52" s="16"/>
      <c r="H52" s="16" t="str">
        <f t="shared" ref="H52:H57" ca="1" si="135">IF(D52="Pendiente","-",INDEX($BZ$6:$BZ$53,MATCH($AA52,$BD$6:$BD$53,0)))</f>
        <v>P.1 (4)</v>
      </c>
      <c r="I52" s="16" t="str">
        <f t="shared" ref="I52:I57" ca="1" si="136">IF(D52="Pendiente","-",INDEX($BZ$6:$BZ$53,MATCH($AF52,$BD$6:$BD$53,0)))</f>
        <v>P.1 (4)</v>
      </c>
      <c r="J52" s="16"/>
      <c r="K52" s="16" t="str">
        <f t="shared" ref="K52:K57" ca="1" si="137">IF(D52="Pendiente","-",INDEX($CE$6:$CE$53,MATCH($AA52,$BD$6:$BD$53,0)))</f>
        <v>P.1 (4)</v>
      </c>
      <c r="L52" s="16" t="str">
        <f t="shared" ref="L52:L57" ca="1" si="138">IF(D52="Pendiente","-",INDEX($CE$6:$CE$53,MATCH($AF52,$BD$6:$BD$53,0)))</f>
        <v>P.1 (4)</v>
      </c>
      <c r="M52" s="16"/>
      <c r="N52" s="16" t="str">
        <f t="shared" ref="N52:N57" ca="1" si="139">IF(D52="Pendiente","-",INDEX($CH$6:$CH$53,MATCH($AA52,$BD$6:$BD$53,0)))</f>
        <v>P.3 (2)</v>
      </c>
      <c r="O52" s="16" t="str">
        <f t="shared" ref="O52:O57" ca="1" si="140">IF(D52="Pendiente","-",INDEX($CH$6:$CH$53,MATCH($AF52,$BD$6:$BD$53,0)))</f>
        <v>P.3 (2)</v>
      </c>
      <c r="P52" s="16"/>
      <c r="Q52" s="16" t="str">
        <f t="shared" ref="Q52:Q57" ca="1" si="141">IF(D52="Pendiente","-",INDEX($CN$6:$CN$53,MATCH($AA52,$BD$6:$BD$53,0)))</f>
        <v>P.3 (2)</v>
      </c>
      <c r="R52" s="16" t="str">
        <f t="shared" ref="R52:R57" ca="1" si="142">IF(D52="Pendiente","-",INDEX($CN$6:$CN$53,MATCH($AF52,$BD$6:$BD$53,0)))</f>
        <v>P.3 (2)</v>
      </c>
      <c r="S52" s="16"/>
      <c r="T52" s="16" t="str">
        <f t="shared" ref="T52:T57" ca="1" si="143">IF(D52="Pendiente","-",INDEX($CS$6:$CS$53,MATCH($AA52,$BD$6:$BD$53,0)))</f>
        <v>P.3 (2)</v>
      </c>
      <c r="U52" s="16" t="str">
        <f t="shared" ref="U52:U57" ca="1" si="144">IF(D52="Pendiente","-",INDEX($CS$6:$CS$53,MATCH($AF52,$BD$6:$BD$53,0)))</f>
        <v>P.3 (2)</v>
      </c>
      <c r="V52" s="17"/>
      <c r="W52" s="629"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1</v>
      </c>
      <c r="BG52" s="16">
        <f t="shared" ca="1" si="18"/>
        <v>1</v>
      </c>
      <c r="BH52" s="16">
        <f t="shared" ca="1" si="19"/>
        <v>0</v>
      </c>
      <c r="BI52" s="16">
        <f t="shared" ca="1" si="20"/>
        <v>0</v>
      </c>
      <c r="BJ52" s="16">
        <f t="shared" ca="1" si="21"/>
        <v>1</v>
      </c>
      <c r="BK52" s="16">
        <f t="shared" ca="1" si="22"/>
        <v>0</v>
      </c>
      <c r="BL52" s="16">
        <f t="shared" ca="1" si="23"/>
        <v>1</v>
      </c>
      <c r="BM52" s="16" t="str">
        <f t="shared" ca="1" si="24"/>
        <v>2L</v>
      </c>
      <c r="BN52" s="16" t="str">
        <f t="shared" ca="1" si="25"/>
        <v>2L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(2)</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(2)</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(2)</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(2)</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(2)</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(2)</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(2)</v>
      </c>
      <c r="CW52" s="16">
        <f t="shared" ca="1" si="44"/>
        <v>1</v>
      </c>
      <c r="CX52" s="16">
        <f ca="1">CU52+COUNTIFS($CV$6:$CV$53,CV52,$CW$6:CW$53,"&gt;"&amp;CW52,$BC$6:$BC$53,INDEX(T_Equipos[Grupo],MATCH(BD52,T_Equipos[NombreEquipo],0)))</f>
        <v>2</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2</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2</v>
      </c>
      <c r="DE52" s="16"/>
      <c r="DF52" s="16">
        <f t="shared" ca="1" si="46"/>
        <v>2</v>
      </c>
      <c r="DG52" s="16" t="str">
        <f ca="1">IF(DB52="-","-",COUNTIFS(DF$6:DF$53,"&lt;"&amp;DF52,$BC$6:$BC$53,INDEX(T_Equipos[Grupo],MATCH(BD52,T_Equipos[NombreEquipo],0))))</f>
        <v>-</v>
      </c>
      <c r="DH52" s="16">
        <f ca="1">DA52+COUNTIFS(DB$6:DB$53,DB52,DG$6:DG$53,"&lt;"&amp;DG52,$BC$6:$BC$53,INDEX(T_Equipos[Grupo],MATCH(BD52,T_Equipos[NombreEquipo],0)))</f>
        <v>2</v>
      </c>
      <c r="DI52" s="16"/>
      <c r="DJ52" s="16">
        <f t="shared" ca="1" si="47"/>
        <v>3</v>
      </c>
      <c r="DK52" s="16">
        <f t="shared" ca="1" si="48"/>
        <v>4</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Empate</v>
      </c>
      <c r="E53" s="16" t="str">
        <f t="shared" ca="1" si="133"/>
        <v>P.1 (4)</v>
      </c>
      <c r="F53" s="16" t="str">
        <f t="shared" ca="1" si="134"/>
        <v>P.1 (4)</v>
      </c>
      <c r="G53" s="16"/>
      <c r="H53" s="16" t="str">
        <f t="shared" ca="1" si="135"/>
        <v>P.1 (4)</v>
      </c>
      <c r="I53" s="16" t="str">
        <f t="shared" ca="1" si="136"/>
        <v>P.1 (4)</v>
      </c>
      <c r="J53" s="16"/>
      <c r="K53" s="16" t="str">
        <f t="shared" ca="1" si="137"/>
        <v>P.1 (4)</v>
      </c>
      <c r="L53" s="16" t="str">
        <f t="shared" ca="1" si="138"/>
        <v>P.1 (4)</v>
      </c>
      <c r="M53" s="16"/>
      <c r="N53" s="16" t="str">
        <f t="shared" ca="1" si="139"/>
        <v>P.1 (2)</v>
      </c>
      <c r="O53" s="16" t="str">
        <f t="shared" ca="1" si="140"/>
        <v>P.1 (2)</v>
      </c>
      <c r="P53" s="16"/>
      <c r="Q53" s="16" t="str">
        <f t="shared" ca="1" si="141"/>
        <v>P.1 (2)</v>
      </c>
      <c r="R53" s="16" t="str">
        <f t="shared" ca="1" si="142"/>
        <v>P.1 (2)</v>
      </c>
      <c r="S53" s="16"/>
      <c r="T53" s="16" t="str">
        <f t="shared" ca="1" si="143"/>
        <v>P.1 (2)</v>
      </c>
      <c r="U53" s="16" t="str">
        <f t="shared" ca="1" si="144"/>
        <v>P.1 (2)</v>
      </c>
      <c r="V53" s="17"/>
      <c r="W53" s="625"/>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1</v>
      </c>
      <c r="BG53" s="16">
        <f t="shared" ca="1" si="18"/>
        <v>0</v>
      </c>
      <c r="BH53" s="16">
        <f t="shared" ca="1" si="19"/>
        <v>0</v>
      </c>
      <c r="BI53" s="16">
        <f t="shared" ca="1" si="20"/>
        <v>1</v>
      </c>
      <c r="BJ53" s="16">
        <f t="shared" ca="1" si="21"/>
        <v>0</v>
      </c>
      <c r="BK53" s="16">
        <f t="shared" ca="1" si="22"/>
        <v>1</v>
      </c>
      <c r="BL53" s="16">
        <f t="shared" ca="1" si="23"/>
        <v>-1</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P.3 (2)</v>
      </c>
      <c r="BU53" s="16">
        <f t="shared" ca="1" si="28"/>
        <v>0</v>
      </c>
      <c r="BV53" s="16">
        <f t="shared" ca="1" si="29"/>
        <v>0</v>
      </c>
      <c r="BW53" s="16">
        <f t="shared" ca="1" si="30"/>
        <v>0</v>
      </c>
      <c r="BX53" s="16">
        <f t="shared" ca="1" si="31"/>
        <v>0</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P.3 (2)</v>
      </c>
      <c r="CA53" s="16">
        <f t="shared" ca="1" si="32"/>
        <v>0</v>
      </c>
      <c r="CB53" s="16">
        <f t="shared" ca="1" si="33"/>
        <v>0</v>
      </c>
      <c r="CC53" s="16">
        <f t="shared" ca="1" si="34"/>
        <v>0</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P.3 (2)</v>
      </c>
      <c r="CF53" s="16">
        <f t="shared" ca="1" si="35"/>
        <v>0</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P.3 (2)</v>
      </c>
      <c r="CI53" s="16">
        <f t="shared" ca="1" si="36"/>
        <v>0</v>
      </c>
      <c r="CJ53" s="16">
        <f t="shared" ca="1" si="37"/>
        <v>0</v>
      </c>
      <c r="CK53" s="16">
        <f t="shared" ca="1" si="38"/>
        <v>0</v>
      </c>
      <c r="CL53" s="16">
        <f t="shared" ca="1" si="39"/>
        <v>0</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P.3 (2)</v>
      </c>
      <c r="CO53" s="16">
        <f t="shared" ca="1" si="40"/>
        <v>0</v>
      </c>
      <c r="CP53" s="16">
        <f t="shared" ca="1" si="41"/>
        <v>0</v>
      </c>
      <c r="CQ53" s="16">
        <f t="shared" ca="1" si="42"/>
        <v>0</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P.3 (2)</v>
      </c>
      <c r="CT53" s="16">
        <f t="shared" ca="1" si="43"/>
        <v>0</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P.3 (2)</v>
      </c>
      <c r="CW53" s="16">
        <f t="shared" ca="1" si="44"/>
        <v>-1</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4</v>
      </c>
      <c r="DL53" s="16">
        <f t="shared" ca="1" si="49"/>
        <v>1</v>
      </c>
      <c r="DM53" s="16" t="str">
        <f t="shared" ca="1" si="50"/>
        <v>4.1</v>
      </c>
      <c r="DN53" s="16">
        <f t="array" aca="1" ref="DN53" ca="1">OFFSET(Horarios!$P$3,DJ53-1,0,DL53,1)</f>
        <v>4</v>
      </c>
      <c r="DO53" s="16"/>
      <c r="DP53" s="16" t="s">
        <v>123</v>
      </c>
      <c r="DQ53" s="16" t="str">
        <f t="shared" ca="1" si="51"/>
        <v>Croacia</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5"/>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Irán</v>
      </c>
      <c r="AM54" s="35">
        <f t="shared" ref="AM54:AT57" ca="1" si="147">INDEX($BE$6:$BN$53,MATCH($AL54,$BD$6:$BD$53,0),MATCH(AM$5,$BE$5:$BN$5,0))</f>
        <v>1</v>
      </c>
      <c r="AN54" s="36">
        <f t="shared" ca="1" si="147"/>
        <v>1</v>
      </c>
      <c r="AO54" s="36">
        <f t="shared" ca="1" si="147"/>
        <v>0</v>
      </c>
      <c r="AP54" s="36">
        <f t="shared" ca="1" si="147"/>
        <v>1</v>
      </c>
      <c r="AQ54" s="36">
        <f t="shared" ca="1" si="147"/>
        <v>0</v>
      </c>
      <c r="AR54" s="36">
        <f t="shared" ca="1" si="147"/>
        <v>2</v>
      </c>
      <c r="AS54" s="36">
        <f t="shared" ca="1" si="147"/>
        <v>2</v>
      </c>
      <c r="AT54" s="41">
        <f t="shared" ca="1" si="147"/>
        <v>0</v>
      </c>
      <c r="AU54" s="323">
        <f ca="1">INDEX($DL$6:$DL$53,MATCH(AI54,$DP$6:$DP$53,0))</f>
        <v>1</v>
      </c>
      <c r="AV54" s="182" t="str">
        <f ca="1">INDEX($BD$6:$BD$53,MATCH(AI54,$BM$6:$BM$53,0))</f>
        <v>Irán</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5"/>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Nueva Zelanda</v>
      </c>
      <c r="AM55" s="38">
        <f t="shared" ca="1" si="147"/>
        <v>1</v>
      </c>
      <c r="AN55" s="39">
        <f t="shared" ca="1" si="147"/>
        <v>1</v>
      </c>
      <c r="AO55" s="39">
        <f t="shared" ca="1" si="147"/>
        <v>0</v>
      </c>
      <c r="AP55" s="39">
        <f t="shared" ca="1" si="147"/>
        <v>1</v>
      </c>
      <c r="AQ55" s="39">
        <f t="shared" ca="1" si="147"/>
        <v>0</v>
      </c>
      <c r="AR55" s="39">
        <f t="shared" ca="1" si="147"/>
        <v>2</v>
      </c>
      <c r="AS55" s="39">
        <f t="shared" ca="1" si="147"/>
        <v>2</v>
      </c>
      <c r="AT55" s="43">
        <f t="shared" ca="1" si="147"/>
        <v>0</v>
      </c>
      <c r="AU55" s="323">
        <f ca="1">INDEX($DL$6:$DL$53,MATCH(AI55,$DP$6:$DP$53,0))</f>
        <v>1</v>
      </c>
      <c r="AV55" s="182" t="str">
        <f ca="1">INDEX($BD$6:$BD$53,MATCH(AI55,$BM$6:$BM$53,0))</f>
        <v>Nueva Zelanda</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5"/>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Bélgica</v>
      </c>
      <c r="AM56" s="38">
        <f t="shared" ca="1" si="147"/>
        <v>1</v>
      </c>
      <c r="AN56" s="39">
        <f t="shared" ca="1" si="147"/>
        <v>1</v>
      </c>
      <c r="AO56" s="39">
        <f t="shared" ca="1" si="147"/>
        <v>0</v>
      </c>
      <c r="AP56" s="39">
        <f t="shared" ca="1" si="147"/>
        <v>1</v>
      </c>
      <c r="AQ56" s="39">
        <f t="shared" ca="1" si="147"/>
        <v>0</v>
      </c>
      <c r="AR56" s="39">
        <f t="shared" ca="1" si="147"/>
        <v>1</v>
      </c>
      <c r="AS56" s="39">
        <f t="shared" ca="1" si="147"/>
        <v>1</v>
      </c>
      <c r="AT56" s="43">
        <f t="shared" ca="1" si="147"/>
        <v>0</v>
      </c>
      <c r="AU56" s="323">
        <f ca="1">INDEX($DL$6:$DL$53,MATCH(AI56,$DP$6:$DP$53,0))</f>
        <v>1</v>
      </c>
      <c r="AV56" s="182" t="str">
        <f ca="1">INDEX($BD$6:$BD$53,MATCH(AI56,$BM$6:$BM$53,0))</f>
        <v>Bélgica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6"/>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Egipto</v>
      </c>
      <c r="AM57" s="46">
        <f t="shared" ca="1" si="147"/>
        <v>1</v>
      </c>
      <c r="AN57" s="47">
        <f t="shared" ca="1" si="147"/>
        <v>1</v>
      </c>
      <c r="AO57" s="47">
        <f t="shared" ca="1" si="147"/>
        <v>0</v>
      </c>
      <c r="AP57" s="47">
        <f t="shared" ca="1" si="147"/>
        <v>1</v>
      </c>
      <c r="AQ57" s="47">
        <f t="shared" ca="1" si="147"/>
        <v>0</v>
      </c>
      <c r="AR57" s="47">
        <f t="shared" ca="1" si="147"/>
        <v>1</v>
      </c>
      <c r="AS57" s="47">
        <f t="shared" ca="1" si="147"/>
        <v>1</v>
      </c>
      <c r="AT57" s="48">
        <f t="shared" ca="1" si="147"/>
        <v>0</v>
      </c>
      <c r="AU57" s="323">
        <f ca="1">INDEX($DL$6:$DL$53,MATCH(AI57,$DP$6:$DP$53,0))</f>
        <v>1</v>
      </c>
      <c r="AV57" s="182" t="str">
        <f ca="1">INDEX($BD$6:$BD$53,MATCH(AI57,$BM$6:$BM$53,0))</f>
        <v>Egipto</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1</v>
      </c>
      <c r="BF58" s="16">
        <f t="shared" ref="BF58:BF69" ca="1" si="150">+BG58+BH58+BI58</f>
        <v>2</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7</v>
      </c>
      <c r="BN58" s="16">
        <f t="shared" ref="BN58:BN69" ca="1" si="153">CF58</f>
        <v>7</v>
      </c>
      <c r="BO58" s="16" t="str">
        <f t="shared" ref="BO58:BO69" si="154">"4"&amp;BC58</f>
        <v>4A</v>
      </c>
      <c r="BP58" s="16"/>
      <c r="BQ58" s="16"/>
      <c r="BR58" s="16">
        <f t="shared" ref="BR58:BR69" ca="1" si="155">+BE58</f>
        <v>1</v>
      </c>
      <c r="BS58" s="16">
        <f t="shared" ref="BS58:BS69" ca="1" si="156">COUNTIFS(BR$58:BR$69,"&gt;"&amp;BR58)+1</f>
        <v>3</v>
      </c>
      <c r="BT58" s="16" t="str">
        <f t="shared" ref="BT58:BT69" ca="1" si="157">IF(COUNTIF(BS$58:BS$69,BS58)=1,"-","Pos. "&amp;BS58&amp;" ("&amp;COUNTIF(BS$58:BS$69,BS58)&amp;")")</f>
        <v>Pos. 3 (6)</v>
      </c>
      <c r="BU58" s="16">
        <f t="shared" ref="BU58:BU69" ca="1" si="158">IF(BT58="-","-",BL58)</f>
        <v>-1</v>
      </c>
      <c r="BV58" s="16">
        <f t="shared" ref="BV58:BV69" ca="1" si="159">BS58+COUNTIFS(BT$58:BT$69,BT58,BU$58:BU$69,"&gt;"&amp;BU58)</f>
        <v>7</v>
      </c>
      <c r="BW58" s="16" t="str">
        <f t="shared" ref="BW58:BW69" ca="1" si="160">IF(COUNTIF(BV$58:BV$69,BV58)=1,"-","Pos. "&amp;BV58&amp;" ("&amp;COUNTIF(BV$58:BV$69,BV58)&amp;")")</f>
        <v>-</v>
      </c>
      <c r="BX58" s="16" t="str">
        <f t="shared" ref="BX58:BX69" ca="1" si="161">IF(BW58="-","-",BJ58)</f>
        <v>-</v>
      </c>
      <c r="BY58" s="16">
        <f t="shared" ref="BY58:BY69" ca="1" si="162">BV58+COUNTIFS(BW$58:BW$69,BW58,BX$58:BX$69,"&gt;"&amp;BX58)</f>
        <v>7</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7</v>
      </c>
      <c r="CC58" s="16"/>
      <c r="CD58" s="16">
        <f t="shared" ref="CD58:CD69" ca="1" si="166">IF(OR(INDEX($AW$102:$AW$113,MATCH($BD58,$AV$102:$AV$113,0))="",BZ58="-"),CB58,INDEX($AW$102:$AW$113,MATCH($BD58,$AV$102:$AV$113,0))+CB58/1000)</f>
        <v>7</v>
      </c>
      <c r="CE58" s="16" t="str">
        <f t="shared" ref="CE58:CE69" ca="1" si="167">IF(BZ58="-","-",COUNTIF(CD$58:CD$69,"&lt;"&amp;CD58))</f>
        <v>-</v>
      </c>
      <c r="CF58" s="16">
        <f t="shared" ref="CF58:CF69" ca="1" si="168">BY58+COUNTIFS(BZ$58:BZ$69,BZ58,CE$58:CE$69,"&lt;"&amp;CE58)</f>
        <v>7</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Escocia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1</v>
      </c>
      <c r="BF59" s="16">
        <f t="shared" ca="1" si="150"/>
        <v>2</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5</v>
      </c>
      <c r="BL59" s="16">
        <f t="shared" ca="1" si="151"/>
        <v>-3</v>
      </c>
      <c r="BM59" s="16">
        <f t="shared" ca="1" si="152"/>
        <v>8</v>
      </c>
      <c r="BN59" s="16">
        <f t="shared" ca="1" si="153"/>
        <v>8</v>
      </c>
      <c r="BO59" s="16" t="str">
        <f t="shared" si="154"/>
        <v>4B</v>
      </c>
      <c r="BP59" s="16"/>
      <c r="BQ59" s="16"/>
      <c r="BR59" s="16">
        <f t="shared" ca="1" si="155"/>
        <v>1</v>
      </c>
      <c r="BS59" s="16">
        <f t="shared" ca="1" si="156"/>
        <v>3</v>
      </c>
      <c r="BT59" s="16" t="str">
        <f t="shared" ca="1" si="157"/>
        <v>Pos. 3 (6)</v>
      </c>
      <c r="BU59" s="16">
        <f t="shared" ca="1" si="158"/>
        <v>-3</v>
      </c>
      <c r="BV59" s="16">
        <f t="shared" ca="1" si="159"/>
        <v>8</v>
      </c>
      <c r="BW59" s="16" t="str">
        <f t="shared" ca="1" si="160"/>
        <v>-</v>
      </c>
      <c r="BX59" s="16" t="str">
        <f t="shared" ca="1" si="161"/>
        <v>-</v>
      </c>
      <c r="BY59" s="16">
        <f t="shared" ca="1" si="162"/>
        <v>8</v>
      </c>
      <c r="BZ59" s="16" t="str">
        <f t="shared" ca="1" si="163"/>
        <v>-</v>
      </c>
      <c r="CA59" s="16" t="str">
        <f t="shared" ca="1" si="164"/>
        <v>-</v>
      </c>
      <c r="CB59" s="16">
        <f t="shared" ca="1" si="165"/>
        <v>8</v>
      </c>
      <c r="CC59" s="16"/>
      <c r="CD59" s="16">
        <f t="shared" ca="1" si="166"/>
        <v>8</v>
      </c>
      <c r="CE59" s="16" t="str">
        <f t="shared" ca="1" si="167"/>
        <v>-</v>
      </c>
      <c r="CF59" s="16">
        <f t="shared" ca="1" si="168"/>
        <v>8</v>
      </c>
      <c r="DJ59" s="16">
        <f t="shared" ca="1" si="169"/>
        <v>2</v>
      </c>
      <c r="DK59" s="16"/>
      <c r="DL59" s="16">
        <f t="shared" ca="1" si="170"/>
        <v>1</v>
      </c>
      <c r="DM59" s="16" t="str">
        <f t="shared" ca="1" si="171"/>
        <v>2.1</v>
      </c>
      <c r="DN59" s="16">
        <f t="array" aca="1" ref="DN59" ca="1">OFFSET(Horarios!$P$3,DJ59-1,0,DL59,1)</f>
        <v>2</v>
      </c>
      <c r="DO59" s="16"/>
      <c r="DP59" s="16">
        <v>2</v>
      </c>
      <c r="DQ59" s="16" t="str">
        <f t="shared" ca="1" si="172"/>
        <v>Paraguay</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P.1 (4)</v>
      </c>
      <c r="F60" s="16" t="str">
        <f t="shared" ref="F60:F65" ca="1" si="181">IF(D60="Pendiente","-",INDEX($BT$6:$BT$53,MATCH($AF60,$BD$6:$BD$53,0)))</f>
        <v>P.1 (4)</v>
      </c>
      <c r="G60" s="16"/>
      <c r="H60" s="16" t="str">
        <f t="shared" ref="H60:H65" ca="1" si="182">IF(D60="Pendiente","-",INDEX($BZ$6:$BZ$53,MATCH($AA60,$BD$6:$BD$53,0)))</f>
        <v>P.1 (4)</v>
      </c>
      <c r="I60" s="16" t="str">
        <f t="shared" ref="I60:I65" ca="1" si="183">IF(D60="Pendiente","-",INDEX($BZ$6:$BZ$53,MATCH($AF60,$BD$6:$BD$53,0)))</f>
        <v>P.1 (4)</v>
      </c>
      <c r="J60" s="16"/>
      <c r="K60" s="16" t="str">
        <f t="shared" ref="K60:K65" ca="1" si="184">IF(D60="Pendiente","-",INDEX($CE$6:$CE$53,MATCH($AA60,$BD$6:$BD$53,0)))</f>
        <v>P.1 (4)</v>
      </c>
      <c r="L60" s="16" t="str">
        <f t="shared" ref="L60:L65" ca="1" si="185">IF(D60="Pendiente","-",INDEX($CE$6:$CE$53,MATCH($AF60,$BD$6:$BD$53,0)))</f>
        <v>P.1 (4)</v>
      </c>
      <c r="M60" s="16"/>
      <c r="N60" s="16" t="str">
        <f t="shared" ref="N60:N65" ca="1" si="186">IF(D60="Pendiente","-",INDEX($CH$6:$CH$53,MATCH($AA60,$BD$6:$BD$53,0)))</f>
        <v>P.3 (2)</v>
      </c>
      <c r="O60" s="16" t="str">
        <f t="shared" ref="O60:O65" ca="1" si="187">IF(D60="Pendiente","-",INDEX($CH$6:$CH$53,MATCH($AF60,$BD$6:$BD$53,0)))</f>
        <v>P.3 (2)</v>
      </c>
      <c r="P60" s="16"/>
      <c r="Q60" s="16" t="str">
        <f t="shared" ref="Q60:Q65" ca="1" si="188">IF(D60="Pendiente","-",INDEX($CN$6:$CN$53,MATCH($AA60,$BD$6:$BD$53,0)))</f>
        <v>P.3 (2)</v>
      </c>
      <c r="R60" s="16" t="str">
        <f t="shared" ref="R60:R65" ca="1" si="189">IF(D60="Pendiente","-",INDEX($CN$6:$CN$53,MATCH($AF60,$BD$6:$BD$53,0)))</f>
        <v>P.3 (2)</v>
      </c>
      <c r="S60" s="16"/>
      <c r="T60" s="16" t="str">
        <f t="shared" ref="T60:T65" ca="1" si="190">IF(D60="Pendiente","-",INDEX($CS$6:$CS$53,MATCH($AA60,$BD$6:$BD$53,0)))</f>
        <v>P.3 (2)</v>
      </c>
      <c r="U60" s="16" t="str">
        <f t="shared" ref="U60:U65" ca="1" si="191">IF(D60="Pendiente","-",INDEX($CS$6:$CS$53,MATCH($AF60,$BD$6:$BD$53,0)))</f>
        <v>P.3 (2)</v>
      </c>
      <c r="V60" s="17"/>
      <c r="W60" s="632"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2</v>
      </c>
      <c r="BG60" s="16">
        <f t="shared" ca="1" si="174"/>
        <v>1</v>
      </c>
      <c r="BH60" s="16">
        <f t="shared" ca="1" si="175"/>
        <v>0</v>
      </c>
      <c r="BI60" s="16">
        <f t="shared" ca="1" si="176"/>
        <v>1</v>
      </c>
      <c r="BJ60" s="16">
        <f t="shared" ca="1" si="177"/>
        <v>1</v>
      </c>
      <c r="BK60" s="16">
        <f t="shared" ca="1" si="178"/>
        <v>1</v>
      </c>
      <c r="BL60" s="16">
        <f t="shared" ca="1" si="151"/>
        <v>0</v>
      </c>
      <c r="BM60" s="16">
        <f t="shared" ca="1" si="152"/>
        <v>1</v>
      </c>
      <c r="BN60" s="16">
        <f t="shared" ca="1" si="153"/>
        <v>1</v>
      </c>
      <c r="BO60" s="16" t="str">
        <f t="shared" si="154"/>
        <v>4C</v>
      </c>
      <c r="BP60" s="16"/>
      <c r="BQ60" s="16"/>
      <c r="BR60" s="16">
        <f t="shared" ca="1" si="155"/>
        <v>3</v>
      </c>
      <c r="BS60" s="16">
        <f t="shared" ca="1" si="156"/>
        <v>1</v>
      </c>
      <c r="BT60" s="16" t="str">
        <f t="shared" ca="1" si="157"/>
        <v>Pos. 1 (2)</v>
      </c>
      <c r="BU60" s="16">
        <f t="shared" ca="1" si="158"/>
        <v>0</v>
      </c>
      <c r="BV60" s="16">
        <f t="shared" ca="1" si="159"/>
        <v>1</v>
      </c>
      <c r="BW60" s="16" t="str">
        <f t="shared" ca="1" si="160"/>
        <v>-</v>
      </c>
      <c r="BX60" s="16" t="str">
        <f t="shared" ca="1" si="161"/>
        <v>-</v>
      </c>
      <c r="BY60" s="16">
        <f t="shared" ca="1" si="162"/>
        <v>1</v>
      </c>
      <c r="BZ60" s="16" t="str">
        <f t="shared" ca="1" si="163"/>
        <v>-</v>
      </c>
      <c r="CA60" s="16" t="str">
        <f t="shared" ca="1" si="164"/>
        <v>-</v>
      </c>
      <c r="CB60" s="16">
        <f t="shared" ca="1" si="165"/>
        <v>1</v>
      </c>
      <c r="CC60" s="16"/>
      <c r="CD60" s="16">
        <f t="shared" ca="1" si="166"/>
        <v>1</v>
      </c>
      <c r="CE60" s="16" t="str">
        <f t="shared" ca="1" si="167"/>
        <v>-</v>
      </c>
      <c r="CF60" s="16">
        <f t="shared" ca="1" si="168"/>
        <v>1</v>
      </c>
      <c r="DJ60" s="16">
        <f t="shared" ca="1" si="169"/>
        <v>3</v>
      </c>
      <c r="DK60" s="16"/>
      <c r="DL60" s="16">
        <f t="shared" ca="1" si="170"/>
        <v>1</v>
      </c>
      <c r="DM60" s="16" t="str">
        <f t="shared" ca="1" si="171"/>
        <v>3.1</v>
      </c>
      <c r="DN60" s="16">
        <f t="array" aca="1" ref="DN60" ca="1">OFFSET(Horarios!$P$3,DJ60-1,0,DL60,1)</f>
        <v>3</v>
      </c>
      <c r="DO60" s="16"/>
      <c r="DP60" s="16">
        <v>3</v>
      </c>
      <c r="DQ60" s="16" t="str">
        <f t="shared" ca="1" si="172"/>
        <v>Japón</v>
      </c>
    </row>
    <row r="61" spans="1:121" ht="16" customHeight="1" x14ac:dyDescent="0.2">
      <c r="A61" s="16" t="str">
        <f ca="1">+Equipos!B30</f>
        <v>España</v>
      </c>
      <c r="B61" s="16"/>
      <c r="C61" s="16"/>
      <c r="D61" s="16" t="str">
        <f t="shared" si="179"/>
        <v>Empate</v>
      </c>
      <c r="E61" s="16" t="str">
        <f t="shared" ca="1" si="180"/>
        <v>P.1 (4)</v>
      </c>
      <c r="F61" s="16" t="str">
        <f t="shared" ca="1" si="181"/>
        <v>P.1 (4)</v>
      </c>
      <c r="G61" s="16"/>
      <c r="H61" s="16" t="str">
        <f t="shared" ca="1" si="182"/>
        <v>P.1 (4)</v>
      </c>
      <c r="I61" s="16" t="str">
        <f t="shared" ca="1" si="183"/>
        <v>P.1 (4)</v>
      </c>
      <c r="J61" s="16"/>
      <c r="K61" s="16" t="str">
        <f t="shared" ca="1" si="184"/>
        <v>P.1 (4)</v>
      </c>
      <c r="L61" s="16" t="str">
        <f t="shared" ca="1" si="185"/>
        <v>P.1 (4)</v>
      </c>
      <c r="M61" s="16"/>
      <c r="N61" s="16" t="str">
        <f t="shared" ca="1" si="186"/>
        <v>P.1 (2)</v>
      </c>
      <c r="O61" s="16" t="str">
        <f t="shared" ca="1" si="187"/>
        <v>P.1 (2)</v>
      </c>
      <c r="P61" s="16"/>
      <c r="Q61" s="16" t="str">
        <f t="shared" ca="1" si="188"/>
        <v>P.1 (2)</v>
      </c>
      <c r="R61" s="16" t="str">
        <f t="shared" ca="1" si="189"/>
        <v>P.1 (2)</v>
      </c>
      <c r="S61" s="16"/>
      <c r="T61" s="16" t="str">
        <f t="shared" ca="1" si="190"/>
        <v>P.1 (2)</v>
      </c>
      <c r="U61" s="16" t="str">
        <f t="shared" ca="1" si="191"/>
        <v>P.1 (2)</v>
      </c>
      <c r="V61" s="17"/>
      <c r="W61" s="625"/>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3</v>
      </c>
      <c r="BF61" s="16">
        <f t="shared" ca="1" si="150"/>
        <v>2</v>
      </c>
      <c r="BG61" s="16">
        <f t="shared" ca="1" si="174"/>
        <v>1</v>
      </c>
      <c r="BH61" s="16">
        <f t="shared" ca="1" si="175"/>
        <v>0</v>
      </c>
      <c r="BI61" s="16">
        <f t="shared" ca="1" si="176"/>
        <v>1</v>
      </c>
      <c r="BJ61" s="16">
        <f t="shared" ca="1" si="177"/>
        <v>2</v>
      </c>
      <c r="BK61" s="16">
        <f t="shared" ca="1" si="178"/>
        <v>4</v>
      </c>
      <c r="BL61" s="16">
        <f t="shared" ca="1" si="151"/>
        <v>-2</v>
      </c>
      <c r="BM61" s="16">
        <f t="shared" ca="1" si="152"/>
        <v>2</v>
      </c>
      <c r="BN61" s="16">
        <f t="shared" ca="1" si="153"/>
        <v>2</v>
      </c>
      <c r="BO61" s="16" t="str">
        <f t="shared" si="154"/>
        <v>4D</v>
      </c>
      <c r="BP61" s="16"/>
      <c r="BQ61" s="16"/>
      <c r="BR61" s="16">
        <f t="shared" ca="1" si="155"/>
        <v>3</v>
      </c>
      <c r="BS61" s="16">
        <f t="shared" ca="1" si="156"/>
        <v>1</v>
      </c>
      <c r="BT61" s="16" t="str">
        <f t="shared" ca="1" si="157"/>
        <v>Pos. 1 (2)</v>
      </c>
      <c r="BU61" s="16">
        <f t="shared" ca="1" si="158"/>
        <v>-2</v>
      </c>
      <c r="BV61" s="16">
        <f t="shared" ca="1" si="159"/>
        <v>2</v>
      </c>
      <c r="BW61" s="16" t="str">
        <f t="shared" ca="1" si="160"/>
        <v>-</v>
      </c>
      <c r="BX61" s="16" t="str">
        <f t="shared" ca="1" si="161"/>
        <v>-</v>
      </c>
      <c r="BY61" s="16">
        <f t="shared" ca="1" si="162"/>
        <v>2</v>
      </c>
      <c r="BZ61" s="16" t="str">
        <f t="shared" ca="1" si="163"/>
        <v>-</v>
      </c>
      <c r="CA61" s="16" t="str">
        <f t="shared" ca="1" si="164"/>
        <v>-</v>
      </c>
      <c r="CB61" s="16">
        <f t="shared" ca="1" si="165"/>
        <v>2</v>
      </c>
      <c r="CC61" s="16"/>
      <c r="CD61" s="16">
        <f t="shared" ca="1" si="166"/>
        <v>2</v>
      </c>
      <c r="CE61" s="16" t="str">
        <f t="shared" ca="1" si="167"/>
        <v>-</v>
      </c>
      <c r="CF61" s="16">
        <f t="shared" ca="1" si="168"/>
        <v>2</v>
      </c>
      <c r="DJ61" s="16">
        <f t="shared" ca="1" si="169"/>
        <v>4</v>
      </c>
      <c r="DK61" s="16"/>
      <c r="DL61" s="16">
        <f t="shared" ca="1" si="170"/>
        <v>1</v>
      </c>
      <c r="DM61" s="16" t="str">
        <f t="shared" ca="1" si="171"/>
        <v>4.1</v>
      </c>
      <c r="DN61" s="16">
        <f t="array" aca="1" ref="DN61" ca="1">OFFSET(Horarios!$P$3,DJ61-1,0,DL61,1)</f>
        <v>4</v>
      </c>
      <c r="DO61" s="16"/>
      <c r="DP61" s="16">
        <v>4</v>
      </c>
      <c r="DQ61" s="16" t="str">
        <f t="shared" ca="1" si="172"/>
        <v>Bélgica</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5"/>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Arabia Saudita</v>
      </c>
      <c r="AM62" s="35">
        <f t="shared" ref="AM62:AT65" ca="1" si="195">INDEX($BE$6:$BN$53,MATCH($AL62,$BD$6:$BD$53,0),MATCH(AM$5,$BE$5:$BN$5,0))</f>
        <v>1</v>
      </c>
      <c r="AN62" s="36">
        <f t="shared" ca="1" si="195"/>
        <v>1</v>
      </c>
      <c r="AO62" s="36">
        <f t="shared" ca="1" si="195"/>
        <v>0</v>
      </c>
      <c r="AP62" s="36">
        <f t="shared" ca="1" si="195"/>
        <v>1</v>
      </c>
      <c r="AQ62" s="36">
        <f t="shared" ca="1" si="195"/>
        <v>0</v>
      </c>
      <c r="AR62" s="36">
        <f t="shared" ca="1" si="195"/>
        <v>1</v>
      </c>
      <c r="AS62" s="36">
        <f t="shared" ca="1" si="195"/>
        <v>1</v>
      </c>
      <c r="AT62" s="41">
        <f t="shared" ca="1" si="195"/>
        <v>0</v>
      </c>
      <c r="AU62" s="323">
        <f ca="1">INDEX($DL$6:$DL$53,MATCH(AI62,$DP$6:$DP$53,0))</f>
        <v>1</v>
      </c>
      <c r="AV62" s="182" t="str">
        <f ca="1">INDEX($BD$6:$BD$53,MATCH(AI62,$BM$6:$BM$53,0))</f>
        <v>Arabia Saudita</v>
      </c>
      <c r="AW62" s="210"/>
      <c r="AX62" s="171"/>
      <c r="AY62" s="201" t="str">
        <f ca="1">+A61</f>
        <v>España</v>
      </c>
      <c r="AZ62" s="202"/>
      <c r="BA62" s="176"/>
      <c r="BB62" s="16" t="str">
        <f t="shared" si="173"/>
        <v>3E</v>
      </c>
      <c r="BC62" s="16" t="s">
        <v>103</v>
      </c>
      <c r="BD62" s="16" t="str">
        <f t="shared" ca="1" si="149"/>
        <v>Ecuador</v>
      </c>
      <c r="BE62" s="16">
        <f t="shared" ca="1" si="193"/>
        <v>0</v>
      </c>
      <c r="BF62" s="16">
        <f t="shared" ca="1" si="150"/>
        <v>1</v>
      </c>
      <c r="BG62" s="16">
        <f t="shared" ca="1" si="174"/>
        <v>0</v>
      </c>
      <c r="BH62" s="16">
        <f t="shared" ca="1" si="175"/>
        <v>0</v>
      </c>
      <c r="BI62" s="16">
        <f t="shared" ca="1" si="176"/>
        <v>1</v>
      </c>
      <c r="BJ62" s="16">
        <f t="shared" ca="1" si="177"/>
        <v>0</v>
      </c>
      <c r="BK62" s="16">
        <f t="shared" ca="1" si="178"/>
        <v>1</v>
      </c>
      <c r="BL62" s="16">
        <f t="shared" ca="1" si="151"/>
        <v>-1</v>
      </c>
      <c r="BM62" s="16">
        <f t="shared" ca="1" si="152"/>
        <v>9</v>
      </c>
      <c r="BN62" s="16">
        <f t="shared" ca="1" si="153"/>
        <v>9</v>
      </c>
      <c r="BO62" s="16" t="str">
        <f t="shared" si="154"/>
        <v>4E</v>
      </c>
      <c r="BP62" s="16"/>
      <c r="BQ62" s="16"/>
      <c r="BR62" s="16">
        <f t="shared" ca="1" si="155"/>
        <v>0</v>
      </c>
      <c r="BS62" s="16">
        <f t="shared" ca="1" si="156"/>
        <v>9</v>
      </c>
      <c r="BT62" s="16" t="str">
        <f t="shared" ca="1" si="157"/>
        <v>Pos. 9 (4)</v>
      </c>
      <c r="BU62" s="16">
        <f t="shared" ca="1" si="158"/>
        <v>-1</v>
      </c>
      <c r="BV62" s="16">
        <f t="shared" ca="1" si="159"/>
        <v>9</v>
      </c>
      <c r="BW62" s="16" t="str">
        <f t="shared" ca="1" si="160"/>
        <v>Pos. 9 (2)</v>
      </c>
      <c r="BX62" s="16">
        <f t="shared" ca="1" si="161"/>
        <v>0</v>
      </c>
      <c r="BY62" s="16">
        <f t="shared" ca="1" si="162"/>
        <v>9</v>
      </c>
      <c r="BZ62" s="16" t="str">
        <f t="shared" ca="1" si="163"/>
        <v>Pos. 9 (2)</v>
      </c>
      <c r="CA62" s="16">
        <f t="shared" ca="1" si="164"/>
        <v>9</v>
      </c>
      <c r="CB62" s="16">
        <f t="shared" ca="1" si="165"/>
        <v>9</v>
      </c>
      <c r="CC62" s="16"/>
      <c r="CD62" s="16">
        <f t="shared" ca="1" si="166"/>
        <v>9</v>
      </c>
      <c r="CE62" s="16">
        <f t="shared" ca="1" si="167"/>
        <v>8</v>
      </c>
      <c r="CF62" s="16">
        <f t="shared" ca="1" si="168"/>
        <v>9</v>
      </c>
      <c r="DJ62" s="16">
        <f t="shared" ca="1" si="169"/>
        <v>4</v>
      </c>
      <c r="DK62" s="16"/>
      <c r="DL62" s="16">
        <f t="shared" ca="1" si="170"/>
        <v>1</v>
      </c>
      <c r="DM62" s="16" t="str">
        <f t="shared" ca="1" si="171"/>
        <v>4.1</v>
      </c>
      <c r="DN62" s="16">
        <f t="array" aca="1" ref="DN62" ca="1">OFFSET(Horarios!$P$3,DJ62-1,0,DL62,1)</f>
        <v>4</v>
      </c>
      <c r="DO62" s="16"/>
      <c r="DP62" s="16">
        <v>5</v>
      </c>
      <c r="DQ62" s="16" t="str">
        <f t="shared" ca="1" si="172"/>
        <v>RD Congo</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5"/>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Uruguay</v>
      </c>
      <c r="AM63" s="38">
        <f t="shared" ca="1" si="195"/>
        <v>1</v>
      </c>
      <c r="AN63" s="39">
        <f t="shared" ca="1" si="195"/>
        <v>1</v>
      </c>
      <c r="AO63" s="39">
        <f t="shared" ca="1" si="195"/>
        <v>0</v>
      </c>
      <c r="AP63" s="39">
        <f t="shared" ca="1" si="195"/>
        <v>1</v>
      </c>
      <c r="AQ63" s="39">
        <f t="shared" ca="1" si="195"/>
        <v>0</v>
      </c>
      <c r="AR63" s="39">
        <f t="shared" ca="1" si="195"/>
        <v>1</v>
      </c>
      <c r="AS63" s="39">
        <f t="shared" ca="1" si="195"/>
        <v>1</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Japón</v>
      </c>
      <c r="BE63" s="16">
        <f t="shared" ca="1" si="193"/>
        <v>1</v>
      </c>
      <c r="BF63" s="16">
        <f t="shared" ca="1" si="150"/>
        <v>1</v>
      </c>
      <c r="BG63" s="16">
        <f t="shared" ca="1" si="174"/>
        <v>0</v>
      </c>
      <c r="BH63" s="16">
        <f t="shared" ca="1" si="175"/>
        <v>1</v>
      </c>
      <c r="BI63" s="16">
        <f t="shared" ca="1" si="176"/>
        <v>0</v>
      </c>
      <c r="BJ63" s="16">
        <f t="shared" ca="1" si="177"/>
        <v>2</v>
      </c>
      <c r="BK63" s="16">
        <f t="shared" ca="1" si="178"/>
        <v>2</v>
      </c>
      <c r="BL63" s="16">
        <f t="shared" ca="1" si="151"/>
        <v>0</v>
      </c>
      <c r="BM63" s="16">
        <f t="shared" ca="1" si="152"/>
        <v>3</v>
      </c>
      <c r="BN63" s="16">
        <f t="shared" ca="1" si="153"/>
        <v>3</v>
      </c>
      <c r="BO63" s="16" t="str">
        <f t="shared" si="154"/>
        <v>4F</v>
      </c>
      <c r="BP63" s="16"/>
      <c r="BQ63" s="16"/>
      <c r="BR63" s="16">
        <f t="shared" ca="1" si="155"/>
        <v>1</v>
      </c>
      <c r="BS63" s="16">
        <f t="shared" ca="1" si="156"/>
        <v>3</v>
      </c>
      <c r="BT63" s="16" t="str">
        <f t="shared" ca="1" si="157"/>
        <v>Pos. 3 (6)</v>
      </c>
      <c r="BU63" s="16">
        <f t="shared" ca="1" si="158"/>
        <v>0</v>
      </c>
      <c r="BV63" s="16">
        <f t="shared" ca="1" si="159"/>
        <v>3</v>
      </c>
      <c r="BW63" s="16" t="str">
        <f t="shared" ca="1" si="160"/>
        <v>Pos. 3 (4)</v>
      </c>
      <c r="BX63" s="16">
        <f t="shared" ca="1" si="161"/>
        <v>2</v>
      </c>
      <c r="BY63" s="16">
        <f t="shared" ca="1" si="162"/>
        <v>3</v>
      </c>
      <c r="BZ63" s="16" t="str">
        <f t="shared" ca="1" si="163"/>
        <v>-</v>
      </c>
      <c r="CA63" s="16" t="str">
        <f t="shared" ca="1" si="164"/>
        <v>-</v>
      </c>
      <c r="CB63" s="16">
        <f t="shared" ca="1" si="165"/>
        <v>3</v>
      </c>
      <c r="CC63" s="16"/>
      <c r="CD63" s="16">
        <f t="shared" ca="1" si="166"/>
        <v>3</v>
      </c>
      <c r="CE63" s="16" t="str">
        <f t="shared" ca="1" si="167"/>
        <v>-</v>
      </c>
      <c r="CF63" s="16">
        <f t="shared" ca="1" si="168"/>
        <v>3</v>
      </c>
      <c r="DJ63" s="16">
        <f t="shared" ca="1" si="169"/>
        <v>6</v>
      </c>
      <c r="DK63" s="16"/>
      <c r="DL63" s="16">
        <f t="shared" ca="1" si="170"/>
        <v>1</v>
      </c>
      <c r="DM63" s="16" t="str">
        <f t="shared" ca="1" si="171"/>
        <v>6.1</v>
      </c>
      <c r="DN63" s="16">
        <f t="array" aca="1" ref="DN63" ca="1">OFFSET(Horarios!$P$3,DJ63-1,0,DL63,1)</f>
        <v>6</v>
      </c>
      <c r="DO63" s="16"/>
      <c r="DP63" s="16">
        <v>6</v>
      </c>
      <c r="DQ63" s="16" t="str">
        <f t="shared" ca="1" si="172"/>
        <v>España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5"/>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España</v>
      </c>
      <c r="AM64" s="38">
        <f t="shared" ca="1" si="195"/>
        <v>1</v>
      </c>
      <c r="AN64" s="39">
        <f t="shared" ca="1" si="195"/>
        <v>1</v>
      </c>
      <c r="AO64" s="39">
        <f t="shared" ca="1" si="195"/>
        <v>0</v>
      </c>
      <c r="AP64" s="39">
        <f t="shared" ca="1" si="195"/>
        <v>1</v>
      </c>
      <c r="AQ64" s="39">
        <f t="shared" ca="1" si="195"/>
        <v>0</v>
      </c>
      <c r="AR64" s="39">
        <f t="shared" ca="1" si="195"/>
        <v>0</v>
      </c>
      <c r="AS64" s="39">
        <f t="shared" ca="1" si="195"/>
        <v>0</v>
      </c>
      <c r="AT64" s="43">
        <f t="shared" ca="1" si="195"/>
        <v>0</v>
      </c>
      <c r="AU64" s="323">
        <f ca="1">INDEX($DL$6:$DL$53,MATCH(AI64,$DP$6:$DP$53,0))</f>
        <v>1</v>
      </c>
      <c r="AV64" s="182" t="str">
        <f ca="1">INDEX($BD$6:$BD$53,MATCH(AI64,$BM$6:$BM$53,0))</f>
        <v>España</v>
      </c>
      <c r="AW64" s="210"/>
      <c r="AX64" s="171"/>
      <c r="AY64" s="201" t="str">
        <f ca="1">+A63</f>
        <v>Arabia Saudita</v>
      </c>
      <c r="AZ64" s="202"/>
      <c r="BA64" s="176"/>
      <c r="BB64" s="16" t="str">
        <f t="shared" si="173"/>
        <v>3G</v>
      </c>
      <c r="BC64" s="16" t="s">
        <v>121</v>
      </c>
      <c r="BD64" s="16" t="str">
        <f t="shared" ca="1" si="149"/>
        <v>Bélgica</v>
      </c>
      <c r="BE64" s="16">
        <f t="shared" ca="1" si="193"/>
        <v>1</v>
      </c>
      <c r="BF64" s="16">
        <f t="shared" ca="1" si="150"/>
        <v>1</v>
      </c>
      <c r="BG64" s="16">
        <f t="shared" ca="1" si="174"/>
        <v>0</v>
      </c>
      <c r="BH64" s="16">
        <f t="shared" ca="1" si="175"/>
        <v>1</v>
      </c>
      <c r="BI64" s="16">
        <f t="shared" ca="1" si="176"/>
        <v>0</v>
      </c>
      <c r="BJ64" s="16">
        <f t="shared" ca="1" si="177"/>
        <v>1</v>
      </c>
      <c r="BK64" s="16">
        <f t="shared" ca="1" si="178"/>
        <v>1</v>
      </c>
      <c r="BL64" s="16">
        <f t="shared" ca="1" si="151"/>
        <v>0</v>
      </c>
      <c r="BM64" s="16">
        <f t="shared" ca="1" si="152"/>
        <v>4</v>
      </c>
      <c r="BN64" s="16">
        <f t="shared" ca="1" si="153"/>
        <v>4</v>
      </c>
      <c r="BO64" s="16" t="str">
        <f t="shared" si="154"/>
        <v>4G</v>
      </c>
      <c r="BP64" s="16"/>
      <c r="BQ64" s="16"/>
      <c r="BR64" s="16">
        <f t="shared" ca="1" si="155"/>
        <v>1</v>
      </c>
      <c r="BS64" s="16">
        <f t="shared" ca="1" si="156"/>
        <v>3</v>
      </c>
      <c r="BT64" s="16" t="str">
        <f t="shared" ca="1" si="157"/>
        <v>Pos. 3 (6)</v>
      </c>
      <c r="BU64" s="16">
        <f t="shared" ca="1" si="158"/>
        <v>0</v>
      </c>
      <c r="BV64" s="16">
        <f t="shared" ca="1" si="159"/>
        <v>3</v>
      </c>
      <c r="BW64" s="16" t="str">
        <f t="shared" ca="1" si="160"/>
        <v>Pos. 3 (4)</v>
      </c>
      <c r="BX64" s="16">
        <f t="shared" ca="1" si="161"/>
        <v>1</v>
      </c>
      <c r="BY64" s="16">
        <f t="shared" ca="1" si="162"/>
        <v>4</v>
      </c>
      <c r="BZ64" s="16" t="str">
        <f t="shared" ca="1" si="163"/>
        <v>Pos. 4 (2)</v>
      </c>
      <c r="CA64" s="16">
        <f t="shared" ca="1" si="164"/>
        <v>11</v>
      </c>
      <c r="CB64" s="16">
        <f t="shared" ca="1" si="165"/>
        <v>4</v>
      </c>
      <c r="CC64" s="16"/>
      <c r="CD64" s="16">
        <f t="shared" ca="1" si="166"/>
        <v>4</v>
      </c>
      <c r="CE64" s="16">
        <f t="shared" ca="1" si="167"/>
        <v>3</v>
      </c>
      <c r="CF64" s="16">
        <f t="shared" ca="1" si="168"/>
        <v>4</v>
      </c>
      <c r="DJ64" s="16">
        <f t="shared" ca="1" si="169"/>
        <v>7</v>
      </c>
      <c r="DK64" s="16"/>
      <c r="DL64" s="16">
        <f t="shared" ca="1" si="170"/>
        <v>1</v>
      </c>
      <c r="DM64" s="16" t="str">
        <f t="shared" ca="1" si="171"/>
        <v>7.1</v>
      </c>
      <c r="DN64" s="16">
        <f t="array" aca="1" ref="DN64" ca="1">OFFSET(Horarios!$P$3,DJ64-1,0,DL64,1)</f>
        <v>7</v>
      </c>
      <c r="DO64" s="16"/>
      <c r="DP64" s="16">
        <v>7</v>
      </c>
      <c r="DQ64" s="16" t="str">
        <f t="shared" ca="1" si="172"/>
        <v>República Checa</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6"/>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1</v>
      </c>
      <c r="AO65" s="47">
        <f t="shared" ca="1" si="195"/>
        <v>0</v>
      </c>
      <c r="AP65" s="47">
        <f t="shared" ca="1" si="195"/>
        <v>1</v>
      </c>
      <c r="AQ65" s="47">
        <f t="shared" ca="1" si="195"/>
        <v>0</v>
      </c>
      <c r="AR65" s="47">
        <f t="shared" ca="1" si="195"/>
        <v>0</v>
      </c>
      <c r="AS65" s="47">
        <f t="shared" ca="1" si="195"/>
        <v>0</v>
      </c>
      <c r="AT65" s="48">
        <f t="shared" ca="1" si="195"/>
        <v>0</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España</v>
      </c>
      <c r="BE65" s="16">
        <f t="shared" ca="1" si="193"/>
        <v>1</v>
      </c>
      <c r="BF65" s="16">
        <f t="shared" ca="1" si="150"/>
        <v>1</v>
      </c>
      <c r="BG65" s="16">
        <f t="shared" ca="1" si="174"/>
        <v>0</v>
      </c>
      <c r="BH65" s="16">
        <f t="shared" ca="1" si="175"/>
        <v>1</v>
      </c>
      <c r="BI65" s="16">
        <f t="shared" ca="1" si="176"/>
        <v>0</v>
      </c>
      <c r="BJ65" s="16">
        <f t="shared" ca="1" si="177"/>
        <v>0</v>
      </c>
      <c r="BK65" s="16">
        <f t="shared" ca="1" si="178"/>
        <v>0</v>
      </c>
      <c r="BL65" s="16">
        <f t="shared" ca="1" si="151"/>
        <v>0</v>
      </c>
      <c r="BM65" s="16">
        <f t="shared" ca="1" si="152"/>
        <v>6</v>
      </c>
      <c r="BN65" s="16">
        <f t="shared" ca="1" si="153"/>
        <v>6</v>
      </c>
      <c r="BO65" s="16" t="str">
        <f t="shared" si="154"/>
        <v>4H</v>
      </c>
      <c r="BP65" s="16"/>
      <c r="BQ65" s="16"/>
      <c r="BR65" s="16">
        <f t="shared" ca="1" si="155"/>
        <v>1</v>
      </c>
      <c r="BS65" s="16">
        <f t="shared" ca="1" si="156"/>
        <v>3</v>
      </c>
      <c r="BT65" s="16" t="str">
        <f t="shared" ca="1" si="157"/>
        <v>Pos. 3 (6)</v>
      </c>
      <c r="BU65" s="16">
        <f t="shared" ca="1" si="158"/>
        <v>0</v>
      </c>
      <c r="BV65" s="16">
        <f t="shared" ca="1" si="159"/>
        <v>3</v>
      </c>
      <c r="BW65" s="16" t="str">
        <f t="shared" ca="1" si="160"/>
        <v>Pos. 3 (4)</v>
      </c>
      <c r="BX65" s="16">
        <f t="shared" ca="1" si="161"/>
        <v>0</v>
      </c>
      <c r="BY65" s="16">
        <f t="shared" ca="1" si="162"/>
        <v>6</v>
      </c>
      <c r="BZ65" s="16" t="str">
        <f t="shared" ca="1" si="163"/>
        <v>-</v>
      </c>
      <c r="CA65" s="16" t="str">
        <f t="shared" ca="1" si="164"/>
        <v>-</v>
      </c>
      <c r="CB65" s="16">
        <f t="shared" ca="1" si="165"/>
        <v>6</v>
      </c>
      <c r="CC65" s="16"/>
      <c r="CD65" s="16">
        <f t="shared" ca="1" si="166"/>
        <v>6</v>
      </c>
      <c r="CE65" s="16" t="str">
        <f t="shared" ca="1" si="167"/>
        <v>-</v>
      </c>
      <c r="CF65" s="16">
        <f t="shared" ca="1" si="168"/>
        <v>6</v>
      </c>
      <c r="DJ65" s="16">
        <f t="shared" ca="1" si="169"/>
        <v>8</v>
      </c>
      <c r="DK65" s="16"/>
      <c r="DL65" s="16">
        <f t="shared" ca="1" si="170"/>
        <v>1</v>
      </c>
      <c r="DM65" s="16" t="str">
        <f t="shared" ca="1" si="171"/>
        <v>8.1</v>
      </c>
      <c r="DN65" s="16">
        <f t="array" aca="1" ref="DN65" ca="1">OFFSET(Horarios!$P$3,DJ65-1,0,DL65,1)</f>
        <v>8</v>
      </c>
      <c r="DO65" s="16"/>
      <c r="DP65" s="16">
        <v>8</v>
      </c>
      <c r="DQ65" s="16" t="str">
        <f t="shared" ca="1" si="172"/>
        <v>Bosnia y Herzegovina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0</v>
      </c>
      <c r="BF66" s="16">
        <f t="shared" ca="1" si="150"/>
        <v>1</v>
      </c>
      <c r="BG66" s="16">
        <f t="shared" ca="1" si="174"/>
        <v>0</v>
      </c>
      <c r="BH66" s="16">
        <f t="shared" ca="1" si="175"/>
        <v>0</v>
      </c>
      <c r="BI66" s="16">
        <f t="shared" ca="1" si="176"/>
        <v>1</v>
      </c>
      <c r="BJ66" s="16">
        <f t="shared" ca="1" si="177"/>
        <v>1</v>
      </c>
      <c r="BK66" s="16">
        <f t="shared" ca="1" si="178"/>
        <v>3</v>
      </c>
      <c r="BL66" s="16">
        <f t="shared" ca="1" si="151"/>
        <v>-2</v>
      </c>
      <c r="BM66" s="16">
        <f t="shared" ca="1" si="152"/>
        <v>12</v>
      </c>
      <c r="BN66" s="16">
        <f t="shared" ca="1" si="153"/>
        <v>12</v>
      </c>
      <c r="BO66" s="16" t="str">
        <f t="shared" si="154"/>
        <v>4I</v>
      </c>
      <c r="BP66" s="16"/>
      <c r="BQ66" s="16"/>
      <c r="BR66" s="16">
        <f t="shared" ca="1" si="155"/>
        <v>0</v>
      </c>
      <c r="BS66" s="16">
        <f t="shared" ca="1" si="156"/>
        <v>9</v>
      </c>
      <c r="BT66" s="16" t="str">
        <f t="shared" ca="1" si="157"/>
        <v>Pos. 9 (4)</v>
      </c>
      <c r="BU66" s="16">
        <f t="shared" ca="1" si="158"/>
        <v>-2</v>
      </c>
      <c r="BV66" s="16">
        <f t="shared" ca="1" si="159"/>
        <v>11</v>
      </c>
      <c r="BW66" s="16" t="str">
        <f t="shared" ca="1" si="160"/>
        <v>Pos. 11 (2)</v>
      </c>
      <c r="BX66" s="16">
        <f t="shared" ca="1" si="161"/>
        <v>1</v>
      </c>
      <c r="BY66" s="16">
        <f t="shared" ca="1" si="162"/>
        <v>11</v>
      </c>
      <c r="BZ66" s="16" t="str">
        <f t="shared" ca="1" si="163"/>
        <v>Pos. 11 (2)</v>
      </c>
      <c r="CA66" s="16">
        <f t="shared" ca="1" si="164"/>
        <v>0</v>
      </c>
      <c r="CB66" s="16">
        <f t="shared" ca="1" si="165"/>
        <v>12</v>
      </c>
      <c r="CC66" s="16"/>
      <c r="CD66" s="16">
        <f t="shared" ca="1" si="166"/>
        <v>12</v>
      </c>
      <c r="CE66" s="16">
        <f t="shared" ca="1" si="167"/>
        <v>11</v>
      </c>
      <c r="CF66" s="16">
        <f t="shared" ca="1" si="168"/>
        <v>12</v>
      </c>
      <c r="DJ66" s="16">
        <f t="shared" ca="1" si="169"/>
        <v>9</v>
      </c>
      <c r="DK66" s="16"/>
      <c r="DL66" s="16">
        <f t="shared" ca="1" si="170"/>
        <v>1</v>
      </c>
      <c r="DM66" s="16" t="str">
        <f t="shared" ca="1" si="171"/>
        <v>9.1</v>
      </c>
      <c r="DN66" s="16">
        <f t="array" aca="1" ref="DN66" ca="1">OFFSET(Horarios!$P$3,DJ66-1,0,DL66,1)</f>
        <v>9</v>
      </c>
      <c r="DO66" s="16"/>
      <c r="DP66" s="16">
        <v>9</v>
      </c>
      <c r="DQ66" s="16" t="str">
        <f t="shared" ca="1" si="172"/>
        <v>Ecuador</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0</v>
      </c>
      <c r="BF67" s="16">
        <f t="shared" ca="1" si="150"/>
        <v>1</v>
      </c>
      <c r="BG67" s="16">
        <f t="shared" ca="1" si="174"/>
        <v>0</v>
      </c>
      <c r="BH67" s="16">
        <f t="shared" ca="1" si="175"/>
        <v>0</v>
      </c>
      <c r="BI67" s="16">
        <f t="shared" ca="1" si="176"/>
        <v>1</v>
      </c>
      <c r="BJ67" s="16">
        <f t="shared" ca="1" si="177"/>
        <v>1</v>
      </c>
      <c r="BK67" s="16">
        <f t="shared" ca="1" si="178"/>
        <v>3</v>
      </c>
      <c r="BL67" s="16">
        <f t="shared" ca="1" si="151"/>
        <v>-2</v>
      </c>
      <c r="BM67" s="16">
        <f t="shared" ca="1" si="152"/>
        <v>11</v>
      </c>
      <c r="BN67" s="16">
        <f t="shared" ca="1" si="153"/>
        <v>11</v>
      </c>
      <c r="BO67" s="16" t="str">
        <f t="shared" si="154"/>
        <v>4J</v>
      </c>
      <c r="BP67" s="16"/>
      <c r="BQ67" s="16"/>
      <c r="BR67" s="16">
        <f t="shared" ca="1" si="155"/>
        <v>0</v>
      </c>
      <c r="BS67" s="16">
        <f t="shared" ca="1" si="156"/>
        <v>9</v>
      </c>
      <c r="BT67" s="16" t="str">
        <f t="shared" ca="1" si="157"/>
        <v>Pos. 9 (4)</v>
      </c>
      <c r="BU67" s="16">
        <f t="shared" ca="1" si="158"/>
        <v>-2</v>
      </c>
      <c r="BV67" s="16">
        <f t="shared" ca="1" si="159"/>
        <v>11</v>
      </c>
      <c r="BW67" s="16" t="str">
        <f t="shared" ca="1" si="160"/>
        <v>Pos. 11 (2)</v>
      </c>
      <c r="BX67" s="16">
        <f t="shared" ca="1" si="161"/>
        <v>1</v>
      </c>
      <c r="BY67" s="16">
        <f t="shared" ca="1" si="162"/>
        <v>11</v>
      </c>
      <c r="BZ67" s="16" t="str">
        <f t="shared" ca="1" si="163"/>
        <v>Pos. 11 (2)</v>
      </c>
      <c r="CA67" s="16">
        <f t="shared" ca="1" si="164"/>
        <v>5</v>
      </c>
      <c r="CB67" s="16">
        <f t="shared" ca="1" si="165"/>
        <v>11</v>
      </c>
      <c r="CC67" s="16"/>
      <c r="CD67" s="16">
        <f t="shared" ca="1" si="166"/>
        <v>11</v>
      </c>
      <c r="CE67" s="16">
        <f t="shared" ca="1" si="167"/>
        <v>10</v>
      </c>
      <c r="CF67" s="16">
        <f t="shared" ca="1" si="168"/>
        <v>11</v>
      </c>
      <c r="DJ67" s="16">
        <f t="shared" ca="1" si="169"/>
        <v>9</v>
      </c>
      <c r="DK67" s="16"/>
      <c r="DL67" s="16">
        <f t="shared" ca="1" si="170"/>
        <v>1</v>
      </c>
      <c r="DM67" s="16" t="str">
        <f t="shared" ca="1" si="171"/>
        <v>9.1</v>
      </c>
      <c r="DN67" s="16">
        <f t="array" aca="1" ref="DN67" ca="1">OFFSET(Horarios!$P$3,DJ67-1,0,DL67,1)</f>
        <v>9</v>
      </c>
      <c r="DO67" s="16"/>
      <c r="DP67" s="16">
        <v>10</v>
      </c>
      <c r="DQ67" s="16" t="str">
        <f t="shared" ca="1" si="172"/>
        <v>Panamá</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P.3 (2)</v>
      </c>
      <c r="G68" s="16"/>
      <c r="H68" s="16" t="str">
        <f t="shared" ref="H68:H73" ca="1" si="199">IF(D68="Pendiente","-",INDEX($BZ$6:$BZ$53,MATCH($AA68,$BD$6:$BD$53,0)))</f>
        <v>P.1 (2)</v>
      </c>
      <c r="I68" s="16" t="str">
        <f t="shared" ref="I68:I73" ca="1" si="200">IF(D68="Pendiente","-",INDEX($BZ$6:$BZ$53,MATCH($AF68,$BD$6:$BD$53,0)))</f>
        <v>P.3 (2)</v>
      </c>
      <c r="J68" s="16"/>
      <c r="K68" s="16" t="str">
        <f t="shared" ref="K68:K73" ca="1" si="201">IF(D68="Pendiente","-",INDEX($CE$6:$CE$53,MATCH($AA68,$BD$6:$BD$53,0)))</f>
        <v>P.1 (2)</v>
      </c>
      <c r="L68" s="16" t="str">
        <f t="shared" ref="L68:L73" ca="1" si="202">IF(D68="Pendiente","-",INDEX($CE$6:$CE$53,MATCH($AF68,$BD$6:$BD$53,0)))</f>
        <v>P.3 (2)</v>
      </c>
      <c r="M68" s="16"/>
      <c r="N68" s="16" t="str">
        <f t="shared" ref="N68:N73" ca="1" si="203">IF(D68="Pendiente","-",INDEX($CH$6:$CH$53,MATCH($AA68,$BD$6:$BD$53,0)))</f>
        <v>P.1 (2)</v>
      </c>
      <c r="O68" s="16" t="str">
        <f t="shared" ref="O68:O73" ca="1" si="204">IF(D68="Pendiente","-",INDEX($CH$6:$CH$53,MATCH($AF68,$BD$6:$BD$53,0)))</f>
        <v>P.3 (2)</v>
      </c>
      <c r="P68" s="16"/>
      <c r="Q68" s="16" t="str">
        <f t="shared" ref="Q68:Q73" ca="1" si="205">IF(D68="Pendiente","-",INDEX($CN$6:$CN$53,MATCH($AA68,$BD$6:$BD$53,0)))</f>
        <v>P.1 (2)</v>
      </c>
      <c r="R68" s="16" t="str">
        <f t="shared" ref="R68:R73" ca="1" si="206">IF(D68="Pendiente","-",INDEX($CN$6:$CN$53,MATCH($AF68,$BD$6:$BD$53,0)))</f>
        <v>P.3 (2)</v>
      </c>
      <c r="S68" s="16"/>
      <c r="T68" s="16" t="str">
        <f t="shared" ref="T68:T73" ca="1" si="207">IF(D68="Pendiente","-",INDEX($CS$6:$CS$53,MATCH($AA68,$BD$6:$BD$53,0)))</f>
        <v>P.1 (2)</v>
      </c>
      <c r="U68" s="16" t="str">
        <f t="shared" ref="U68:U73" ca="1" si="208">IF(D68="Pendiente","-",INDEX($CS$6:$CS$53,MATCH($AF68,$BD$6:$BD$53,0)))</f>
        <v>P.3 (2)</v>
      </c>
      <c r="V68" s="17"/>
      <c r="W68" s="635"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1</v>
      </c>
      <c r="BF68" s="16">
        <f t="shared" ca="1" si="150"/>
        <v>1</v>
      </c>
      <c r="BG68" s="16">
        <f t="shared" ca="1" si="174"/>
        <v>0</v>
      </c>
      <c r="BH68" s="16">
        <f t="shared" ca="1" si="175"/>
        <v>1</v>
      </c>
      <c r="BI68" s="16">
        <f t="shared" ca="1" si="176"/>
        <v>0</v>
      </c>
      <c r="BJ68" s="16">
        <f t="shared" ca="1" si="177"/>
        <v>1</v>
      </c>
      <c r="BK68" s="16">
        <f t="shared" ca="1" si="178"/>
        <v>1</v>
      </c>
      <c r="BL68" s="16">
        <f t="shared" ca="1" si="151"/>
        <v>0</v>
      </c>
      <c r="BM68" s="16">
        <f t="shared" ca="1" si="152"/>
        <v>5</v>
      </c>
      <c r="BN68" s="16">
        <f t="shared" ca="1" si="153"/>
        <v>5</v>
      </c>
      <c r="BO68" s="16" t="str">
        <f t="shared" si="154"/>
        <v>4K</v>
      </c>
      <c r="BP68" s="16"/>
      <c r="BQ68" s="16"/>
      <c r="BR68" s="16">
        <f t="shared" ca="1" si="155"/>
        <v>1</v>
      </c>
      <c r="BS68" s="16">
        <f t="shared" ca="1" si="156"/>
        <v>3</v>
      </c>
      <c r="BT68" s="16" t="str">
        <f t="shared" ca="1" si="157"/>
        <v>Pos. 3 (6)</v>
      </c>
      <c r="BU68" s="16">
        <f t="shared" ca="1" si="158"/>
        <v>0</v>
      </c>
      <c r="BV68" s="16">
        <f t="shared" ca="1" si="159"/>
        <v>3</v>
      </c>
      <c r="BW68" s="16" t="str">
        <f t="shared" ca="1" si="160"/>
        <v>Pos. 3 (4)</v>
      </c>
      <c r="BX68" s="16">
        <f t="shared" ca="1" si="161"/>
        <v>1</v>
      </c>
      <c r="BY68" s="16">
        <f t="shared" ca="1" si="162"/>
        <v>4</v>
      </c>
      <c r="BZ68" s="16" t="str">
        <f t="shared" ca="1" si="163"/>
        <v>Pos. 4 (2)</v>
      </c>
      <c r="CA68" s="16">
        <f t="shared" ca="1" si="164"/>
        <v>2</v>
      </c>
      <c r="CB68" s="16">
        <f t="shared" ca="1" si="165"/>
        <v>5</v>
      </c>
      <c r="CC68" s="16"/>
      <c r="CD68" s="16">
        <f t="shared" ca="1" si="166"/>
        <v>5</v>
      </c>
      <c r="CE68" s="16">
        <f t="shared" ca="1" si="167"/>
        <v>4</v>
      </c>
      <c r="CF68" s="16">
        <f t="shared" ca="1" si="168"/>
        <v>5</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Jordania</v>
      </c>
    </row>
    <row r="69" spans="1:121" ht="16" customHeight="1" x14ac:dyDescent="0.2">
      <c r="A69" s="16" t="str">
        <f ca="1">+Equipos!B34</f>
        <v>Francia</v>
      </c>
      <c r="B69" s="16"/>
      <c r="C69" s="16"/>
      <c r="D69" s="16" t="str">
        <f t="shared" si="196"/>
        <v>Visitante</v>
      </c>
      <c r="E69" s="16" t="str">
        <f t="shared" ca="1" si="197"/>
        <v>P.3 (2)</v>
      </c>
      <c r="F69" s="16" t="str">
        <f t="shared" ca="1" si="198"/>
        <v>P.1 (2)</v>
      </c>
      <c r="G69" s="16"/>
      <c r="H69" s="16" t="str">
        <f t="shared" ca="1" si="199"/>
        <v>P.3 (2)</v>
      </c>
      <c r="I69" s="16" t="str">
        <f t="shared" ca="1" si="200"/>
        <v>P.1 (2)</v>
      </c>
      <c r="J69" s="16"/>
      <c r="K69" s="16" t="str">
        <f t="shared" ca="1" si="201"/>
        <v>P.3 (2)</v>
      </c>
      <c r="L69" s="16" t="str">
        <f t="shared" ca="1" si="202"/>
        <v>P.1 (2)</v>
      </c>
      <c r="M69" s="16"/>
      <c r="N69" s="16" t="str">
        <f t="shared" ca="1" si="203"/>
        <v>P.3 (2)</v>
      </c>
      <c r="O69" s="16" t="str">
        <f t="shared" ca="1" si="204"/>
        <v>P.1 (2)</v>
      </c>
      <c r="P69" s="16"/>
      <c r="Q69" s="16" t="str">
        <f t="shared" ca="1" si="205"/>
        <v>P.3 (2)</v>
      </c>
      <c r="R69" s="16" t="str">
        <f t="shared" ca="1" si="206"/>
        <v>P.1 (2)</v>
      </c>
      <c r="S69" s="16"/>
      <c r="T69" s="16" t="str">
        <f t="shared" ca="1" si="207"/>
        <v>P.3 (2)</v>
      </c>
      <c r="U69" s="16" t="str">
        <f t="shared" ca="1" si="208"/>
        <v>P.1 (2)</v>
      </c>
      <c r="V69" s="17"/>
      <c r="W69" s="625"/>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0</v>
      </c>
      <c r="BF69" s="16">
        <f t="shared" ca="1" si="150"/>
        <v>1</v>
      </c>
      <c r="BG69" s="16">
        <f t="shared" ca="1" si="174"/>
        <v>0</v>
      </c>
      <c r="BH69" s="16">
        <f t="shared" ca="1" si="175"/>
        <v>0</v>
      </c>
      <c r="BI69" s="16">
        <f t="shared" ca="1" si="176"/>
        <v>1</v>
      </c>
      <c r="BJ69" s="16">
        <f t="shared" ca="1" si="177"/>
        <v>0</v>
      </c>
      <c r="BK69" s="16">
        <f t="shared" ca="1" si="178"/>
        <v>1</v>
      </c>
      <c r="BL69" s="16">
        <f t="shared" ca="1" si="151"/>
        <v>-1</v>
      </c>
      <c r="BM69" s="16">
        <f t="shared" ca="1" si="152"/>
        <v>10</v>
      </c>
      <c r="BN69" s="16">
        <f t="shared" ca="1" si="153"/>
        <v>10</v>
      </c>
      <c r="BO69" s="16" t="str">
        <f t="shared" si="154"/>
        <v>4L</v>
      </c>
      <c r="BP69" s="16"/>
      <c r="BQ69" s="16"/>
      <c r="BR69" s="16">
        <f t="shared" ca="1" si="155"/>
        <v>0</v>
      </c>
      <c r="BS69" s="16">
        <f t="shared" ca="1" si="156"/>
        <v>9</v>
      </c>
      <c r="BT69" s="16" t="str">
        <f t="shared" ca="1" si="157"/>
        <v>Pos. 9 (4)</v>
      </c>
      <c r="BU69" s="16">
        <f t="shared" ca="1" si="158"/>
        <v>-1</v>
      </c>
      <c r="BV69" s="16">
        <f t="shared" ca="1" si="159"/>
        <v>9</v>
      </c>
      <c r="BW69" s="16" t="str">
        <f t="shared" ca="1" si="160"/>
        <v>Pos. 9 (2)</v>
      </c>
      <c r="BX69" s="16">
        <f t="shared" ca="1" si="161"/>
        <v>0</v>
      </c>
      <c r="BY69" s="16">
        <f t="shared" ca="1" si="162"/>
        <v>9</v>
      </c>
      <c r="BZ69" s="16" t="str">
        <f t="shared" ca="1" si="163"/>
        <v>Pos. 9 (2)</v>
      </c>
      <c r="CA69" s="16">
        <f t="shared" ca="1" si="164"/>
        <v>4</v>
      </c>
      <c r="CB69" s="16">
        <f t="shared" ca="1" si="165"/>
        <v>10</v>
      </c>
      <c r="CC69" s="16"/>
      <c r="CD69" s="16">
        <f t="shared" ca="1" si="166"/>
        <v>10</v>
      </c>
      <c r="CE69" s="16">
        <f t="shared" ca="1" si="167"/>
        <v>9</v>
      </c>
      <c r="CF69" s="16">
        <f t="shared" ca="1" si="168"/>
        <v>10</v>
      </c>
      <c r="DJ69" s="16">
        <f t="shared" ca="1" si="169"/>
        <v>11</v>
      </c>
      <c r="DK69" s="16"/>
      <c r="DL69" s="16">
        <f t="shared" ca="1" si="170"/>
        <v>1</v>
      </c>
      <c r="DM69" s="16" t="str">
        <f t="shared" ca="1" si="171"/>
        <v>11.1</v>
      </c>
      <c r="DN69" s="16">
        <f t="array" aca="1" ref="DN69" ca="1">OFFSET(Horarios!$P$3,DJ69-1,0,DL69,1)</f>
        <v>11</v>
      </c>
      <c r="DO69" s="16"/>
      <c r="DP69" s="16">
        <v>12</v>
      </c>
      <c r="DQ69" s="16" t="str">
        <f t="shared" ca="1" si="172"/>
        <v>Senegal</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5"/>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Noruega</v>
      </c>
      <c r="AM70" s="35">
        <f t="shared" ref="AM70:AT73" ca="1" si="211">INDEX($BE$6:$BN$53,MATCH($AL70,$BD$6:$BD$53,0),MATCH(AM$5,$BE$5:$BN$5,0))</f>
        <v>3</v>
      </c>
      <c r="AN70" s="36">
        <f t="shared" ca="1" si="211"/>
        <v>1</v>
      </c>
      <c r="AO70" s="36">
        <f t="shared" ca="1" si="211"/>
        <v>1</v>
      </c>
      <c r="AP70" s="36">
        <f t="shared" ca="1" si="211"/>
        <v>0</v>
      </c>
      <c r="AQ70" s="36">
        <f t="shared" ca="1" si="211"/>
        <v>0</v>
      </c>
      <c r="AR70" s="36">
        <f t="shared" ca="1" si="211"/>
        <v>4</v>
      </c>
      <c r="AS70" s="36">
        <f t="shared" ca="1" si="211"/>
        <v>1</v>
      </c>
      <c r="AT70" s="41">
        <f t="shared" ca="1" si="211"/>
        <v>3</v>
      </c>
      <c r="AU70" s="323">
        <f ca="1">INDEX($DL$6:$DL$53,MATCH(AI70,$DP$6:$DP$53,0))</f>
        <v>1</v>
      </c>
      <c r="AV70" s="182" t="str">
        <f ca="1">INDEX($BD$6:$BD$53,MATCH(AI70,$BM$6:$BM$53,0))</f>
        <v>Noruega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5"/>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Francia</v>
      </c>
      <c r="AM71" s="38">
        <f t="shared" ca="1" si="211"/>
        <v>3</v>
      </c>
      <c r="AN71" s="39">
        <f t="shared" ca="1" si="211"/>
        <v>1</v>
      </c>
      <c r="AO71" s="39">
        <f t="shared" ca="1" si="211"/>
        <v>1</v>
      </c>
      <c r="AP71" s="39">
        <f t="shared" ca="1" si="211"/>
        <v>0</v>
      </c>
      <c r="AQ71" s="39">
        <f t="shared" ca="1" si="211"/>
        <v>0</v>
      </c>
      <c r="AR71" s="39">
        <f t="shared" ca="1" si="211"/>
        <v>3</v>
      </c>
      <c r="AS71" s="39">
        <f t="shared" ca="1" si="211"/>
        <v>1</v>
      </c>
      <c r="AT71" s="43">
        <f t="shared" ca="1" si="211"/>
        <v>2</v>
      </c>
      <c r="AU71" s="323">
        <f ca="1">INDEX($DL$6:$DL$53,MATCH(AI71,$DP$6:$DP$53,0))</f>
        <v>1</v>
      </c>
      <c r="AV71" s="182" t="str">
        <f ca="1">INDEX($BD$6:$BD$53,MATCH(AI71,$BM$6:$BM$53,0))</f>
        <v>Francia</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5"/>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Senegal</v>
      </c>
      <c r="AM72" s="38">
        <f t="shared" ca="1" si="211"/>
        <v>0</v>
      </c>
      <c r="AN72" s="39">
        <f t="shared" ca="1" si="211"/>
        <v>1</v>
      </c>
      <c r="AO72" s="39">
        <f t="shared" ca="1" si="211"/>
        <v>0</v>
      </c>
      <c r="AP72" s="39">
        <f t="shared" ca="1" si="211"/>
        <v>0</v>
      </c>
      <c r="AQ72" s="39">
        <f t="shared" ca="1" si="211"/>
        <v>1</v>
      </c>
      <c r="AR72" s="39">
        <f t="shared" ca="1" si="211"/>
        <v>1</v>
      </c>
      <c r="AS72" s="39">
        <f t="shared" ca="1" si="211"/>
        <v>3</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6"/>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1</v>
      </c>
      <c r="AO73" s="47">
        <f t="shared" ca="1" si="211"/>
        <v>0</v>
      </c>
      <c r="AP73" s="47">
        <f t="shared" ca="1" si="211"/>
        <v>0</v>
      </c>
      <c r="AQ73" s="47">
        <f t="shared" ca="1" si="211"/>
        <v>1</v>
      </c>
      <c r="AR73" s="47">
        <f t="shared" ca="1" si="211"/>
        <v>1</v>
      </c>
      <c r="AS73" s="47">
        <f t="shared" ca="1" si="211"/>
        <v>4</v>
      </c>
      <c r="AT73" s="48">
        <f t="shared" ca="1" si="211"/>
        <v>-3</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P.3 (2)</v>
      </c>
      <c r="G76" s="16"/>
      <c r="H76" s="16" t="str">
        <f t="shared" ref="H76:H81" ca="1" si="215">IF(D76="Pendiente","-",INDEX($BZ$6:$BZ$53,MATCH($AA76,$BD$6:$BD$53,0)))</f>
        <v>P.1 (2)</v>
      </c>
      <c r="I76" s="16" t="str">
        <f t="shared" ref="I76:I81" ca="1" si="216">IF(D76="Pendiente","-",INDEX($BZ$6:$BZ$53,MATCH($AF76,$BD$6:$BD$53,0)))</f>
        <v>P.3 (2)</v>
      </c>
      <c r="J76" s="16"/>
      <c r="K76" s="16" t="str">
        <f t="shared" ref="K76:K81" ca="1" si="217">IF(D76="Pendiente","-",INDEX($CE$6:$CE$53,MATCH($AA76,$BD$6:$BD$53,0)))</f>
        <v>P.1 (2)</v>
      </c>
      <c r="L76" s="16" t="str">
        <f t="shared" ref="L76:L81" ca="1" si="218">IF(D76="Pendiente","-",INDEX($CE$6:$CE$53,MATCH($AF76,$BD$6:$BD$53,0)))</f>
        <v>P.3 (2)</v>
      </c>
      <c r="M76" s="16"/>
      <c r="N76" s="16" t="str">
        <f t="shared" ref="N76:N81" ca="1" si="219">IF(D76="Pendiente","-",INDEX($CH$6:$CH$53,MATCH($AA76,$BD$6:$BD$53,0)))</f>
        <v>P.1 (2)</v>
      </c>
      <c r="O76" s="16" t="str">
        <f t="shared" ref="O76:O81" ca="1" si="220">IF(D76="Pendiente","-",INDEX($CH$6:$CH$53,MATCH($AF76,$BD$6:$BD$53,0)))</f>
        <v>P.3 (2)</v>
      </c>
      <c r="P76" s="16"/>
      <c r="Q76" s="16" t="str">
        <f t="shared" ref="Q76:Q81" ca="1" si="221">IF(D76="Pendiente","-",INDEX($CN$6:$CN$53,MATCH($AA76,$BD$6:$BD$53,0)))</f>
        <v>P.1 (2)</v>
      </c>
      <c r="R76" s="16" t="str">
        <f t="shared" ref="R76:R81" ca="1" si="222">IF(D76="Pendiente","-",INDEX($CN$6:$CN$53,MATCH($AF76,$BD$6:$BD$53,0)))</f>
        <v>P.3 (2)</v>
      </c>
      <c r="S76" s="16"/>
      <c r="T76" s="16" t="str">
        <f t="shared" ref="T76:T81" ca="1" si="223">IF(D76="Pendiente","-",INDEX($CS$6:$CS$53,MATCH($AA76,$BD$6:$BD$53,0)))</f>
        <v>P.1 (2)</v>
      </c>
      <c r="U76" s="16" t="str">
        <f t="shared" ref="U76:U81" ca="1" si="224">IF(D76="Pendiente","-",INDEX($CS$6:$CS$53,MATCH($AF76,$BD$6:$BD$53,0)))</f>
        <v>P.3 (2)</v>
      </c>
      <c r="V76" s="17"/>
      <c r="W76" s="639"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P.3 (2)</v>
      </c>
      <c r="G77" s="16"/>
      <c r="H77" s="16" t="str">
        <f t="shared" ca="1" si="215"/>
        <v>P.1 (2)</v>
      </c>
      <c r="I77" s="16" t="str">
        <f t="shared" ca="1" si="216"/>
        <v>P.3 (2)</v>
      </c>
      <c r="J77" s="16"/>
      <c r="K77" s="16" t="str">
        <f t="shared" ca="1" si="217"/>
        <v>P.1 (2)</v>
      </c>
      <c r="L77" s="16" t="str">
        <f t="shared" ca="1" si="218"/>
        <v>P.3 (2)</v>
      </c>
      <c r="M77" s="16"/>
      <c r="N77" s="16" t="str">
        <f t="shared" ca="1" si="219"/>
        <v>P.1 (2)</v>
      </c>
      <c r="O77" s="16" t="str">
        <f t="shared" ca="1" si="220"/>
        <v>P.3 (2)</v>
      </c>
      <c r="P77" s="16"/>
      <c r="Q77" s="16" t="str">
        <f t="shared" ca="1" si="221"/>
        <v>P.1 (2)</v>
      </c>
      <c r="R77" s="16" t="str">
        <f t="shared" ca="1" si="222"/>
        <v>P.3 (2)</v>
      </c>
      <c r="S77" s="16"/>
      <c r="T77" s="16" t="str">
        <f t="shared" ca="1" si="223"/>
        <v>P.1 (2)</v>
      </c>
      <c r="U77" s="16" t="str">
        <f t="shared" ca="1" si="224"/>
        <v>P.3 (2)</v>
      </c>
      <c r="V77" s="17"/>
      <c r="W77" s="625"/>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5"/>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3</v>
      </c>
      <c r="AN78" s="36">
        <f t="shared" ca="1" si="227"/>
        <v>1</v>
      </c>
      <c r="AO78" s="36">
        <f t="shared" ca="1" si="227"/>
        <v>1</v>
      </c>
      <c r="AP78" s="36">
        <f t="shared" ca="1" si="227"/>
        <v>0</v>
      </c>
      <c r="AQ78" s="36">
        <f t="shared" ca="1" si="227"/>
        <v>0</v>
      </c>
      <c r="AR78" s="36">
        <f t="shared" ca="1" si="227"/>
        <v>3</v>
      </c>
      <c r="AS78" s="36">
        <f t="shared" ca="1" si="227"/>
        <v>0</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5"/>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Austria</v>
      </c>
      <c r="AM79" s="38">
        <f t="shared" ca="1" si="227"/>
        <v>3</v>
      </c>
      <c r="AN79" s="39">
        <f t="shared" ca="1" si="227"/>
        <v>1</v>
      </c>
      <c r="AO79" s="39">
        <f t="shared" ca="1" si="227"/>
        <v>1</v>
      </c>
      <c r="AP79" s="39">
        <f t="shared" ca="1" si="227"/>
        <v>0</v>
      </c>
      <c r="AQ79" s="39">
        <f t="shared" ca="1" si="227"/>
        <v>0</v>
      </c>
      <c r="AR79" s="39">
        <f t="shared" ca="1" si="227"/>
        <v>3</v>
      </c>
      <c r="AS79" s="39">
        <f t="shared" ca="1" si="227"/>
        <v>1</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5"/>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Jordania</v>
      </c>
      <c r="AM80" s="38">
        <f t="shared" ca="1" si="227"/>
        <v>0</v>
      </c>
      <c r="AN80" s="39">
        <f t="shared" ca="1" si="227"/>
        <v>1</v>
      </c>
      <c r="AO80" s="39">
        <f t="shared" ca="1" si="227"/>
        <v>0</v>
      </c>
      <c r="AP80" s="39">
        <f t="shared" ca="1" si="227"/>
        <v>0</v>
      </c>
      <c r="AQ80" s="39">
        <f t="shared" ca="1" si="227"/>
        <v>1</v>
      </c>
      <c r="AR80" s="39">
        <f t="shared" ca="1" si="227"/>
        <v>1</v>
      </c>
      <c r="AS80" s="39">
        <f t="shared" ca="1" si="227"/>
        <v>3</v>
      </c>
      <c r="AT80" s="43">
        <f t="shared" ca="1" si="227"/>
        <v>-2</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6"/>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1</v>
      </c>
      <c r="AO81" s="47">
        <f t="shared" ca="1" si="227"/>
        <v>0</v>
      </c>
      <c r="AP81" s="47">
        <f t="shared" ca="1" si="227"/>
        <v>0</v>
      </c>
      <c r="AQ81" s="47">
        <f t="shared" ca="1" si="227"/>
        <v>1</v>
      </c>
      <c r="AR81" s="47">
        <f t="shared" ca="1" si="227"/>
        <v>0</v>
      </c>
      <c r="AS81" s="47">
        <f t="shared" ca="1" si="227"/>
        <v>3</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P.2 (2)</v>
      </c>
      <c r="F84" s="16" t="str">
        <f t="shared" ref="F84:F89" ca="1" si="230">IF(D84="Pendiente","-",INDEX($BT$6:$BT$53,MATCH($AF84,$BD$6:$BD$53,0)))</f>
        <v>P.2 (2)</v>
      </c>
      <c r="G84" s="16"/>
      <c r="H84" s="16" t="str">
        <f t="shared" ref="H84:H89" ca="1" si="231">IF(D84="Pendiente","-",INDEX($BZ$6:$BZ$53,MATCH($AA84,$BD$6:$BD$53,0)))</f>
        <v>P.2 (2)</v>
      </c>
      <c r="I84" s="16" t="str">
        <f t="shared" ref="I84:I89" ca="1" si="232">IF(D84="Pendiente","-",INDEX($BZ$6:$BZ$53,MATCH($AF84,$BD$6:$BD$53,0)))</f>
        <v>P.2 (2)</v>
      </c>
      <c r="J84" s="16"/>
      <c r="K84" s="16" t="str">
        <f t="shared" ref="K84:K89" ca="1" si="233">IF(D84="Pendiente","-",INDEX($CE$6:$CE$53,MATCH($AA84,$BD$6:$BD$53,0)))</f>
        <v>P.2 (2)</v>
      </c>
      <c r="L84" s="16" t="str">
        <f t="shared" ref="L84:L89" ca="1" si="234">IF(D84="Pendiente","-",INDEX($CE$6:$CE$53,MATCH($AF84,$BD$6:$BD$53,0)))</f>
        <v>P.2 (2)</v>
      </c>
      <c r="M84" s="16"/>
      <c r="N84" s="16" t="str">
        <f t="shared" ref="N84:N89" ca="1" si="235">IF(D84="Pendiente","-",INDEX($CH$6:$CH$53,MATCH($AA84,$BD$6:$BD$53,0)))</f>
        <v>P.2 (2)</v>
      </c>
      <c r="O84" s="16" t="str">
        <f t="shared" ref="O84:O89" ca="1" si="236">IF(D84="Pendiente","-",INDEX($CH$6:$CH$53,MATCH($AF84,$BD$6:$BD$53,0)))</f>
        <v>P.2 (2)</v>
      </c>
      <c r="P84" s="16"/>
      <c r="Q84" s="16" t="str">
        <f t="shared" ref="Q84:Q89" ca="1" si="237">IF(D84="Pendiente","-",INDEX($CN$6:$CN$53,MATCH($AA84,$BD$6:$BD$53,0)))</f>
        <v>P.2 (2)</v>
      </c>
      <c r="R84" s="16" t="str">
        <f t="shared" ref="R84:R89" ca="1" si="238">IF(D84="Pendiente","-",INDEX($CN$6:$CN$53,MATCH($AF84,$BD$6:$BD$53,0)))</f>
        <v>P.2 (2)</v>
      </c>
      <c r="S84" s="16"/>
      <c r="T84" s="16" t="str">
        <f t="shared" ref="T84:T89" ca="1" si="239">IF(D84="Pendiente","-",INDEX($CS$6:$CS$53,MATCH($AA84,$BD$6:$BD$53,0)))</f>
        <v>P.2 (2)</v>
      </c>
      <c r="U84" s="16" t="str">
        <f t="shared" ref="U84:U89" ca="1" si="240">IF(D84="Pendiente","-",INDEX($CS$6:$CS$53,MATCH($AF84,$BD$6:$BD$53,0)))</f>
        <v>P.2 (2)</v>
      </c>
      <c r="V84" s="17"/>
      <c r="W84" s="630"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5"/>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5"/>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3</v>
      </c>
      <c r="AN86" s="36">
        <f t="shared" ca="1" si="243"/>
        <v>1</v>
      </c>
      <c r="AO86" s="36">
        <f t="shared" ca="1" si="243"/>
        <v>1</v>
      </c>
      <c r="AP86" s="36">
        <f t="shared" ca="1" si="243"/>
        <v>0</v>
      </c>
      <c r="AQ86" s="36">
        <f t="shared" ca="1" si="243"/>
        <v>0</v>
      </c>
      <c r="AR86" s="36">
        <f t="shared" ca="1" si="243"/>
        <v>3</v>
      </c>
      <c r="AS86" s="36">
        <f t="shared" ca="1" si="243"/>
        <v>1</v>
      </c>
      <c r="AT86" s="41">
        <f t="shared" ca="1" si="243"/>
        <v>2</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5"/>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Portugal</v>
      </c>
      <c r="AM87" s="38">
        <f t="shared" ca="1" si="243"/>
        <v>1</v>
      </c>
      <c r="AN87" s="39">
        <f t="shared" ca="1" si="243"/>
        <v>1</v>
      </c>
      <c r="AO87" s="39">
        <f t="shared" ca="1" si="243"/>
        <v>0</v>
      </c>
      <c r="AP87" s="39">
        <f t="shared" ca="1" si="243"/>
        <v>1</v>
      </c>
      <c r="AQ87" s="39">
        <f t="shared" ca="1" si="243"/>
        <v>0</v>
      </c>
      <c r="AR87" s="39">
        <f t="shared" ca="1" si="243"/>
        <v>1</v>
      </c>
      <c r="AS87" s="39">
        <f t="shared" ca="1" si="243"/>
        <v>1</v>
      </c>
      <c r="AT87" s="43">
        <f t="shared" ca="1" si="243"/>
        <v>0</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5"/>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RD Congo</v>
      </c>
      <c r="AM88" s="38">
        <f t="shared" ca="1" si="243"/>
        <v>1</v>
      </c>
      <c r="AN88" s="39">
        <f t="shared" ca="1" si="243"/>
        <v>1</v>
      </c>
      <c r="AO88" s="39">
        <f t="shared" ca="1" si="243"/>
        <v>0</v>
      </c>
      <c r="AP88" s="39">
        <f t="shared" ca="1" si="243"/>
        <v>1</v>
      </c>
      <c r="AQ88" s="39">
        <f t="shared" ca="1" si="243"/>
        <v>0</v>
      </c>
      <c r="AR88" s="39">
        <f t="shared" ca="1" si="243"/>
        <v>1</v>
      </c>
      <c r="AS88" s="39">
        <f t="shared" ca="1" si="243"/>
        <v>1</v>
      </c>
      <c r="AT88" s="43">
        <f t="shared" ca="1" si="243"/>
        <v>0</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6"/>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1</v>
      </c>
      <c r="AO89" s="47">
        <f t="shared" ca="1" si="243"/>
        <v>0</v>
      </c>
      <c r="AP89" s="47">
        <f t="shared" ca="1" si="243"/>
        <v>0</v>
      </c>
      <c r="AQ89" s="47">
        <f t="shared" ca="1" si="243"/>
        <v>1</v>
      </c>
      <c r="AR89" s="47">
        <f t="shared" ca="1" si="243"/>
        <v>1</v>
      </c>
      <c r="AS89" s="47">
        <f t="shared" ca="1" si="243"/>
        <v>3</v>
      </c>
      <c r="AT89" s="48">
        <f t="shared" ca="1" si="243"/>
        <v>-2</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P.1 (2)</v>
      </c>
      <c r="F92" s="16" t="str">
        <f t="shared" ref="F92:F97" ca="1" si="246">IF(D92="Pendiente","-",INDEX($BT$6:$BT$53,MATCH($AF92,$BD$6:$BD$53,0)))</f>
        <v>P.3 (2)</v>
      </c>
      <c r="G92" s="16"/>
      <c r="H92" s="16" t="str">
        <f t="shared" ref="H92:H97" ca="1" si="247">IF(D92="Pendiente","-",INDEX($BZ$6:$BZ$53,MATCH($AA92,$BD$6:$BD$53,0)))</f>
        <v>P.1 (2)</v>
      </c>
      <c r="I92" s="16" t="str">
        <f t="shared" ref="I92:I97" ca="1" si="248">IF(D92="Pendiente","-",INDEX($BZ$6:$BZ$53,MATCH($AF92,$BD$6:$BD$53,0)))</f>
        <v>P.3 (2)</v>
      </c>
      <c r="J92" s="16"/>
      <c r="K92" s="16" t="str">
        <f t="shared" ref="K92:K97" ca="1" si="249">IF(D92="Pendiente","-",INDEX($CE$6:$CE$53,MATCH($AA92,$BD$6:$BD$53,0)))</f>
        <v>P.1 (2)</v>
      </c>
      <c r="L92" s="16" t="str">
        <f t="shared" ref="L92:L97" ca="1" si="250">IF(D92="Pendiente","-",INDEX($CE$6:$CE$53,MATCH($AF92,$BD$6:$BD$53,0)))</f>
        <v>P.3 (2)</v>
      </c>
      <c r="M92" s="16"/>
      <c r="N92" s="16" t="str">
        <f t="shared" ref="N92:N97" ca="1" si="251">IF(D92="Pendiente","-",INDEX($CH$6:$CH$53,MATCH($AA92,$BD$6:$BD$53,0)))</f>
        <v>P.1 (2)</v>
      </c>
      <c r="O92" s="16" t="str">
        <f t="shared" ref="O92:O97" ca="1" si="252">IF(D92="Pendiente","-",INDEX($CH$6:$CH$53,MATCH($AF92,$BD$6:$BD$53,0)))</f>
        <v>P.3 (2)</v>
      </c>
      <c r="P92" s="16"/>
      <c r="Q92" s="16" t="str">
        <f t="shared" ref="Q92:Q97" ca="1" si="253">IF(D92="Pendiente","-",INDEX($CN$6:$CN$53,MATCH($AA92,$BD$6:$BD$53,0)))</f>
        <v>P.1 (2)</v>
      </c>
      <c r="R92" s="16" t="str">
        <f t="shared" ref="R92:R97" ca="1" si="254">IF(D92="Pendiente","-",INDEX($CN$6:$CN$53,MATCH($AF92,$BD$6:$BD$53,0)))</f>
        <v>P.3 (2)</v>
      </c>
      <c r="S92" s="16"/>
      <c r="T92" s="16" t="str">
        <f t="shared" ref="T92:T97" ca="1" si="255">IF(D92="Pendiente","-",INDEX($CS$6:$CS$53,MATCH($AA92,$BD$6:$BD$53,0)))</f>
        <v>P.1 (2)</v>
      </c>
      <c r="U92" s="16" t="str">
        <f t="shared" ref="U92:U97" ca="1" si="256">IF(D92="Pendiente","-",INDEX($CS$6:$CS$53,MATCH($AF92,$BD$6:$BD$53,0)))</f>
        <v>P.3 (2)</v>
      </c>
      <c r="V92" s="17"/>
      <c r="W92" s="633"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P.1 (2)</v>
      </c>
      <c r="F93" s="16" t="str">
        <f t="shared" ca="1" si="246"/>
        <v>P.3 (2)</v>
      </c>
      <c r="G93" s="16"/>
      <c r="H93" s="16" t="str">
        <f t="shared" ca="1" si="247"/>
        <v>P.1 (2)</v>
      </c>
      <c r="I93" s="16" t="str">
        <f t="shared" ca="1" si="248"/>
        <v>P.3 (2)</v>
      </c>
      <c r="J93" s="16"/>
      <c r="K93" s="16" t="str">
        <f t="shared" ca="1" si="249"/>
        <v>P.1 (2)</v>
      </c>
      <c r="L93" s="16" t="str">
        <f t="shared" ca="1" si="250"/>
        <v>P.3 (2)</v>
      </c>
      <c r="M93" s="16"/>
      <c r="N93" s="16" t="str">
        <f t="shared" ca="1" si="251"/>
        <v>P.1 (2)</v>
      </c>
      <c r="O93" s="16" t="str">
        <f t="shared" ca="1" si="252"/>
        <v>P.3 (2)</v>
      </c>
      <c r="P93" s="16"/>
      <c r="Q93" s="16" t="str">
        <f t="shared" ca="1" si="253"/>
        <v>P.1 (2)</v>
      </c>
      <c r="R93" s="16" t="str">
        <f t="shared" ca="1" si="254"/>
        <v>P.3 (2)</v>
      </c>
      <c r="S93" s="16"/>
      <c r="T93" s="16" t="str">
        <f t="shared" ca="1" si="255"/>
        <v>P.1 (2)</v>
      </c>
      <c r="U93" s="16" t="str">
        <f t="shared" ca="1" si="256"/>
        <v>P.3 (2)</v>
      </c>
      <c r="V93" s="17"/>
      <c r="W93" s="625"/>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5"/>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3</v>
      </c>
      <c r="AN94" s="36">
        <f t="shared" ca="1" si="259"/>
        <v>1</v>
      </c>
      <c r="AO94" s="36">
        <f t="shared" ca="1" si="259"/>
        <v>1</v>
      </c>
      <c r="AP94" s="36">
        <f t="shared" ca="1" si="259"/>
        <v>0</v>
      </c>
      <c r="AQ94" s="36">
        <f t="shared" ca="1" si="259"/>
        <v>0</v>
      </c>
      <c r="AR94" s="36">
        <f t="shared" ca="1" si="259"/>
        <v>4</v>
      </c>
      <c r="AS94" s="36">
        <f t="shared" ca="1" si="259"/>
        <v>2</v>
      </c>
      <c r="AT94" s="41">
        <f t="shared" ca="1" si="259"/>
        <v>2</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5"/>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Ghana</v>
      </c>
      <c r="AM95" s="38">
        <f t="shared" ca="1" si="259"/>
        <v>3</v>
      </c>
      <c r="AN95" s="39">
        <f t="shared" ca="1" si="259"/>
        <v>1</v>
      </c>
      <c r="AO95" s="39">
        <f t="shared" ca="1" si="259"/>
        <v>1</v>
      </c>
      <c r="AP95" s="39">
        <f t="shared" ca="1" si="259"/>
        <v>0</v>
      </c>
      <c r="AQ95" s="39">
        <f t="shared" ca="1" si="259"/>
        <v>0</v>
      </c>
      <c r="AR95" s="39">
        <f t="shared" ca="1" si="259"/>
        <v>1</v>
      </c>
      <c r="AS95" s="39">
        <f t="shared" ca="1" si="259"/>
        <v>0</v>
      </c>
      <c r="AT95" s="43">
        <f t="shared" ca="1" si="259"/>
        <v>1</v>
      </c>
      <c r="AU95" s="323">
        <f ca="1">INDEX($DL$6:$DL$53,MATCH(AI95,$DP$6:$DP$53,0))</f>
        <v>1</v>
      </c>
      <c r="AV95" s="182" t="str">
        <f ca="1">INDEX($BD$6:$BD$53,MATCH(AI95,$BM$6:$BM$53,0))</f>
        <v>Ghana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5"/>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Panamá</v>
      </c>
      <c r="AM96" s="38">
        <f t="shared" ca="1" si="259"/>
        <v>0</v>
      </c>
      <c r="AN96" s="39">
        <f t="shared" ca="1" si="259"/>
        <v>1</v>
      </c>
      <c r="AO96" s="39">
        <f t="shared" ca="1" si="259"/>
        <v>0</v>
      </c>
      <c r="AP96" s="39">
        <f t="shared" ca="1" si="259"/>
        <v>0</v>
      </c>
      <c r="AQ96" s="39">
        <f t="shared" ca="1" si="259"/>
        <v>1</v>
      </c>
      <c r="AR96" s="39">
        <f t="shared" ca="1" si="259"/>
        <v>0</v>
      </c>
      <c r="AS96" s="39">
        <f t="shared" ca="1" si="259"/>
        <v>1</v>
      </c>
      <c r="AT96" s="43">
        <f t="shared" ca="1" si="259"/>
        <v>-1</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6"/>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Croacia</v>
      </c>
      <c r="AM97" s="46">
        <f t="shared" ca="1" si="259"/>
        <v>0</v>
      </c>
      <c r="AN97" s="47">
        <f t="shared" ca="1" si="259"/>
        <v>1</v>
      </c>
      <c r="AO97" s="47">
        <f t="shared" ca="1" si="259"/>
        <v>0</v>
      </c>
      <c r="AP97" s="47">
        <f t="shared" ca="1" si="259"/>
        <v>0</v>
      </c>
      <c r="AQ97" s="47">
        <f t="shared" ca="1" si="259"/>
        <v>1</v>
      </c>
      <c r="AR97" s="47">
        <f t="shared" ca="1" si="259"/>
        <v>2</v>
      </c>
      <c r="AS97" s="47">
        <f t="shared" ca="1" si="259"/>
        <v>4</v>
      </c>
      <c r="AT97" s="48">
        <f t="shared" ca="1" si="259"/>
        <v>-2</v>
      </c>
      <c r="AU97" s="323">
        <f ca="1">INDEX($DL$6:$DL$53,MATCH(AI97,$DP$6:$DP$53,0))</f>
        <v>1</v>
      </c>
      <c r="AV97" s="182" t="str">
        <f ca="1">INDEX($BD$6:$BD$53,MATCH(AI97,$BM$6:$BM$53,0))</f>
        <v>Croacia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8</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24"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ABCDFGHK</v>
      </c>
      <c r="BA101" s="176"/>
    </row>
    <row r="102" spans="1:62" ht="16" customHeight="1" x14ac:dyDescent="0.2">
      <c r="A102" s="16" t="s">
        <v>88</v>
      </c>
      <c r="B102" s="16" t="s">
        <v>141</v>
      </c>
      <c r="C102" s="16"/>
      <c r="D102" s="16" t="str">
        <f t="shared" si="260"/>
        <v>W76</v>
      </c>
      <c r="E102" s="16" t="s">
        <v>103</v>
      </c>
      <c r="F102" s="16" t="s">
        <v>142</v>
      </c>
      <c r="G102" s="16" t="s">
        <v>76</v>
      </c>
      <c r="H102" s="16">
        <f t="shared" ca="1" si="261"/>
        <v>8</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5"/>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Escocia</v>
      </c>
      <c r="AM102" s="575">
        <f t="shared" ref="AM102:AT113" ca="1" si="269">+IF($H$113&gt;=48,INDEX($BE$58:$BN$69,MATCH($AL102,$BD$58:$BD$69,0),MATCH(AM$5,$BE$57:$BN$57,0)),$BB58)</f>
        <v>3</v>
      </c>
      <c r="AN102" s="82">
        <f t="shared" ca="1" si="269"/>
        <v>2</v>
      </c>
      <c r="AO102" s="82">
        <f t="shared" ca="1" si="269"/>
        <v>1</v>
      </c>
      <c r="AP102" s="82">
        <f t="shared" ca="1" si="269"/>
        <v>0</v>
      </c>
      <c r="AQ102" s="83">
        <f t="shared" ca="1" si="269"/>
        <v>1</v>
      </c>
      <c r="AR102" s="83">
        <f t="shared" ca="1" si="269"/>
        <v>1</v>
      </c>
      <c r="AS102" s="83">
        <f t="shared" ca="1" si="269"/>
        <v>1</v>
      </c>
      <c r="AT102" s="84">
        <f t="shared" ca="1" si="269"/>
        <v>0</v>
      </c>
      <c r="AU102" s="323" t="str">
        <f t="shared" ref="AU102:AU113" ca="1" si="270">IF($H$113=144,INDEX($DL$58:$DL$69,MATCH(AI102,$DP$58:$DP$69,0)),"")</f>
        <v/>
      </c>
      <c r="AV102" s="182" t="str">
        <f t="shared" ref="AV102:AV113" ca="1" si="271">INDEX($BD$58:$BD$69,MATCH(AI102,$BM$58:$BM$69,0))</f>
        <v>Escocia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8</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5"/>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Paraguay</v>
      </c>
      <c r="AM103" s="576">
        <f t="shared" ca="1" si="269"/>
        <v>3</v>
      </c>
      <c r="AN103" s="86">
        <f t="shared" ca="1" si="269"/>
        <v>2</v>
      </c>
      <c r="AO103" s="86">
        <f t="shared" ca="1" si="269"/>
        <v>1</v>
      </c>
      <c r="AP103" s="86">
        <f t="shared" ca="1" si="269"/>
        <v>0</v>
      </c>
      <c r="AQ103" s="86">
        <f t="shared" ca="1" si="269"/>
        <v>1</v>
      </c>
      <c r="AR103" s="86">
        <f t="shared" ca="1" si="269"/>
        <v>2</v>
      </c>
      <c r="AS103" s="86">
        <f t="shared" ca="1" si="269"/>
        <v>4</v>
      </c>
      <c r="AT103" s="87">
        <f t="shared" ca="1" si="269"/>
        <v>-2</v>
      </c>
      <c r="AU103" s="323" t="str">
        <f t="shared" ca="1" si="270"/>
        <v/>
      </c>
      <c r="AV103" s="182" t="str">
        <f t="shared" ca="1" si="271"/>
        <v>Paraguay</v>
      </c>
      <c r="AW103" s="215"/>
      <c r="AX103" s="170"/>
      <c r="AY103" s="270"/>
      <c r="AZ103" s="273" t="str">
        <f t="shared" ref="AZ103:AZ110" ca="1" si="272">+IF(OR($H$113&gt;=48,$AJ$99=144),BF117&amp;" - "&amp;BG117,"")</f>
        <v>1A - 3H</v>
      </c>
      <c r="BA103" s="176"/>
      <c r="BF103" t="str">
        <f t="shared" ref="BF103:BF110" ca="1" si="273">IFERROR(INDEX($BC$6:$BC$53,MATCH(AL102,$BD$6:$BD$53,0)),"")</f>
        <v>C</v>
      </c>
      <c r="BG103">
        <f t="shared" ref="BG103:BG110" ca="1" si="274">COUNTIF($BF$103:$BF$110,"&lt;="&amp;BF103)</f>
        <v>3</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8</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5"/>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Japón</v>
      </c>
      <c r="AM104" s="576">
        <f t="shared" ca="1" si="269"/>
        <v>1</v>
      </c>
      <c r="AN104" s="86">
        <f t="shared" ca="1" si="269"/>
        <v>1</v>
      </c>
      <c r="AO104" s="86">
        <f t="shared" ca="1" si="269"/>
        <v>0</v>
      </c>
      <c r="AP104" s="86">
        <f t="shared" ca="1" si="269"/>
        <v>1</v>
      </c>
      <c r="AQ104" s="86">
        <f t="shared" ca="1" si="269"/>
        <v>0</v>
      </c>
      <c r="AR104" s="86">
        <f t="shared" ca="1" si="269"/>
        <v>2</v>
      </c>
      <c r="AS104" s="86">
        <f t="shared" ca="1" si="269"/>
        <v>2</v>
      </c>
      <c r="AT104" s="87">
        <f t="shared" ca="1" si="269"/>
        <v>0</v>
      </c>
      <c r="AU104" s="323" t="str">
        <f t="shared" ca="1" si="270"/>
        <v/>
      </c>
      <c r="AV104" s="182" t="str">
        <f t="shared" ca="1" si="271"/>
        <v>Japón</v>
      </c>
      <c r="AW104" s="215"/>
      <c r="AX104" s="170"/>
      <c r="AY104" s="270"/>
      <c r="AZ104" s="273" t="str">
        <f t="shared" ca="1" si="272"/>
        <v>1B - 3G</v>
      </c>
      <c r="BA104" s="176"/>
      <c r="BF104" t="str">
        <f t="shared" ca="1" si="273"/>
        <v>D</v>
      </c>
      <c r="BG104">
        <f t="shared" ca="1" si="274"/>
        <v>4</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4</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5"/>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Bélgica</v>
      </c>
      <c r="AM105" s="576">
        <f t="shared" ca="1" si="269"/>
        <v>1</v>
      </c>
      <c r="AN105" s="86">
        <f t="shared" ca="1" si="269"/>
        <v>1</v>
      </c>
      <c r="AO105" s="86">
        <f t="shared" ca="1" si="269"/>
        <v>0</v>
      </c>
      <c r="AP105" s="86">
        <f t="shared" ca="1" si="269"/>
        <v>1</v>
      </c>
      <c r="AQ105" s="86">
        <f t="shared" ca="1" si="269"/>
        <v>0</v>
      </c>
      <c r="AR105" s="86">
        <f t="shared" ca="1" si="269"/>
        <v>1</v>
      </c>
      <c r="AS105" s="86">
        <f t="shared" ca="1" si="269"/>
        <v>1</v>
      </c>
      <c r="AT105" s="87">
        <f t="shared" ca="1" si="269"/>
        <v>0</v>
      </c>
      <c r="AU105" s="323" t="str">
        <f t="shared" ca="1" si="270"/>
        <v/>
      </c>
      <c r="AV105" s="182" t="str">
        <f t="shared" ca="1" si="271"/>
        <v>Bélgica</v>
      </c>
      <c r="AW105" s="215"/>
      <c r="AX105" s="170"/>
      <c r="AY105" s="270"/>
      <c r="AZ105" s="273" t="str">
        <f t="shared" ca="1" si="272"/>
        <v>1D - 3B</v>
      </c>
      <c r="BA105" s="176"/>
      <c r="BF105" t="str">
        <f t="shared" ca="1" si="273"/>
        <v>F</v>
      </c>
      <c r="BG105">
        <f t="shared" ca="1" si="274"/>
        <v>5</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4</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5"/>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RD Congo</v>
      </c>
      <c r="AM106" s="576">
        <f t="shared" ca="1" si="269"/>
        <v>1</v>
      </c>
      <c r="AN106" s="86">
        <f t="shared" ca="1" si="269"/>
        <v>1</v>
      </c>
      <c r="AO106" s="86">
        <f t="shared" ca="1" si="269"/>
        <v>0</v>
      </c>
      <c r="AP106" s="86">
        <f t="shared" ca="1" si="269"/>
        <v>1</v>
      </c>
      <c r="AQ106" s="86">
        <f t="shared" ca="1" si="269"/>
        <v>0</v>
      </c>
      <c r="AR106" s="86">
        <f t="shared" ca="1" si="269"/>
        <v>1</v>
      </c>
      <c r="AS106" s="86">
        <f t="shared" ca="1" si="269"/>
        <v>1</v>
      </c>
      <c r="AT106" s="87">
        <f t="shared" ca="1" si="269"/>
        <v>0</v>
      </c>
      <c r="AU106" s="323" t="str">
        <f t="shared" ca="1" si="270"/>
        <v/>
      </c>
      <c r="AV106" s="182" t="str">
        <f t="shared" ca="1" si="271"/>
        <v>RD Congo</v>
      </c>
      <c r="AW106" s="215"/>
      <c r="AX106" s="170"/>
      <c r="AY106" s="270"/>
      <c r="AZ106" s="273" t="str">
        <f t="shared" ca="1" si="272"/>
        <v>1E - 3C</v>
      </c>
      <c r="BA106" s="176"/>
      <c r="BF106" t="str">
        <f t="shared" ca="1" si="273"/>
        <v>G</v>
      </c>
      <c r="BG106">
        <f t="shared" ca="1" si="274"/>
        <v>6</v>
      </c>
      <c r="BI106">
        <v>4</v>
      </c>
      <c r="BJ106" t="str">
        <f t="shared" ca="1" si="275"/>
        <v>D</v>
      </c>
    </row>
    <row r="107" spans="1:62" ht="16" customHeight="1" x14ac:dyDescent="0.2">
      <c r="A107" s="16" t="s">
        <v>70</v>
      </c>
      <c r="B107" s="16" t="s">
        <v>153</v>
      </c>
      <c r="C107" s="16"/>
      <c r="D107" s="16" t="str">
        <f t="shared" si="260"/>
        <v>W79</v>
      </c>
      <c r="E107" s="16" t="s">
        <v>16</v>
      </c>
      <c r="F107" s="16" t="s">
        <v>142</v>
      </c>
      <c r="G107" s="16" t="s">
        <v>121</v>
      </c>
      <c r="H107" s="16">
        <f t="shared" ca="1" si="261"/>
        <v>4</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5"/>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España</v>
      </c>
      <c r="AM107" s="576">
        <f t="shared" ca="1" si="269"/>
        <v>1</v>
      </c>
      <c r="AN107" s="86">
        <f t="shared" ca="1" si="269"/>
        <v>1</v>
      </c>
      <c r="AO107" s="86">
        <f t="shared" ca="1" si="269"/>
        <v>0</v>
      </c>
      <c r="AP107" s="86">
        <f t="shared" ca="1" si="269"/>
        <v>1</v>
      </c>
      <c r="AQ107" s="86">
        <f t="shared" ca="1" si="269"/>
        <v>0</v>
      </c>
      <c r="AR107" s="86">
        <f t="shared" ca="1" si="269"/>
        <v>0</v>
      </c>
      <c r="AS107" s="86">
        <f t="shared" ca="1" si="269"/>
        <v>0</v>
      </c>
      <c r="AT107" s="87">
        <f t="shared" ca="1" si="269"/>
        <v>0</v>
      </c>
      <c r="AU107" s="323" t="str">
        <f t="shared" ca="1" si="270"/>
        <v/>
      </c>
      <c r="AV107" s="182" t="str">
        <f t="shared" ca="1" si="271"/>
        <v>España</v>
      </c>
      <c r="AW107" s="215"/>
      <c r="AX107" s="170"/>
      <c r="AY107" s="270"/>
      <c r="AZ107" s="273" t="str">
        <f t="shared" ca="1" si="272"/>
        <v>1G - 3A</v>
      </c>
      <c r="BA107" s="176"/>
      <c r="BF107" t="str">
        <f t="shared" ca="1" si="273"/>
        <v>K</v>
      </c>
      <c r="BG107">
        <f t="shared" ca="1" si="274"/>
        <v>8</v>
      </c>
      <c r="BI107">
        <v>5</v>
      </c>
      <c r="BJ107" t="str">
        <f t="shared" ca="1" si="275"/>
        <v>F</v>
      </c>
    </row>
    <row r="108" spans="1:62" ht="16" customHeight="1" x14ac:dyDescent="0.2">
      <c r="A108" s="16" t="s">
        <v>119</v>
      </c>
      <c r="B108" s="16" t="s">
        <v>155</v>
      </c>
      <c r="C108" s="16"/>
      <c r="D108" s="16" t="str">
        <f t="shared" si="260"/>
        <v>W80</v>
      </c>
      <c r="E108" s="16" t="s">
        <v>130</v>
      </c>
      <c r="F108" s="16" t="s">
        <v>142</v>
      </c>
      <c r="G108" s="16" t="s">
        <v>126</v>
      </c>
      <c r="H108" s="16">
        <f t="shared" ca="1" si="261"/>
        <v>4</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5"/>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República Checa</v>
      </c>
      <c r="AM108" s="576">
        <f t="shared" ca="1" si="269"/>
        <v>1</v>
      </c>
      <c r="AN108" s="86">
        <f t="shared" ca="1" si="269"/>
        <v>2</v>
      </c>
      <c r="AO108" s="86">
        <f t="shared" ca="1" si="269"/>
        <v>0</v>
      </c>
      <c r="AP108" s="86">
        <f t="shared" ca="1" si="269"/>
        <v>1</v>
      </c>
      <c r="AQ108" s="86">
        <f t="shared" ca="1" si="269"/>
        <v>1</v>
      </c>
      <c r="AR108" s="86">
        <f t="shared" ca="1" si="269"/>
        <v>2</v>
      </c>
      <c r="AS108" s="86">
        <f t="shared" ca="1" si="269"/>
        <v>3</v>
      </c>
      <c r="AT108" s="87">
        <f t="shared" ca="1" si="269"/>
        <v>-1</v>
      </c>
      <c r="AU108" s="323" t="str">
        <f t="shared" ca="1" si="270"/>
        <v/>
      </c>
      <c r="AV108" s="182" t="str">
        <f t="shared" ca="1" si="271"/>
        <v>República Checa</v>
      </c>
      <c r="AW108" s="215"/>
      <c r="AX108" s="170"/>
      <c r="AY108" s="270"/>
      <c r="AZ108" s="273" t="str">
        <f t="shared" ca="1" si="272"/>
        <v>1I - 3F</v>
      </c>
      <c r="BA108" s="176"/>
      <c r="BF108" t="str">
        <f t="shared" ca="1" si="273"/>
        <v>H</v>
      </c>
      <c r="BG108">
        <f t="shared" ca="1" si="274"/>
        <v>7</v>
      </c>
      <c r="BI108">
        <v>6</v>
      </c>
      <c r="BJ108" t="str">
        <f t="shared" ca="1" si="275"/>
        <v>G</v>
      </c>
    </row>
    <row r="109" spans="1:62" ht="16" customHeight="1" x14ac:dyDescent="0.2">
      <c r="A109" s="16" t="s">
        <v>83</v>
      </c>
      <c r="B109" s="16" t="s">
        <v>157</v>
      </c>
      <c r="C109" s="16"/>
      <c r="D109" s="16" t="str">
        <f t="shared" si="260"/>
        <v>W82</v>
      </c>
      <c r="E109" s="16" t="s">
        <v>94</v>
      </c>
      <c r="F109" s="16" t="s">
        <v>142</v>
      </c>
      <c r="G109" s="16" t="s">
        <v>127</v>
      </c>
      <c r="H109" s="16">
        <f t="shared" ca="1" si="261"/>
        <v>4</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5"/>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Bosnia y Herzegovina</v>
      </c>
      <c r="AM109" s="576">
        <f t="shared" ca="1" si="269"/>
        <v>1</v>
      </c>
      <c r="AN109" s="86">
        <f t="shared" ca="1" si="269"/>
        <v>2</v>
      </c>
      <c r="AO109" s="86">
        <f t="shared" ca="1" si="269"/>
        <v>0</v>
      </c>
      <c r="AP109" s="86">
        <f t="shared" ca="1" si="269"/>
        <v>1</v>
      </c>
      <c r="AQ109" s="86">
        <f t="shared" ca="1" si="269"/>
        <v>1</v>
      </c>
      <c r="AR109" s="86">
        <f t="shared" ca="1" si="269"/>
        <v>2</v>
      </c>
      <c r="AS109" s="86">
        <f t="shared" ca="1" si="269"/>
        <v>5</v>
      </c>
      <c r="AT109" s="87">
        <f t="shared" ca="1" si="269"/>
        <v>-3</v>
      </c>
      <c r="AU109" s="323" t="str">
        <f t="shared" ca="1" si="270"/>
        <v/>
      </c>
      <c r="AV109" s="182" t="str">
        <f t="shared" ca="1" si="271"/>
        <v>Bosnia y Herzegovina</v>
      </c>
      <c r="AW109" s="215"/>
      <c r="AX109" s="170"/>
      <c r="AY109" s="270"/>
      <c r="AZ109" s="273" t="str">
        <f t="shared" ca="1" si="272"/>
        <v>1K - 3D</v>
      </c>
      <c r="BA109" s="176"/>
      <c r="BF109" t="str">
        <f t="shared" ca="1" si="273"/>
        <v>A</v>
      </c>
      <c r="BG109">
        <f t="shared" ca="1" si="274"/>
        <v>1</v>
      </c>
      <c r="BI109">
        <v>7</v>
      </c>
      <c r="BJ109" t="str">
        <f t="shared" ca="1" si="275"/>
        <v>H</v>
      </c>
    </row>
    <row r="110" spans="1:62" ht="16" customHeight="1" x14ac:dyDescent="0.2">
      <c r="A110" s="16" t="s">
        <v>97</v>
      </c>
      <c r="B110" s="16" t="s">
        <v>159</v>
      </c>
      <c r="C110" s="16"/>
      <c r="D110" s="16" t="str">
        <f t="shared" si="260"/>
        <v>W81</v>
      </c>
      <c r="E110" s="16" t="s">
        <v>121</v>
      </c>
      <c r="F110" s="16" t="s">
        <v>142</v>
      </c>
      <c r="G110" s="16" t="s">
        <v>128</v>
      </c>
      <c r="H110" s="16">
        <f t="shared" ca="1" si="261"/>
        <v>4</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5"/>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Ecuador</v>
      </c>
      <c r="AM110" s="576">
        <f t="shared" ca="1" si="269"/>
        <v>0</v>
      </c>
      <c r="AN110" s="86">
        <f t="shared" ca="1" si="269"/>
        <v>1</v>
      </c>
      <c r="AO110" s="86">
        <f t="shared" ca="1" si="269"/>
        <v>0</v>
      </c>
      <c r="AP110" s="86">
        <f t="shared" ca="1" si="269"/>
        <v>0</v>
      </c>
      <c r="AQ110" s="86">
        <f t="shared" ca="1" si="269"/>
        <v>1</v>
      </c>
      <c r="AR110" s="86">
        <f t="shared" ca="1" si="269"/>
        <v>0</v>
      </c>
      <c r="AS110" s="86">
        <f t="shared" ca="1" si="269"/>
        <v>1</v>
      </c>
      <c r="AT110" s="87">
        <f t="shared" ca="1" si="269"/>
        <v>-1</v>
      </c>
      <c r="AU110" s="323" t="str">
        <f t="shared" ca="1" si="270"/>
        <v/>
      </c>
      <c r="AV110" s="182" t="str">
        <f t="shared" ca="1" si="271"/>
        <v>Ecuador</v>
      </c>
      <c r="AW110" s="215"/>
      <c r="AX110" s="170"/>
      <c r="AY110" s="270"/>
      <c r="AZ110" s="273" t="str">
        <f t="shared" ca="1" si="272"/>
        <v>1L - 3K</v>
      </c>
      <c r="BA110" s="176"/>
      <c r="BF110" t="str">
        <f t="shared" ca="1" si="273"/>
        <v>B</v>
      </c>
      <c r="BG110">
        <f t="shared" ca="1" si="274"/>
        <v>2</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4</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5"/>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Panamá</v>
      </c>
      <c r="AM111" s="576">
        <f t="shared" ca="1" si="269"/>
        <v>0</v>
      </c>
      <c r="AN111" s="86">
        <f t="shared" ca="1" si="269"/>
        <v>1</v>
      </c>
      <c r="AO111" s="86">
        <f t="shared" ca="1" si="269"/>
        <v>0</v>
      </c>
      <c r="AP111" s="86">
        <f t="shared" ca="1" si="269"/>
        <v>0</v>
      </c>
      <c r="AQ111" s="86">
        <f t="shared" ca="1" si="269"/>
        <v>1</v>
      </c>
      <c r="AR111" s="86">
        <f t="shared" ca="1" si="269"/>
        <v>0</v>
      </c>
      <c r="AS111" s="86">
        <f t="shared" ca="1" si="269"/>
        <v>1</v>
      </c>
      <c r="AT111" s="87">
        <f t="shared" ca="1" si="269"/>
        <v>-1</v>
      </c>
      <c r="AU111" s="323" t="str">
        <f t="shared" ca="1" si="270"/>
        <v/>
      </c>
      <c r="AV111" s="182" t="str">
        <f t="shared" ca="1" si="271"/>
        <v>Panamá</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4</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5"/>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Jordania</v>
      </c>
      <c r="AM112" s="576">
        <f t="shared" ca="1" si="269"/>
        <v>0</v>
      </c>
      <c r="AN112" s="86">
        <f t="shared" ca="1" si="269"/>
        <v>1</v>
      </c>
      <c r="AO112" s="86">
        <f t="shared" ca="1" si="269"/>
        <v>0</v>
      </c>
      <c r="AP112" s="86">
        <f t="shared" ca="1" si="269"/>
        <v>0</v>
      </c>
      <c r="AQ112" s="86">
        <f t="shared" ca="1" si="269"/>
        <v>1</v>
      </c>
      <c r="AR112" s="86">
        <f t="shared" ca="1" si="269"/>
        <v>1</v>
      </c>
      <c r="AS112" s="86">
        <f t="shared" ca="1" si="269"/>
        <v>3</v>
      </c>
      <c r="AT112" s="87">
        <f t="shared" ca="1" si="269"/>
        <v>-2</v>
      </c>
      <c r="AU112" s="323" t="str">
        <f t="shared" ca="1" si="270"/>
        <v/>
      </c>
      <c r="AV112" s="182" t="str">
        <f t="shared" ca="1" si="271"/>
        <v>Jordania</v>
      </c>
      <c r="AW112" s="215"/>
      <c r="AX112" s="170"/>
      <c r="AY112" s="269"/>
      <c r="AZ112" s="269"/>
      <c r="BA112" s="176"/>
      <c r="BI112" t="str">
        <f ca="1">IFERROR(CONCATENATE(BJ103,BJ104,BJ105,BJ106,BJ107,BJ108,BJ109,BJ110),"¿A/B/C/D/E/F/G/H/I/J/K/L?")</f>
        <v>ABCDFGHK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64</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5"/>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Senegal</v>
      </c>
      <c r="AM113" s="577">
        <f t="shared" ca="1" si="269"/>
        <v>0</v>
      </c>
      <c r="AN113" s="47">
        <f t="shared" ca="1" si="269"/>
        <v>1</v>
      </c>
      <c r="AO113" s="47">
        <f t="shared" ca="1" si="269"/>
        <v>0</v>
      </c>
      <c r="AP113" s="47">
        <f t="shared" ca="1" si="269"/>
        <v>0</v>
      </c>
      <c r="AQ113" s="47">
        <f t="shared" ca="1" si="269"/>
        <v>1</v>
      </c>
      <c r="AR113" s="47">
        <f t="shared" ca="1" si="269"/>
        <v>1</v>
      </c>
      <c r="AS113" s="47">
        <f t="shared" ca="1" si="269"/>
        <v>3</v>
      </c>
      <c r="AT113" s="48">
        <f t="shared" ca="1" si="269"/>
        <v>-2</v>
      </c>
      <c r="AU113" s="323" t="str">
        <f t="shared" ca="1" si="270"/>
        <v/>
      </c>
      <c r="AV113" s="182" t="str">
        <f t="shared" ca="1" si="271"/>
        <v>Senegal</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5"/>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5"/>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6"/>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8"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2"/>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2"/>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2"/>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3D</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2"/>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2"/>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2"/>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3"/>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1"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2"/>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2"/>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3"/>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40"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41"/>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0"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71" t="str">
        <f>Idiomas!D107</f>
        <v>·Si haceis todo el Mundial de golpe, copiar de la C5 a la C258 y pegar valores en la plantilla de Administrador.</v>
      </c>
      <c r="F3" s="656"/>
      <c r="G3" s="656"/>
      <c r="H3" s="656"/>
      <c r="I3" s="656"/>
      <c r="J3" s="656"/>
      <c r="K3" s="656"/>
      <c r="L3" s="656"/>
      <c r="M3" s="656"/>
      <c r="N3" s="672"/>
    </row>
    <row r="4" spans="1:14" ht="45" customHeight="1" x14ac:dyDescent="0.25">
      <c r="A4" s="284"/>
      <c r="B4" s="285"/>
      <c r="C4" s="568" t="str">
        <f>Idiomas!D105</f>
        <v>¡No tocar nada, se rellena solo!</v>
      </c>
      <c r="D4" s="360"/>
      <c r="E4" s="675"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4"/>
      <c r="G4" s="664"/>
      <c r="H4" s="664"/>
      <c r="I4" s="664"/>
      <c r="J4" s="664"/>
      <c r="K4" s="664"/>
      <c r="L4" s="664"/>
      <c r="M4" s="664"/>
      <c r="N4" s="368"/>
    </row>
    <row r="5" spans="1:14" ht="19" customHeight="1" x14ac:dyDescent="0.2">
      <c r="A5" s="223"/>
      <c r="B5" s="346" t="str">
        <f>Idiomas!D125</f>
        <v>FASE DE GRUPOS</v>
      </c>
      <c r="C5" s="339" t="str">
        <f>Home!C10</f>
        <v>Nombre</v>
      </c>
      <c r="E5" s="657" t="str">
        <f>Idiomas!D109</f>
        <v>·Si haceis jornada a jornada seguir las instrucciones de cada jornada</v>
      </c>
      <c r="F5" s="658"/>
      <c r="G5" s="658"/>
      <c r="H5" s="658"/>
      <c r="I5" s="658"/>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74" t="str">
        <f>Idiomas!D122</f>
        <v>J1</v>
      </c>
      <c r="E6" s="663" t="str">
        <f>Idiomas!D110</f>
        <v>·Para la primera jornada copiar de la C5 a la C29 y pega valores en la plantilla de administrador. ¡OJO! COPIAR TAMBIÉN de la C253 a la C258.</v>
      </c>
      <c r="F6" s="664"/>
      <c r="G6" s="664"/>
      <c r="H6" s="664"/>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6"/>
      <c r="E7" s="656"/>
      <c r="F7" s="656"/>
      <c r="G7" s="656"/>
      <c r="H7" s="656"/>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6"/>
      <c r="E8" s="656"/>
      <c r="F8" s="656"/>
      <c r="G8" s="656"/>
      <c r="H8" s="656"/>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6"/>
      <c r="E9" s="656"/>
      <c r="F9" s="656"/>
      <c r="G9" s="656"/>
      <c r="H9" s="656"/>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6"/>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6"/>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6"/>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6"/>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6"/>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6"/>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6"/>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6"/>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6"/>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6"/>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6"/>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6"/>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6"/>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6"/>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6"/>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6"/>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6"/>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6"/>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6"/>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62"/>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67" t="str">
        <f>Idiomas!D123</f>
        <v>J2</v>
      </c>
      <c r="E30" s="663" t="str">
        <f>Idiomas!D111</f>
        <v>·Para la segunda jornada copiar de la C30 a la C53 y pega valores en la plantilla de administrador.</v>
      </c>
      <c r="F30" s="664"/>
      <c r="G30" s="664"/>
      <c r="H30" s="664"/>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6"/>
      <c r="E31" s="656"/>
      <c r="F31" s="656"/>
      <c r="G31" s="656"/>
      <c r="H31" s="656"/>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6"/>
      <c r="E32" s="656"/>
      <c r="F32" s="656"/>
      <c r="G32" s="656"/>
      <c r="H32" s="656"/>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6"/>
      <c r="E33" s="656"/>
      <c r="F33" s="656"/>
      <c r="G33" s="656"/>
      <c r="H33" s="656"/>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6"/>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6"/>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6"/>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6"/>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6"/>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6"/>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6"/>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6"/>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6"/>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6"/>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6"/>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6"/>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6"/>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6"/>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6"/>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6"/>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6"/>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6"/>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6"/>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62"/>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1" t="str">
        <f>Idiomas!D124</f>
        <v>J3</v>
      </c>
      <c r="E54" s="663" t="str">
        <f>Idiomas!D112</f>
        <v>·Para la tercera jornada copiar de la C54 a la C161 y pega valores en la plantilla de administrador.</v>
      </c>
      <c r="F54" s="664"/>
      <c r="G54" s="664"/>
      <c r="H54" s="664"/>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6"/>
      <c r="E55" s="656"/>
      <c r="F55" s="656"/>
      <c r="G55" s="656"/>
      <c r="H55" s="656"/>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6"/>
      <c r="E56" s="656"/>
      <c r="F56" s="656"/>
      <c r="G56" s="656"/>
      <c r="H56" s="656"/>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6"/>
      <c r="E57" s="656"/>
      <c r="F57" s="656"/>
      <c r="G57" s="656"/>
      <c r="H57" s="656"/>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6"/>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6"/>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6"/>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6"/>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6"/>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6"/>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6"/>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6"/>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6"/>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6"/>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6"/>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6"/>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6"/>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6"/>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6"/>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6"/>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6"/>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6"/>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6"/>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6"/>
      <c r="E77" s="361"/>
      <c r="F77" s="361"/>
      <c r="G77" s="361"/>
      <c r="H77" s="361"/>
      <c r="I77" s="372"/>
      <c r="J77" s="361"/>
      <c r="K77" s="361"/>
      <c r="L77" s="361"/>
      <c r="M77" s="370"/>
      <c r="N77" s="368"/>
    </row>
    <row r="78" spans="1:14" ht="15" customHeight="1" x14ac:dyDescent="0.2">
      <c r="A78" s="223"/>
      <c r="B78" s="223"/>
      <c r="C78" s="343"/>
      <c r="D78" s="656"/>
      <c r="E78" s="361"/>
      <c r="F78" s="361"/>
      <c r="G78" s="361"/>
      <c r="H78" s="361"/>
      <c r="I78" s="372"/>
      <c r="J78" s="361"/>
      <c r="K78" s="361"/>
      <c r="L78" s="361"/>
      <c r="M78" s="370"/>
      <c r="N78" s="368"/>
    </row>
    <row r="79" spans="1:14" ht="19" customHeight="1" x14ac:dyDescent="0.25">
      <c r="A79" s="223"/>
      <c r="B79" s="350" t="str">
        <f>Idiomas!D126</f>
        <v>POSICIÓN GRUPOS</v>
      </c>
      <c r="C79" s="343"/>
      <c r="D79" s="656"/>
      <c r="E79" s="361"/>
      <c r="F79" s="361"/>
      <c r="G79" s="361"/>
      <c r="H79" s="361"/>
      <c r="I79" s="372"/>
      <c r="J79" s="361"/>
      <c r="K79" s="361"/>
      <c r="L79" s="361"/>
      <c r="M79" s="370"/>
      <c r="N79" s="368"/>
    </row>
    <row r="80" spans="1:14" ht="15" customHeight="1" x14ac:dyDescent="0.2">
      <c r="A80" s="651" t="s">
        <v>16</v>
      </c>
      <c r="B80" s="351" t="str">
        <f>Idiomas!D140</f>
        <v>1º GRUPO A</v>
      </c>
      <c r="C80" s="342" t="str">
        <f ca="1">IF(OR(SUM(WORLDCUP!$AN$6:$AN$9)=12,WORLDCUP!$AJ$99=144),WORLDCUP!AL6,B80)</f>
        <v>1º GRUPO A</v>
      </c>
      <c r="D80" s="656"/>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2º GRUPO A</v>
      </c>
      <c r="D81" s="656"/>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3º GRUPO A</v>
      </c>
      <c r="D82" s="656"/>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4º GRUPO A</v>
      </c>
      <c r="D83" s="656"/>
      <c r="E83" s="361"/>
      <c r="F83" s="361"/>
      <c r="G83" s="361"/>
      <c r="H83" s="361"/>
      <c r="I83" s="372"/>
      <c r="J83" s="361"/>
      <c r="K83" s="361"/>
      <c r="L83" s="361"/>
      <c r="M83" s="370"/>
      <c r="N83" s="368"/>
    </row>
    <row r="84" spans="1:14" ht="15" customHeight="1" x14ac:dyDescent="0.2">
      <c r="A84" s="653" t="s">
        <v>76</v>
      </c>
      <c r="B84" s="349" t="str">
        <f>Idiomas!D144</f>
        <v>1º GRUPO B</v>
      </c>
      <c r="C84" s="342" t="str">
        <f ca="1">IF(OR(SUM(WORLDCUP!$AN$14:$AN$17)=12,WORLDCUP!$AJ$99=144),WORLDCUP!AL14,B84)</f>
        <v>1º GRUPO B</v>
      </c>
      <c r="D84" s="656"/>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2º GRUPO B</v>
      </c>
      <c r="D85" s="656"/>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3º GRUPO B</v>
      </c>
      <c r="D86" s="656"/>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4º GRUPO B</v>
      </c>
      <c r="D87" s="656"/>
      <c r="E87" s="361"/>
      <c r="F87" s="361"/>
      <c r="G87" s="361"/>
      <c r="H87" s="361"/>
      <c r="I87" s="372"/>
      <c r="J87" s="361"/>
      <c r="K87" s="361"/>
      <c r="L87" s="361"/>
      <c r="M87" s="370"/>
      <c r="N87" s="368"/>
    </row>
    <row r="88" spans="1:14" ht="15" customHeight="1" x14ac:dyDescent="0.2">
      <c r="A88" s="651" t="s">
        <v>85</v>
      </c>
      <c r="B88" s="351" t="str">
        <f>Idiomas!D148</f>
        <v>1º GRUPO C</v>
      </c>
      <c r="C88" s="342" t="str">
        <f ca="1">IF(OR(SUM(WORLDCUP!$AN$22:$AN$25)=12,WORLDCUP!$AJ$99=144),WORLDCUP!AL22,B88)</f>
        <v>1º GRUPO C</v>
      </c>
      <c r="D88" s="656"/>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2º GRUPO C</v>
      </c>
      <c r="D89" s="656"/>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3º GRUPO C</v>
      </c>
      <c r="D90" s="656"/>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4º GRUPO C</v>
      </c>
      <c r="D91" s="656"/>
      <c r="E91" s="361"/>
      <c r="F91" s="361"/>
      <c r="G91" s="361"/>
      <c r="H91" s="361"/>
      <c r="I91" s="372"/>
      <c r="J91" s="361"/>
      <c r="K91" s="361"/>
      <c r="L91" s="361"/>
      <c r="M91" s="370"/>
      <c r="N91" s="368"/>
    </row>
    <row r="92" spans="1:14" ht="15" customHeight="1" x14ac:dyDescent="0.2">
      <c r="A92" s="653" t="s">
        <v>94</v>
      </c>
      <c r="B92" s="349" t="str">
        <f>Idiomas!D152</f>
        <v>1º GRUPO D</v>
      </c>
      <c r="C92" s="342" t="str">
        <f ca="1">IF(OR(SUM(WORLDCUP!$AN$30:$AN$33)=12,WORLDCUP!$AJ$99=144),WORLDCUP!AL30,B92)</f>
        <v>1º GRUPO D</v>
      </c>
      <c r="D92" s="656"/>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2º GRUPO D</v>
      </c>
      <c r="D93" s="656"/>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3º GRUPO D</v>
      </c>
      <c r="D94" s="656"/>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4º GRUPO D</v>
      </c>
      <c r="D95" s="656"/>
      <c r="E95" s="361"/>
      <c r="F95" s="361"/>
      <c r="G95" s="361"/>
      <c r="H95" s="361"/>
      <c r="I95" s="372"/>
      <c r="J95" s="361"/>
      <c r="K95" s="361"/>
      <c r="L95" s="361"/>
      <c r="M95" s="370"/>
      <c r="N95" s="368"/>
    </row>
    <row r="96" spans="1:14" ht="15" customHeight="1" x14ac:dyDescent="0.2">
      <c r="A96" s="651" t="s">
        <v>103</v>
      </c>
      <c r="B96" s="351" t="str">
        <f>Idiomas!D156</f>
        <v>1º GRUPO E</v>
      </c>
      <c r="C96" s="342" t="str">
        <f ca="1">IF(OR(SUM(WORLDCUP!$AN$38:$AN$41)=12,WORLDCUP!$AJ$99=144),WORLDCUP!AL38,B96)</f>
        <v>1º GRUPO E</v>
      </c>
      <c r="D96" s="656"/>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2º GRUPO E</v>
      </c>
      <c r="D97" s="656"/>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3º GRUPO E</v>
      </c>
      <c r="D98" s="656"/>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4º GRUPO E</v>
      </c>
      <c r="D99" s="656"/>
      <c r="E99" s="361"/>
      <c r="F99" s="361"/>
      <c r="G99" s="361"/>
      <c r="H99" s="361"/>
      <c r="I99" s="372"/>
      <c r="J99" s="361"/>
      <c r="K99" s="361"/>
      <c r="L99" s="361"/>
      <c r="M99" s="370"/>
      <c r="N99" s="368"/>
    </row>
    <row r="100" spans="1:14" ht="15" customHeight="1" x14ac:dyDescent="0.2">
      <c r="A100" s="653" t="s">
        <v>112</v>
      </c>
      <c r="B100" s="349" t="str">
        <f>Idiomas!D160</f>
        <v>1º GRUPO F</v>
      </c>
      <c r="C100" s="342" t="str">
        <f ca="1">IF(OR(SUM(WORLDCUP!$AN$46:$AN$49)=12,WORLDCUP!$AJ$99=144),WORLDCUP!AL46,B100)</f>
        <v>1º GRUPO F</v>
      </c>
      <c r="D100" s="656"/>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2º GRUPO F</v>
      </c>
      <c r="D101" s="656"/>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3º GRUPO F</v>
      </c>
      <c r="D102" s="656"/>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4º GRUPO F</v>
      </c>
      <c r="D103" s="656"/>
      <c r="E103" s="361"/>
      <c r="F103" s="361"/>
      <c r="G103" s="361"/>
      <c r="H103" s="361"/>
      <c r="I103" s="372"/>
      <c r="J103" s="361"/>
      <c r="K103" s="361"/>
      <c r="L103" s="361"/>
      <c r="M103" s="370"/>
      <c r="N103" s="368"/>
    </row>
    <row r="104" spans="1:14" ht="15" customHeight="1" x14ac:dyDescent="0.2">
      <c r="A104" s="651" t="s">
        <v>121</v>
      </c>
      <c r="B104" s="351" t="str">
        <f>Idiomas!D164</f>
        <v>1º GRUPO G</v>
      </c>
      <c r="C104" s="342" t="str">
        <f ca="1">IF(OR(SUM(WORLDCUP!$AN$54:$AN$57)=12,WORLDCUP!$AJ$99=144),WORLDCUP!AL54,B104)</f>
        <v>1º GRUPO G</v>
      </c>
      <c r="D104" s="656"/>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2º GRUPO G</v>
      </c>
      <c r="D105" s="656"/>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3º GRUPO G</v>
      </c>
      <c r="D106" s="656"/>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4º GRUPO G</v>
      </c>
      <c r="D107" s="656"/>
      <c r="E107" s="361"/>
      <c r="F107" s="361"/>
      <c r="G107" s="361"/>
      <c r="H107" s="361"/>
      <c r="I107" s="372"/>
      <c r="J107" s="361"/>
      <c r="K107" s="361"/>
      <c r="L107" s="361"/>
      <c r="M107" s="370"/>
      <c r="N107" s="368"/>
    </row>
    <row r="108" spans="1:14" ht="15" customHeight="1" x14ac:dyDescent="0.2">
      <c r="A108" s="653" t="s">
        <v>126</v>
      </c>
      <c r="B108" s="349" t="str">
        <f>Idiomas!D168</f>
        <v>1º GRUPO H</v>
      </c>
      <c r="C108" s="342" t="str">
        <f ca="1">IF(OR(SUM(WORLDCUP!$AN$62:$AN$65)=12,WORLDCUP!$AJ$99=144),WORLDCUP!AL62,B108)</f>
        <v>1º GRUPO H</v>
      </c>
      <c r="D108" s="656"/>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2º GRUPO H</v>
      </c>
      <c r="D109" s="656"/>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3º GRUPO H</v>
      </c>
      <c r="D110" s="656"/>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4º GRUPO H</v>
      </c>
      <c r="D111" s="656"/>
      <c r="E111" s="361"/>
      <c r="F111" s="361"/>
      <c r="G111" s="361"/>
      <c r="H111" s="361"/>
      <c r="I111" s="372"/>
      <c r="J111" s="361"/>
      <c r="K111" s="361"/>
      <c r="L111" s="361"/>
      <c r="M111" s="370"/>
      <c r="N111" s="368"/>
    </row>
    <row r="112" spans="1:14" ht="15" customHeight="1" x14ac:dyDescent="0.2">
      <c r="A112" s="651" t="s">
        <v>127</v>
      </c>
      <c r="B112" s="351" t="str">
        <f>Idiomas!D172</f>
        <v>1º GRUPO I</v>
      </c>
      <c r="C112" s="342" t="str">
        <f ca="1">IF(OR(SUM(WORLDCUP!$AN$70:$AN$73)=12,WORLDCUP!$AJ$99=144),WORLDCUP!AL70,B112)</f>
        <v>1º GRUPO I</v>
      </c>
      <c r="D112" s="656"/>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2º GRUPO I</v>
      </c>
      <c r="D113" s="656"/>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3º GRUPO I</v>
      </c>
      <c r="D114" s="656"/>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4º GRUPO I</v>
      </c>
      <c r="D115" s="656"/>
      <c r="E115" s="361"/>
      <c r="F115" s="361"/>
      <c r="G115" s="361"/>
      <c r="H115" s="361"/>
      <c r="I115" s="372"/>
      <c r="J115" s="361"/>
      <c r="K115" s="361"/>
      <c r="L115" s="361"/>
      <c r="M115" s="370"/>
      <c r="N115" s="368"/>
    </row>
    <row r="116" spans="1:14" ht="15" customHeight="1" x14ac:dyDescent="0.2">
      <c r="A116" s="653" t="s">
        <v>128</v>
      </c>
      <c r="B116" s="349" t="str">
        <f>Idiomas!D176</f>
        <v>1º GRUPO J</v>
      </c>
      <c r="C116" s="342" t="str">
        <f ca="1">IF(OR(SUM(WORLDCUP!$AN$78:$AN$81)=12,WORLDCUP!$AJ$99=144),WORLDCUP!AL78,B116)</f>
        <v>1º GRUPO J</v>
      </c>
      <c r="D116" s="656"/>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2º GRUPO J</v>
      </c>
      <c r="D117" s="656"/>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3º GRUPO J</v>
      </c>
      <c r="D118" s="656"/>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4º GRUPO J</v>
      </c>
      <c r="D119" s="656"/>
      <c r="E119" s="361"/>
      <c r="F119" s="361"/>
      <c r="G119" s="361"/>
      <c r="H119" s="361"/>
      <c r="I119" s="372"/>
      <c r="J119" s="361"/>
      <c r="K119" s="361"/>
      <c r="L119" s="361"/>
      <c r="M119" s="370"/>
      <c r="N119" s="368"/>
    </row>
    <row r="120" spans="1:14" ht="15" customHeight="1" x14ac:dyDescent="0.2">
      <c r="A120" s="651" t="s">
        <v>129</v>
      </c>
      <c r="B120" s="351" t="str">
        <f>Idiomas!D180</f>
        <v>1º GRUPO K</v>
      </c>
      <c r="C120" s="342" t="str">
        <f ca="1">IF(OR(SUM(WORLDCUP!$AN$86:$AN$89)=12,WORLDCUP!$AJ$99=144),WORLDCUP!AL86,B120)</f>
        <v>1º GRUPO K</v>
      </c>
      <c r="D120" s="656"/>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2º GRUPO K</v>
      </c>
      <c r="D121" s="656"/>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3º GRUPO K</v>
      </c>
      <c r="D122" s="656"/>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4º GRUPO K</v>
      </c>
      <c r="D123" s="656"/>
      <c r="E123" s="361"/>
      <c r="F123" s="361"/>
      <c r="G123" s="361"/>
      <c r="H123" s="361"/>
      <c r="I123" s="372"/>
      <c r="J123" s="361"/>
      <c r="K123" s="361"/>
      <c r="L123" s="361"/>
      <c r="M123" s="370"/>
      <c r="N123" s="368"/>
    </row>
    <row r="124" spans="1:14" ht="15" customHeight="1" x14ac:dyDescent="0.2">
      <c r="A124" s="653" t="s">
        <v>130</v>
      </c>
      <c r="B124" s="349" t="str">
        <f>Idiomas!D184</f>
        <v>1º GRUPO L</v>
      </c>
      <c r="C124" s="342" t="str">
        <f ca="1">IF(OR(SUM(WORLDCUP!$AN$94:$AN$97)=12,WORLDCUP!$AJ$99=144),WORLDCUP!AL94,B124)</f>
        <v>1º GRUPO L</v>
      </c>
      <c r="D124" s="656"/>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2º GRUPO L</v>
      </c>
      <c r="D125" s="656"/>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3º GRUPO L</v>
      </c>
      <c r="D126" s="656"/>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4º GRUPO L</v>
      </c>
      <c r="D127" s="656"/>
      <c r="E127" s="361"/>
      <c r="F127" s="361"/>
      <c r="G127" s="361"/>
      <c r="H127" s="361"/>
      <c r="I127" s="372"/>
      <c r="J127" s="361"/>
      <c r="K127" s="361"/>
      <c r="L127" s="361"/>
      <c r="M127" s="370"/>
      <c r="N127" s="368"/>
    </row>
    <row r="128" spans="1:14" ht="15" customHeight="1" x14ac:dyDescent="0.2">
      <c r="A128" s="223"/>
      <c r="B128" s="223"/>
      <c r="C128" s="343"/>
      <c r="D128" s="656"/>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6"/>
      <c r="E129" s="361"/>
      <c r="F129" s="361"/>
      <c r="G129" s="361"/>
      <c r="H129" s="361"/>
      <c r="I129" s="372"/>
      <c r="J129" s="361"/>
      <c r="K129" s="361"/>
      <c r="L129" s="361"/>
      <c r="M129" s="370"/>
      <c r="N129" s="368"/>
    </row>
    <row r="130" spans="1:14" ht="15" customHeight="1" x14ac:dyDescent="0.2">
      <c r="A130" s="650" t="s">
        <v>140</v>
      </c>
      <c r="B130" s="352" t="str">
        <f>Idiomas!$D$188</f>
        <v>Dieciseisavofinalista</v>
      </c>
      <c r="C130" s="342" t="str">
        <f ca="1">WORLDCUP!AA101</f>
        <v>2A</v>
      </c>
      <c r="D130" s="656"/>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1C</v>
      </c>
      <c r="D131" s="656"/>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1E</v>
      </c>
      <c r="D132" s="656"/>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1F</v>
      </c>
      <c r="D133" s="656"/>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2E</v>
      </c>
      <c r="D134" s="656"/>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1I</v>
      </c>
      <c r="D135" s="656"/>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1A</v>
      </c>
      <c r="D136" s="656"/>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1L</v>
      </c>
      <c r="D137" s="656"/>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1G</v>
      </c>
      <c r="D138" s="656"/>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1D</v>
      </c>
      <c r="D139" s="656"/>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1H</v>
      </c>
      <c r="D140" s="656"/>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2K</v>
      </c>
      <c r="D141" s="656"/>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1B</v>
      </c>
      <c r="D142" s="656"/>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2D</v>
      </c>
      <c r="D143" s="656"/>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1J</v>
      </c>
      <c r="D144" s="656"/>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1K</v>
      </c>
      <c r="D145" s="656"/>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2B</v>
      </c>
      <c r="D146" s="656"/>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2F</v>
      </c>
      <c r="D147" s="656"/>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3ABCDF</v>
      </c>
      <c r="D148" s="656"/>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2C</v>
      </c>
      <c r="D149" s="656"/>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2I</v>
      </c>
      <c r="D150" s="656"/>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3CDFGH</v>
      </c>
      <c r="D151" s="656"/>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3CEFHI</v>
      </c>
      <c r="D152" s="656"/>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3EHIJK</v>
      </c>
      <c r="D153" s="656"/>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3AEHIJ</v>
      </c>
      <c r="D154" s="656"/>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3BEFIJ</v>
      </c>
      <c r="D155" s="656"/>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2J</v>
      </c>
      <c r="D156" s="656"/>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2L</v>
      </c>
      <c r="D157" s="656"/>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3EFGIJ</v>
      </c>
      <c r="D158" s="656"/>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2G</v>
      </c>
      <c r="D159" s="656"/>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2H</v>
      </c>
      <c r="D160" s="656"/>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3DEIJL</v>
      </c>
      <c r="D161" s="662"/>
      <c r="E161" s="363"/>
      <c r="F161" s="363"/>
      <c r="G161" s="363"/>
      <c r="H161" s="363"/>
      <c r="I161" s="373"/>
      <c r="J161" s="374"/>
      <c r="K161" s="363"/>
      <c r="L161" s="363"/>
      <c r="M161" s="375"/>
      <c r="N161" s="368"/>
    </row>
    <row r="162" spans="1:14" ht="20" customHeight="1" x14ac:dyDescent="0.2">
      <c r="A162" s="223"/>
      <c r="B162" s="223"/>
      <c r="C162" s="343"/>
      <c r="D162" s="361"/>
      <c r="E162" s="668" t="str">
        <f>Idiomas!D113</f>
        <v>·Si haceis todas las eliminatorias de golpe, copiar de la C164 a la C252 y pegar valores en la plantilla de Administrador.</v>
      </c>
      <c r="F162" s="662"/>
      <c r="G162" s="662"/>
      <c r="H162" s="662"/>
      <c r="I162" s="662"/>
      <c r="J162" s="662"/>
      <c r="K162" s="662"/>
      <c r="L162" s="669"/>
      <c r="M162" s="376"/>
      <c r="N162" s="368"/>
    </row>
    <row r="163" spans="1:14" ht="23" customHeight="1" x14ac:dyDescent="0.25">
      <c r="A163" s="223"/>
      <c r="B163" s="350" t="str">
        <f>Idiomas!D128</f>
        <v>ENFRENTAMIENTOS DIECISEISAVOS</v>
      </c>
      <c r="C163" s="343"/>
      <c r="D163" s="361"/>
      <c r="E163" s="665" t="str">
        <f>Idiomas!D114</f>
        <v>·Si haceis eliminatoria a eliminatoria seguir las instrucciones de cada eliminatoria.</v>
      </c>
      <c r="F163" s="658"/>
      <c r="G163" s="658"/>
      <c r="H163" s="658"/>
      <c r="I163" s="658"/>
      <c r="J163" s="658"/>
      <c r="K163" s="658"/>
      <c r="L163" s="666"/>
      <c r="M163" s="377"/>
      <c r="N163" s="368"/>
    </row>
    <row r="164" spans="1:14" ht="15" customHeight="1" x14ac:dyDescent="0.2">
      <c r="A164" s="650"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9" t="s">
        <v>140</v>
      </c>
      <c r="E164" s="673" t="str">
        <f>Idiomas!D115</f>
        <v>·Para los dieciseisavos copiar de la C164 a la C197 y pega valores en la plantilla de administrador.</v>
      </c>
      <c r="F164" s="664"/>
      <c r="G164" s="664"/>
      <c r="H164" s="664"/>
      <c r="I164" s="345"/>
      <c r="J164" s="361"/>
      <c r="K164" s="361"/>
      <c r="L164" s="361"/>
      <c r="M164" s="377"/>
      <c r="N164" s="368"/>
    </row>
    <row r="165" spans="1:14" ht="15" customHeight="1" x14ac:dyDescent="0.2">
      <c r="A165" s="620"/>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20"/>
      <c r="E165" s="656"/>
      <c r="F165" s="656"/>
      <c r="G165" s="656"/>
      <c r="H165" s="656"/>
      <c r="I165" s="345"/>
      <c r="J165" s="361"/>
      <c r="K165" s="361"/>
      <c r="L165" s="361"/>
      <c r="M165" s="377"/>
      <c r="N165" s="368"/>
    </row>
    <row r="166" spans="1:14" ht="15" customHeight="1" x14ac:dyDescent="0.2">
      <c r="A166" s="620"/>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20"/>
      <c r="E166" s="656"/>
      <c r="F166" s="656"/>
      <c r="G166" s="656"/>
      <c r="H166" s="656"/>
      <c r="I166" s="345"/>
      <c r="J166" s="361"/>
      <c r="K166" s="361"/>
      <c r="L166" s="361"/>
      <c r="M166" s="377"/>
      <c r="N166" s="368"/>
    </row>
    <row r="167" spans="1:14" ht="15" customHeight="1" x14ac:dyDescent="0.2">
      <c r="A167" s="620"/>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20"/>
      <c r="E167" s="656"/>
      <c r="F167" s="656"/>
      <c r="G167" s="656"/>
      <c r="H167" s="656"/>
      <c r="I167" s="345"/>
      <c r="J167" s="361"/>
      <c r="K167" s="361"/>
      <c r="L167" s="361"/>
      <c r="M167" s="377"/>
      <c r="N167" s="368"/>
    </row>
    <row r="168" spans="1:14" ht="15" customHeight="1" x14ac:dyDescent="0.2">
      <c r="A168" s="620"/>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0"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0"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49" t="s">
        <v>173</v>
      </c>
      <c r="E200" s="655" t="str">
        <f>Idiomas!D116</f>
        <v>·Para los octavos de final copiar de la C200 a la C217 y pega valores en la plantilla de administrador.</v>
      </c>
      <c r="F200" s="656"/>
      <c r="G200" s="656"/>
      <c r="H200" s="656"/>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6"/>
      <c r="F201" s="656"/>
      <c r="G201" s="656"/>
      <c r="H201" s="656"/>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6"/>
      <c r="F202" s="656"/>
      <c r="G202" s="656"/>
      <c r="H202" s="656"/>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6"/>
      <c r="F203" s="656"/>
      <c r="G203" s="656"/>
      <c r="H203" s="656"/>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0"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0"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9" t="s">
        <v>198</v>
      </c>
      <c r="E220" s="655" t="str">
        <f>Idiomas!D117</f>
        <v>·Para los cuartos de final copiar de la C220 a la C229 y pega valores en la plantilla de administrador.</v>
      </c>
      <c r="F220" s="656"/>
      <c r="G220" s="656"/>
      <c r="H220" s="656"/>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6"/>
      <c r="F221" s="656"/>
      <c r="G221" s="656"/>
      <c r="H221" s="656"/>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6"/>
      <c r="F222" s="656"/>
      <c r="G222" s="656"/>
      <c r="H222" s="656"/>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6"/>
      <c r="F223" s="656"/>
      <c r="G223" s="656"/>
      <c r="H223" s="656"/>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0"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49" t="s">
        <v>214</v>
      </c>
      <c r="E232" s="655" t="str">
        <f>Idiomas!D118</f>
        <v>·Para las semifinales copiar de la C232 a la C241 y pega valores en la plantilla de administrador.</v>
      </c>
      <c r="F232" s="656"/>
      <c r="G232" s="656"/>
      <c r="H232" s="656"/>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6"/>
      <c r="F233" s="656"/>
      <c r="G233" s="656"/>
      <c r="H233" s="656"/>
      <c r="I233" s="345"/>
      <c r="J233" s="361"/>
      <c r="K233" s="361"/>
      <c r="L233" s="361"/>
      <c r="M233" s="377"/>
      <c r="N233" s="368"/>
    </row>
    <row r="234" spans="1:14" ht="15" customHeight="1" x14ac:dyDescent="0.2">
      <c r="A234" s="223"/>
      <c r="B234" s="223"/>
      <c r="C234" s="343"/>
      <c r="D234" s="620"/>
      <c r="E234" s="656"/>
      <c r="F234" s="656"/>
      <c r="G234" s="656"/>
      <c r="H234" s="656"/>
      <c r="I234" s="345"/>
      <c r="J234" s="361"/>
      <c r="K234" s="361"/>
      <c r="L234" s="361"/>
      <c r="M234" s="377"/>
      <c r="N234" s="368"/>
    </row>
    <row r="235" spans="1:14" ht="19" customHeight="1" x14ac:dyDescent="0.25">
      <c r="A235" s="223"/>
      <c r="B235" s="350" t="str">
        <f>Idiomas!D135</f>
        <v>CLASIFICADOS PARA EL 3º y 4º PUESTO</v>
      </c>
      <c r="C235" s="343"/>
      <c r="D235" s="620"/>
      <c r="E235" s="656"/>
      <c r="F235" s="656"/>
      <c r="G235" s="656"/>
      <c r="H235" s="656"/>
      <c r="I235" s="345"/>
      <c r="J235" s="361"/>
      <c r="K235" s="361"/>
      <c r="L235" s="361"/>
      <c r="M235" s="377"/>
      <c r="N235" s="368"/>
    </row>
    <row r="236" spans="1:14" ht="15" customHeight="1" x14ac:dyDescent="0.2">
      <c r="A236" s="64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4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2" t="s">
        <v>273</v>
      </c>
      <c r="E244" s="660" t="str">
        <f>Idiomas!D119</f>
        <v>·Para el 3º y 4º puesto y la Final copiar de la C244 a la C252 y pega valores en la plantilla de administrador.</v>
      </c>
      <c r="F244" s="656"/>
      <c r="G244" s="656"/>
      <c r="H244" s="656"/>
      <c r="I244" s="372"/>
      <c r="J244" s="361"/>
      <c r="K244" s="361"/>
      <c r="L244" s="361"/>
      <c r="M244" s="377"/>
      <c r="N244" s="368"/>
    </row>
    <row r="245" spans="1:14" ht="15" customHeight="1" x14ac:dyDescent="0.2">
      <c r="A245" s="223"/>
      <c r="B245" s="223"/>
      <c r="C245" s="343"/>
      <c r="D245" s="620"/>
      <c r="E245" s="656"/>
      <c r="F245" s="656"/>
      <c r="G245" s="656"/>
      <c r="H245" s="656"/>
      <c r="I245" s="372"/>
      <c r="J245" s="361"/>
      <c r="K245" s="361"/>
      <c r="L245" s="361"/>
      <c r="M245" s="377"/>
      <c r="N245" s="368"/>
    </row>
    <row r="246" spans="1:14" ht="21" customHeight="1" x14ac:dyDescent="0.25">
      <c r="A246" s="223"/>
      <c r="B246" s="350" t="str">
        <f>Idiomas!D138</f>
        <v>ENFRENTAMIENTO FINAL</v>
      </c>
      <c r="C246" s="343"/>
      <c r="D246" s="620"/>
      <c r="E246" s="656"/>
      <c r="F246" s="656"/>
      <c r="G246" s="656"/>
      <c r="H246" s="656"/>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6</v>
      </c>
      <c r="J4" s="438">
        <f ca="1">+INDEX(WORLDCUP!$AT$6:$AT$97,MATCH(L4,WORLDCUP!$AI$6:$AI$97,0))</f>
        <v>3</v>
      </c>
      <c r="K4" s="439" t="str">
        <f ca="1">+INDEX(WORLDCUP!$AR$6:$AR$97,MATCH(L4,WORLDCUP!$AI$6:$AI$97,0))&amp;"-"&amp;INDEX(WORLDCUP!$AS$6:$AS$97,MATCH(L4,WORLDCUP!$AI$6:$AI$97,0))</f>
        <v>3-0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Irá</v>
      </c>
      <c r="U4" s="437">
        <f ca="1">+INDEX(WORLDCUP!$AM$6:$AM$97,MATCH(X4,WORLDCUP!$AI$6:$AI$97,0))</f>
        <v>1</v>
      </c>
      <c r="V4" s="438">
        <f ca="1">+INDEX(WORLDCUP!$AT$6:$AT$97,MATCH(X4,WORLDCUP!$AI$6:$AI$97,0))</f>
        <v>0</v>
      </c>
      <c r="W4" s="439" t="str">
        <f ca="1">+INDEX(WORLDCUP!$AR$6:$AR$97,MATCH(X4,WORLDCUP!$AI$6:$AI$97,0))&amp;"-"&amp;INDEX(WORLDCUP!$AS$6:$AS$97,MATCH(X4,WORLDCUP!$AI$6:$AI$97,0))</f>
        <v>2-2</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0</v>
      </c>
      <c r="K5" s="43" t="str">
        <f ca="1">+INDEX(WORLDCUP!$AR$6:$AR$97,MATCH(L5,WORLDCUP!$AI$6:$AI$97,0))&amp;"-"&amp;INDEX(WORLDCUP!$AS$6:$AS$97,MATCH(L5,WORLDCUP!$AI$6:$AI$97,0))</f>
        <v>2-2</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Nue</v>
      </c>
      <c r="U5" s="38">
        <f ca="1">+INDEX(WORLDCUP!$AM$6:$AM$97,MATCH(X5,WORLDCUP!$AI$6:$AI$97,0))</f>
        <v>1</v>
      </c>
      <c r="V5" s="39">
        <f ca="1">+INDEX(WORLDCUP!$AT$6:$AT$97,MATCH(X5,WORLDCUP!$AI$6:$AI$97,0))</f>
        <v>0</v>
      </c>
      <c r="W5" s="43" t="str">
        <f ca="1">+INDEX(WORLDCUP!$AR$6:$AR$97,MATCH(X5,WORLDCUP!$AI$6:$AI$97,0))&amp;"-"&amp;INDEX(WORLDCUP!$AS$6:$AS$97,MATCH(X5,WORLDCUP!$AI$6:$AI$97,0))</f>
        <v>2-2</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Rep</v>
      </c>
      <c r="I6" s="38">
        <f ca="1">+INDEX(WORLDCUP!$AM$6:$AM$97,MATCH(L6,WORLDCUP!$AI$6:$AI$97,0))</f>
        <v>1</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Bél</v>
      </c>
      <c r="U6" s="38">
        <f ca="1">+INDEX(WORLDCUP!$AM$6:$AM$97,MATCH(X6,WORLDCUP!$AI$6:$AI$97,0))</f>
        <v>1</v>
      </c>
      <c r="V6" s="39">
        <f ca="1">+INDEX(WORLDCUP!$AT$6:$AT$97,MATCH(X6,WORLDCUP!$AI$6:$AI$97,0))</f>
        <v>0</v>
      </c>
      <c r="W6" s="43" t="str">
        <f ca="1">+INDEX(WORLDCUP!$AR$6:$AR$97,MATCH(X6,WORLDCUP!$AI$6:$AI$97,0))&amp;"-"&amp;INDEX(WORLDCUP!$AS$6:$AS$97,MATCH(X6,WORLDCUP!$AI$6:$AI$97,0))</f>
        <v>1-1</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-2</v>
      </c>
      <c r="K7" s="467" t="str">
        <f ca="1">+INDEX(WORLDCUP!$AR$6:$AR$97,MATCH(L7,WORLDCUP!$AI$6:$AI$97,0))&amp;"-"&amp;INDEX(WORLDCUP!$AS$6:$AS$97,MATCH(L7,WORLDCUP!$AI$6:$AI$97,0))</f>
        <v>1-3</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Egi</v>
      </c>
      <c r="U7" s="465">
        <f ca="1">+INDEX(WORLDCUP!$AM$6:$AM$97,MATCH(X7,WORLDCUP!$AI$6:$AI$97,0))</f>
        <v>1</v>
      </c>
      <c r="V7" s="466">
        <f ca="1">+INDEX(WORLDCUP!$AT$6:$AT$97,MATCH(X7,WORLDCUP!$AI$6:$AI$97,0))</f>
        <v>0</v>
      </c>
      <c r="W7" s="467" t="str">
        <f ca="1">+INDEX(WORLDCUP!$AR$6:$AR$97,MATCH(X7,WORLDCUP!$AI$6:$AI$97,0))&amp;"-"&amp;INDEX(WORLDCUP!$AS$6:$AS$97,MATCH(X7,WORLDCUP!$AI$6:$AI$97,0))</f>
        <v>1-1</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Can</v>
      </c>
      <c r="I12" s="437">
        <f ca="1">+INDEX(WORLDCUP!$AM$6:$AM$97,MATCH(L12,WORLDCUP!$AI$6:$AI$97,0))</f>
        <v>4</v>
      </c>
      <c r="J12" s="438">
        <f ca="1">+INDEX(WORLDCUP!$AT$6:$AT$97,MATCH(L12,WORLDCUP!$AI$6:$AI$97,0))</f>
        <v>6</v>
      </c>
      <c r="K12" s="439" t="str">
        <f ca="1">+INDEX(WORLDCUP!$AR$6:$AR$97,MATCH(L12,WORLDCUP!$AI$6:$AI$97,0))&amp;"-"&amp;INDEX(WORLDCUP!$AS$6:$AS$97,MATCH(L12,WORLDCUP!$AI$6:$AI$97,0))</f>
        <v>7-1</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Ara</v>
      </c>
      <c r="U12" s="437">
        <f ca="1">+INDEX(WORLDCUP!$AM$6:$AM$97,MATCH(X12,WORLDCUP!$AI$6:$AI$97,0))</f>
        <v>1</v>
      </c>
      <c r="V12" s="438">
        <f ca="1">+INDEX(WORLDCUP!$AT$6:$AT$97,MATCH(X12,WORLDCUP!$AI$6:$AI$97,0))</f>
        <v>0</v>
      </c>
      <c r="W12" s="439" t="str">
        <f ca="1">+INDEX(WORLDCUP!$AR$6:$AR$97,MATCH(X12,WORLDCUP!$AI$6:$AI$97,0))&amp;"-"&amp;INDEX(WORLDCUP!$AS$6:$AS$97,MATCH(X12,WORLDCUP!$AI$6:$AI$97,0))</f>
        <v>1-1</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Sui</v>
      </c>
      <c r="I13" s="38">
        <f ca="1">+INDEX(WORLDCUP!$AM$6:$AM$97,MATCH(L13,WORLDCUP!$AI$6:$AI$97,0))</f>
        <v>4</v>
      </c>
      <c r="J13" s="39">
        <f ca="1">+INDEX(WORLDCUP!$AT$6:$AT$97,MATCH(L13,WORLDCUP!$AI$6:$AI$97,0))</f>
        <v>3</v>
      </c>
      <c r="K13" s="43" t="str">
        <f ca="1">+INDEX(WORLDCUP!$AR$6:$AR$97,MATCH(L13,WORLDCUP!$AI$6:$AI$97,0))&amp;"-"&amp;INDEX(WORLDCUP!$AS$6:$AS$97,MATCH(L13,WORLDCUP!$AI$6:$AI$97,0))</f>
        <v>5-2</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Uru</v>
      </c>
      <c r="U13" s="38">
        <f ca="1">+INDEX(WORLDCUP!$AM$6:$AM$97,MATCH(X13,WORLDCUP!$AI$6:$AI$97,0))</f>
        <v>1</v>
      </c>
      <c r="V13" s="39">
        <f ca="1">+INDEX(WORLDCUP!$AT$6:$AT$97,MATCH(X13,WORLDCUP!$AI$6:$AI$97,0))</f>
        <v>0</v>
      </c>
      <c r="W13" s="43" t="str">
        <f ca="1">+INDEX(WORLDCUP!$AR$6:$AR$97,MATCH(X13,WORLDCUP!$AI$6:$AI$97,0))&amp;"-"&amp;INDEX(WORLDCUP!$AS$6:$AS$97,MATCH(X13,WORLDCUP!$AI$6:$AI$97,0))</f>
        <v>1-1</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1</v>
      </c>
      <c r="J14" s="39">
        <f ca="1">+INDEX(WORLDCUP!$AT$6:$AT$97,MATCH(L14,WORLDCUP!$AI$6:$AI$97,0))</f>
        <v>-3</v>
      </c>
      <c r="K14" s="43" t="str">
        <f ca="1">+INDEX(WORLDCUP!$AR$6:$AR$97,MATCH(L14,WORLDCUP!$AI$6:$AI$97,0))&amp;"-"&amp;INDEX(WORLDCUP!$AS$6:$AS$97,MATCH(L14,WORLDCUP!$AI$6:$AI$97,0))</f>
        <v>2-5</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Esp</v>
      </c>
      <c r="U14" s="38">
        <f ca="1">+INDEX(WORLDCUP!$AM$6:$AM$97,MATCH(X14,WORLDCUP!$AI$6:$AI$97,0))</f>
        <v>1</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-6</v>
      </c>
      <c r="K15" s="467" t="str">
        <f ca="1">+INDEX(WORLDCUP!$AR$6:$AR$97,MATCH(L15,WORLDCUP!$AI$6:$AI$97,0))&amp;"-"&amp;INDEX(WORLDCUP!$AS$6:$AS$97,MATCH(L15,WORLDCUP!$AI$6:$AI$97,0))</f>
        <v>1-7</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4</v>
      </c>
      <c r="J20" s="438">
        <f ca="1">+INDEX(WORLDCUP!$AT$6:$AT$97,MATCH(L20,WORLDCUP!$AI$6:$AI$97,0))</f>
        <v>3</v>
      </c>
      <c r="K20" s="439" t="str">
        <f ca="1">+INDEX(WORLDCUP!$AR$6:$AR$97,MATCH(L20,WORLDCUP!$AI$6:$AI$97,0))&amp;"-"&amp;INDEX(WORLDCUP!$AS$6:$AS$97,MATCH(L20,WORLDCUP!$AI$6:$AI$97,0))</f>
        <v>4-1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Nor</v>
      </c>
      <c r="U20" s="437">
        <f ca="1">+INDEX(WORLDCUP!$AM$6:$AM$97,MATCH(X20,WORLDCUP!$AI$6:$AI$97,0))</f>
        <v>3</v>
      </c>
      <c r="V20" s="438">
        <f ca="1">+INDEX(WORLDCUP!$AT$6:$AT$97,MATCH(X20,WORLDCUP!$AI$6:$AI$97,0))</f>
        <v>3</v>
      </c>
      <c r="W20" s="439" t="str">
        <f ca="1">+INDEX(WORLDCUP!$AR$6:$AR$97,MATCH(X20,WORLDCUP!$AI$6:$AI$97,0))&amp;"-"&amp;INDEX(WORLDCUP!$AS$6:$AS$97,MATCH(X20,WORLDCUP!$AI$6:$AI$97,0))</f>
        <v>4-1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4</v>
      </c>
      <c r="J21" s="39">
        <f ca="1">+INDEX(WORLDCUP!$AT$6:$AT$97,MATCH(L21,WORLDCUP!$AI$6:$AI$97,0))</f>
        <v>1</v>
      </c>
      <c r="K21" s="43" t="str">
        <f ca="1">+INDEX(WORLDCUP!$AR$6:$AR$97,MATCH(L21,WORLDCUP!$AI$6:$AI$97,0))&amp;"-"&amp;INDEX(WORLDCUP!$AS$6:$AS$97,MATCH(L21,WORLDCUP!$AI$6:$AI$97,0))</f>
        <v>2-1</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Fra</v>
      </c>
      <c r="U21" s="38">
        <f ca="1">+INDEX(WORLDCUP!$AM$6:$AM$97,MATCH(X21,WORLDCUP!$AI$6:$AI$97,0))</f>
        <v>3</v>
      </c>
      <c r="V21" s="39">
        <f ca="1">+INDEX(WORLDCUP!$AT$6:$AT$97,MATCH(X21,WORLDCUP!$AI$6:$AI$97,0))</f>
        <v>2</v>
      </c>
      <c r="W21" s="43" t="str">
        <f ca="1">+INDEX(WORLDCUP!$AR$6:$AR$97,MATCH(X21,WORLDCUP!$AI$6:$AI$97,0))&amp;"-"&amp;INDEX(WORLDCUP!$AS$6:$AS$97,MATCH(X21,WORLDCUP!$AI$6:$AI$97,0))</f>
        <v>3-1</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0</v>
      </c>
      <c r="K22" s="43" t="str">
        <f ca="1">+INDEX(WORLDCUP!$AR$6:$AR$97,MATCH(L22,WORLDCUP!$AI$6:$AI$97,0))&amp;"-"&amp;INDEX(WORLDCUP!$AS$6:$AS$97,MATCH(L22,WORLDCUP!$AI$6:$AI$97,0))</f>
        <v>1-1</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Sen</v>
      </c>
      <c r="U22" s="38">
        <f ca="1">+INDEX(WORLDCUP!$AM$6:$AM$97,MATCH(X22,WORLDCUP!$AI$6:$AI$97,0))</f>
        <v>0</v>
      </c>
      <c r="V22" s="39">
        <f ca="1">+INDEX(WORLDCUP!$AT$6:$AT$97,MATCH(X22,WORLDCUP!$AI$6:$AI$97,0))</f>
        <v>-2</v>
      </c>
      <c r="W22" s="43" t="str">
        <f ca="1">+INDEX(WORLDCUP!$AR$6:$AR$97,MATCH(X22,WORLDCUP!$AI$6:$AI$97,0))&amp;"-"&amp;INDEX(WORLDCUP!$AS$6:$AS$97,MATCH(X22,WORLDCUP!$AI$6:$AI$97,0))</f>
        <v>1-3</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-4</v>
      </c>
      <c r="K23" s="467" t="str">
        <f ca="1">+INDEX(WORLDCUP!$AR$6:$AR$97,MATCH(L23,WORLDCUP!$AI$6:$AI$97,0))&amp;"-"&amp;INDEX(WORLDCUP!$AS$6:$AS$97,MATCH(L23,WORLDCUP!$AI$6:$AI$97,0))</f>
        <v>0-4</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-3</v>
      </c>
      <c r="W23" s="467" t="str">
        <f ca="1">+INDEX(WORLDCUP!$AR$6:$AR$97,MATCH(X23,WORLDCUP!$AI$6:$AI$97,0))&amp;"-"&amp;INDEX(WORLDCUP!$AS$6:$AS$97,MATCH(X23,WORLDCUP!$AI$6:$AI$97,0))</f>
        <v>1-4</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5</v>
      </c>
      <c r="K28" s="439" t="str">
        <f ca="1">+INDEX(WORLDCUP!$AR$6:$AR$97,MATCH(L28,WORLDCUP!$AI$6:$AI$97,0))&amp;"-"&amp;INDEX(WORLDCUP!$AS$6:$AS$97,MATCH(L28,WORLDCUP!$AI$6:$AI$97,0))</f>
        <v>6-1</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3</v>
      </c>
      <c r="V28" s="438">
        <f ca="1">+INDEX(WORLDCUP!$AT$6:$AT$97,MATCH(X28,WORLDCUP!$AI$6:$AI$97,0))</f>
        <v>3</v>
      </c>
      <c r="W28" s="439" t="str">
        <f ca="1">+INDEX(WORLDCUP!$AR$6:$AR$97,MATCH(X28,WORLDCUP!$AI$6:$AI$97,0))&amp;"-"&amp;INDEX(WORLDCUP!$AS$6:$AS$97,MATCH(X28,WORLDCUP!$AI$6:$AI$97,0))</f>
        <v>3-0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3</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Aus</v>
      </c>
      <c r="U29" s="38">
        <f ca="1">+INDEX(WORLDCUP!$AM$6:$AM$97,MATCH(X29,WORLDCUP!$AI$6:$AI$97,0))</f>
        <v>3</v>
      </c>
      <c r="V29" s="39">
        <f ca="1">+INDEX(WORLDCUP!$AT$6:$AT$97,MATCH(X29,WORLDCUP!$AI$6:$AI$97,0))</f>
        <v>2</v>
      </c>
      <c r="W29" s="43" t="str">
        <f ca="1">+INDEX(WORLDCUP!$AR$6:$AR$97,MATCH(X29,WORLDCUP!$AI$6:$AI$97,0))&amp;"-"&amp;INDEX(WORLDCUP!$AS$6:$AS$97,MATCH(X29,WORLDCUP!$AI$6:$AI$97,0))</f>
        <v>3-1</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3</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Jor</v>
      </c>
      <c r="U30" s="38">
        <f ca="1">+INDEX(WORLDCUP!$AM$6:$AM$97,MATCH(X30,WORLDCUP!$AI$6:$AI$97,0))</f>
        <v>0</v>
      </c>
      <c r="V30" s="39">
        <f ca="1">+INDEX(WORLDCUP!$AT$6:$AT$97,MATCH(X30,WORLDCUP!$AI$6:$AI$97,0))</f>
        <v>-2</v>
      </c>
      <c r="W30" s="43" t="str">
        <f ca="1">+INDEX(WORLDCUP!$AR$6:$AR$97,MATCH(X30,WORLDCUP!$AI$6:$AI$97,0))&amp;"-"&amp;INDEX(WORLDCUP!$AS$6:$AS$97,MATCH(X30,WORLDCUP!$AI$6:$AI$97,0))</f>
        <v>1-3</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-3</v>
      </c>
      <c r="K31" s="467" t="str">
        <f ca="1">+INDEX(WORLDCUP!$AR$6:$AR$97,MATCH(L31,WORLDCUP!$AI$6:$AI$97,0))&amp;"-"&amp;INDEX(WORLDCUP!$AS$6:$AS$97,MATCH(L31,WORLDCUP!$AI$6:$AI$97,0))</f>
        <v>0-3</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0-3</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3</v>
      </c>
      <c r="J36" s="438">
        <f ca="1">+INDEX(WORLDCUP!$AT$6:$AT$97,MATCH(L36,WORLDCUP!$AI$6:$AI$97,0))</f>
        <v>6</v>
      </c>
      <c r="K36" s="439" t="str">
        <f ca="1">+INDEX(WORLDCUP!$AR$6:$AR$97,MATCH(L36,WORLDCUP!$AI$6:$AI$97,0))&amp;"-"&amp;INDEX(WORLDCUP!$AS$6:$AS$97,MATCH(L36,WORLDCUP!$AI$6:$AI$97,0))</f>
        <v>7-1</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3</v>
      </c>
      <c r="V36" s="438">
        <f ca="1">+INDEX(WORLDCUP!$AT$6:$AT$97,MATCH(X36,WORLDCUP!$AI$6:$AI$97,0))</f>
        <v>2</v>
      </c>
      <c r="W36" s="439" t="str">
        <f ca="1">+INDEX(WORLDCUP!$AR$6:$AR$97,MATCH(X36,WORLDCUP!$AI$6:$AI$97,0))&amp;"-"&amp;INDEX(WORLDCUP!$AS$6:$AS$97,MATCH(X36,WORLDCUP!$AI$6:$AI$97,0))</f>
        <v>3-1</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Cos</v>
      </c>
      <c r="I37" s="38">
        <f ca="1">+INDEX(WORLDCUP!$AM$6:$AM$97,MATCH(L37,WORLDCUP!$AI$6:$AI$97,0))</f>
        <v>3</v>
      </c>
      <c r="J37" s="39">
        <f ca="1">+INDEX(WORLDCUP!$AT$6:$AT$97,MATCH(L37,WORLDCUP!$AI$6:$AI$97,0))</f>
        <v>1</v>
      </c>
      <c r="K37" s="43" t="str">
        <f ca="1">+INDEX(WORLDCUP!$AR$6:$AR$97,MATCH(L37,WORLDCUP!$AI$6:$AI$97,0))&amp;"-"&amp;INDEX(WORLDCUP!$AS$6:$AS$97,MATCH(L37,WORLDCUP!$AI$6:$AI$97,0))</f>
        <v>1-0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Por</v>
      </c>
      <c r="U37" s="38">
        <f ca="1">+INDEX(WORLDCUP!$AM$6:$AM$97,MATCH(X37,WORLDCUP!$AI$6:$AI$97,0))</f>
        <v>1</v>
      </c>
      <c r="V37" s="39">
        <f ca="1">+INDEX(WORLDCUP!$AT$6:$AT$97,MATCH(X37,WORLDCUP!$AI$6:$AI$97,0))</f>
        <v>0</v>
      </c>
      <c r="W37" s="43" t="str">
        <f ca="1">+INDEX(WORLDCUP!$AR$6:$AR$97,MATCH(X37,WORLDCUP!$AI$6:$AI$97,0))&amp;"-"&amp;INDEX(WORLDCUP!$AS$6:$AS$97,MATCH(X37,WORLDCUP!$AI$6:$AI$97,0))</f>
        <v>1-1</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Ecu</v>
      </c>
      <c r="I38" s="38">
        <f ca="1">+INDEX(WORLDCUP!$AM$6:$AM$97,MATCH(L38,WORLDCUP!$AI$6:$AI$97,0))</f>
        <v>0</v>
      </c>
      <c r="J38" s="39">
        <f ca="1">+INDEX(WORLDCUP!$AT$6:$AT$97,MATCH(L38,WORLDCUP!$AI$6:$AI$97,0))</f>
        <v>-1</v>
      </c>
      <c r="K38" s="43" t="str">
        <f ca="1">+INDEX(WORLDCUP!$AR$6:$AR$97,MATCH(L38,WORLDCUP!$AI$6:$AI$97,0))&amp;"-"&amp;INDEX(WORLDCUP!$AS$6:$AS$97,MATCH(L38,WORLDCUP!$AI$6:$AI$97,0))</f>
        <v>0-1</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1</v>
      </c>
      <c r="V38" s="39">
        <f ca="1">+INDEX(WORLDCUP!$AT$6:$AT$97,MATCH(X38,WORLDCUP!$AI$6:$AI$97,0))</f>
        <v>0</v>
      </c>
      <c r="W38" s="43" t="str">
        <f ca="1">+INDEX(WORLDCUP!$AR$6:$AR$97,MATCH(X38,WORLDCUP!$AI$6:$AI$97,0))&amp;"-"&amp;INDEX(WORLDCUP!$AS$6:$AS$97,MATCH(X38,WORLDCUP!$AI$6:$AI$97,0))</f>
        <v>1-1</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-6</v>
      </c>
      <c r="K39" s="467" t="str">
        <f ca="1">+INDEX(WORLDCUP!$AR$6:$AR$97,MATCH(L39,WORLDCUP!$AI$6:$AI$97,0))&amp;"-"&amp;INDEX(WORLDCUP!$AS$6:$AS$97,MATCH(L39,WORLDCUP!$AI$6:$AI$97,0))</f>
        <v>1-7</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-2</v>
      </c>
      <c r="W39" s="467" t="str">
        <f ca="1">+INDEX(WORLDCUP!$AR$6:$AR$97,MATCH(X39,WORLDCUP!$AI$6:$AI$97,0))&amp;"-"&amp;INDEX(WORLDCUP!$AS$6:$AS$97,MATCH(X39,WORLDCUP!$AI$6:$AI$97,0))</f>
        <v>1-3</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Sue</v>
      </c>
      <c r="I44" s="437">
        <f ca="1">+INDEX(WORLDCUP!$AM$6:$AM$97,MATCH(L44,WORLDCUP!$AI$6:$AI$97,0))</f>
        <v>3</v>
      </c>
      <c r="J44" s="438">
        <f ca="1">+INDEX(WORLDCUP!$AT$6:$AT$97,MATCH(L44,WORLDCUP!$AI$6:$AI$97,0))</f>
        <v>4</v>
      </c>
      <c r="K44" s="439" t="str">
        <f ca="1">+INDEX(WORLDCUP!$AR$6:$AR$97,MATCH(L44,WORLDCUP!$AI$6:$AI$97,0))&amp;"-"&amp;INDEX(WORLDCUP!$AS$6:$AS$97,MATCH(L44,WORLDCUP!$AI$6:$AI$97,0))</f>
        <v>5-1</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3</v>
      </c>
      <c r="V44" s="438">
        <f ca="1">+INDEX(WORLDCUP!$AT$6:$AT$97,MATCH(X44,WORLDCUP!$AI$6:$AI$97,0))</f>
        <v>2</v>
      </c>
      <c r="W44" s="439" t="str">
        <f ca="1">+INDEX(WORLDCUP!$AR$6:$AR$97,MATCH(X44,WORLDCUP!$AI$6:$AI$97,0))&amp;"-"&amp;INDEX(WORLDCUP!$AS$6:$AS$97,MATCH(X44,WORLDCUP!$AI$6:$AI$97,0))</f>
        <v>4-2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Paí</v>
      </c>
      <c r="I45" s="38">
        <f ca="1">+INDEX(WORLDCUP!$AM$6:$AM$97,MATCH(L45,WORLDCUP!$AI$6:$AI$97,0))</f>
        <v>1</v>
      </c>
      <c r="J45" s="39">
        <f ca="1">+INDEX(WORLDCUP!$AT$6:$AT$97,MATCH(L45,WORLDCUP!$AI$6:$AI$97,0))</f>
        <v>0</v>
      </c>
      <c r="K45" s="43" t="str">
        <f ca="1">+INDEX(WORLDCUP!$AR$6:$AR$97,MATCH(L45,WORLDCUP!$AI$6:$AI$97,0))&amp;"-"&amp;INDEX(WORLDCUP!$AS$6:$AS$97,MATCH(L45,WORLDCUP!$AI$6:$AI$97,0))</f>
        <v>2-2</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Gha</v>
      </c>
      <c r="U45" s="38">
        <f ca="1">+INDEX(WORLDCUP!$AM$6:$AM$97,MATCH(X45,WORLDCUP!$AI$6:$AI$97,0))</f>
        <v>3</v>
      </c>
      <c r="V45" s="39">
        <f ca="1">+INDEX(WORLDCUP!$AT$6:$AT$97,MATCH(X45,WORLDCUP!$AI$6:$AI$97,0))</f>
        <v>1</v>
      </c>
      <c r="W45" s="43" t="str">
        <f ca="1">+INDEX(WORLDCUP!$AR$6:$AR$97,MATCH(X45,WORLDCUP!$AI$6:$AI$97,0))&amp;"-"&amp;INDEX(WORLDCUP!$AS$6:$AS$97,MATCH(X45,WORLDCUP!$AI$6:$AI$97,0))</f>
        <v>1-0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Jap</v>
      </c>
      <c r="I46" s="38">
        <f ca="1">+INDEX(WORLDCUP!$AM$6:$AM$97,MATCH(L46,WORLDCUP!$AI$6:$AI$97,0))</f>
        <v>1</v>
      </c>
      <c r="J46" s="39">
        <f ca="1">+INDEX(WORLDCUP!$AT$6:$AT$97,MATCH(L46,WORLDCUP!$AI$6:$AI$97,0))</f>
        <v>0</v>
      </c>
      <c r="K46" s="43" t="str">
        <f ca="1">+INDEX(WORLDCUP!$AR$6:$AR$97,MATCH(L46,WORLDCUP!$AI$6:$AI$97,0))&amp;"-"&amp;INDEX(WORLDCUP!$AS$6:$AS$97,MATCH(L46,WORLDCUP!$AI$6:$AI$97,0))</f>
        <v>2-2</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Pan</v>
      </c>
      <c r="U46" s="38">
        <f ca="1">+INDEX(WORLDCUP!$AM$6:$AM$97,MATCH(X46,WORLDCUP!$AI$6:$AI$97,0))</f>
        <v>0</v>
      </c>
      <c r="V46" s="39">
        <f ca="1">+INDEX(WORLDCUP!$AT$6:$AT$97,MATCH(X46,WORLDCUP!$AI$6:$AI$97,0))</f>
        <v>-1</v>
      </c>
      <c r="W46" s="43" t="str">
        <f ca="1">+INDEX(WORLDCUP!$AR$6:$AR$97,MATCH(X46,WORLDCUP!$AI$6:$AI$97,0))&amp;"-"&amp;INDEX(WORLDCUP!$AS$6:$AS$97,MATCH(X46,WORLDCUP!$AI$6:$AI$97,0))</f>
        <v>0-1</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-4</v>
      </c>
      <c r="K47" s="467" t="str">
        <f ca="1">+INDEX(WORLDCUP!$AR$6:$AR$97,MATCH(L47,WORLDCUP!$AI$6:$AI$97,0))&amp;"-"&amp;INDEX(WORLDCUP!$AS$6:$AS$97,MATCH(L47,WORLDCUP!$AI$6:$AI$97,0))</f>
        <v>1-5</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Cro</v>
      </c>
      <c r="U47" s="465">
        <f ca="1">+INDEX(WORLDCUP!$AM$6:$AM$97,MATCH(X47,WORLDCUP!$AI$6:$AI$97,0))</f>
        <v>0</v>
      </c>
      <c r="V47" s="466">
        <f ca="1">+INDEX(WORLDCUP!$AT$6:$AT$97,MATCH(X47,WORLDCUP!$AI$6:$AI$97,0))</f>
        <v>-2</v>
      </c>
      <c r="W47" s="467" t="str">
        <f ca="1">+INDEX(WORLDCUP!$AR$6:$AR$97,MATCH(X47,WORLDCUP!$AI$6:$AI$97,0))&amp;"-"&amp;INDEX(WORLDCUP!$AS$6:$AS$97,MATCH(X47,WORLDCUP!$AI$6:$AI$97,0))</f>
        <v>2-4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Jordania</v>
      </c>
      <c r="E2" s="9" t="str">
        <f ca="1">+WORLDCUP!BD66</f>
        <v>Senegal</v>
      </c>
      <c r="F2" s="9" t="str">
        <f ca="1">+WORLDCUP!BD63</f>
        <v>Japón</v>
      </c>
      <c r="G2" s="9" t="str">
        <f ca="1">+WORLDCUP!BD65</f>
        <v>España</v>
      </c>
      <c r="H2" s="9" t="str">
        <f ca="1">+WORLDCUP!BD64</f>
        <v>Bélgica</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España</v>
      </c>
      <c r="D3" s="9" t="str">
        <f ca="1">+WORLDCUP!BD64</f>
        <v>Bélgica</v>
      </c>
      <c r="E3" s="9" t="str">
        <f ca="1">+WORLDCUP!BD66</f>
        <v>Senegal</v>
      </c>
      <c r="F3" s="9" t="str">
        <f ca="1">+WORLDCUP!BD61</f>
        <v>Paraguay</v>
      </c>
      <c r="G3" s="9" t="str">
        <f ca="1">+WORLDCUP!BD67</f>
        <v>Jordania</v>
      </c>
      <c r="H3" s="9" t="str">
        <f ca="1">+WORLDCUP!BD63</f>
        <v>Japón</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Jordania</v>
      </c>
      <c r="E4" s="9" t="str">
        <f ca="1">+WORLDCUP!BD66</f>
        <v>Senegal</v>
      </c>
      <c r="F4" s="9" t="str">
        <f ca="1">+WORLDCUP!BD61</f>
        <v>Paraguay</v>
      </c>
      <c r="G4" s="9" t="str">
        <f ca="1">+WORLDCUP!BD65</f>
        <v>España</v>
      </c>
      <c r="H4" s="9" t="str">
        <f ca="1">+WORLDCUP!BD64</f>
        <v>Bélgica</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Jordania</v>
      </c>
      <c r="E5" s="9" t="str">
        <f ca="1">+WORLDCUP!BD66</f>
        <v>Senegal</v>
      </c>
      <c r="F5" s="9" t="str">
        <f ca="1">+WORLDCUP!BD61</f>
        <v>Paraguay</v>
      </c>
      <c r="G5" s="9" t="str">
        <f ca="1">+WORLDCUP!BD65</f>
        <v>España</v>
      </c>
      <c r="H5" s="9" t="str">
        <f ca="1">+WORLDCUP!BD63</f>
        <v>Japón</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Bélgica</v>
      </c>
      <c r="E6" s="9" t="str">
        <f ca="1">+WORLDCUP!BD66</f>
        <v>Senegal</v>
      </c>
      <c r="F6" s="9" t="str">
        <f ca="1">+WORLDCUP!BD61</f>
        <v>Paraguay</v>
      </c>
      <c r="G6" s="9" t="str">
        <f ca="1">+WORLDCUP!BD67</f>
        <v>Jordania</v>
      </c>
      <c r="H6" s="9" t="str">
        <f ca="1">+WORLDCUP!BD63</f>
        <v>Japón</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Bélgica</v>
      </c>
      <c r="E7" s="9" t="str">
        <f ca="1">+WORLDCUP!BD67</f>
        <v>Jordania</v>
      </c>
      <c r="F7" s="9" t="str">
        <f ca="1">+WORLDCUP!BD61</f>
        <v>Paraguay</v>
      </c>
      <c r="G7" s="9" t="str">
        <f ca="1">+WORLDCUP!BD65</f>
        <v>España</v>
      </c>
      <c r="H7" s="9" t="str">
        <f ca="1">+WORLDCUP!BD63</f>
        <v>Japón</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Bélgica</v>
      </c>
      <c r="E8" s="9" t="str">
        <f ca="1">+WORLDCUP!BD66</f>
        <v>Senegal</v>
      </c>
      <c r="F8" s="9" t="str">
        <f ca="1">+WORLDCUP!BD61</f>
        <v>Paraguay</v>
      </c>
      <c r="G8" s="9" t="str">
        <f ca="1">+WORLDCUP!BD65</f>
        <v>España</v>
      </c>
      <c r="H8" s="9" t="str">
        <f ca="1">+WORLDCUP!BD63</f>
        <v>Japón</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Bélgica</v>
      </c>
      <c r="E9" s="9" t="str">
        <f ca="1">+WORLDCUP!BD67</f>
        <v>Jordania</v>
      </c>
      <c r="F9" s="9" t="str">
        <f ca="1">+WORLDCUP!BD61</f>
        <v>Paraguay</v>
      </c>
      <c r="G9" s="9" t="str">
        <f ca="1">+WORLDCUP!BD65</f>
        <v>España</v>
      </c>
      <c r="H9" s="9" t="str">
        <f ca="1">+WORLDCUP!BD63</f>
        <v>Japón</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Bélgica</v>
      </c>
      <c r="E10" s="9" t="str">
        <f ca="1">+WORLDCUP!BD67</f>
        <v>Jordania</v>
      </c>
      <c r="F10" s="9" t="str">
        <f ca="1">+WORLDCUP!BD61</f>
        <v>Paraguay</v>
      </c>
      <c r="G10" s="9" t="str">
        <f ca="1">+WORLDCUP!BD65</f>
        <v>España</v>
      </c>
      <c r="H10" s="9" t="str">
        <f ca="1">+WORLDCUP!BD63</f>
        <v>Japón</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España</v>
      </c>
      <c r="D11" s="9" t="str">
        <f ca="1">+WORLDCUP!BD64</f>
        <v>Bélgica</v>
      </c>
      <c r="E11" s="9" t="str">
        <f ca="1">+WORLDCUP!BD66</f>
        <v>Senegal</v>
      </c>
      <c r="F11" s="9" t="str">
        <f ca="1">+WORLDCUP!BD60</f>
        <v>Escocia</v>
      </c>
      <c r="G11" s="9" t="str">
        <f ca="1">+WORLDCUP!BD67</f>
        <v>Jordania</v>
      </c>
      <c r="H11" s="9" t="str">
        <f ca="1">+WORLDCUP!BD63</f>
        <v>Japón</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Jordania</v>
      </c>
      <c r="E12" s="9" t="str">
        <f ca="1">+WORLDCUP!BD66</f>
        <v>Senegal</v>
      </c>
      <c r="F12" s="9" t="str">
        <f ca="1">+WORLDCUP!BD60</f>
        <v>Escocia</v>
      </c>
      <c r="G12" s="9" t="str">
        <f ca="1">+WORLDCUP!BD65</f>
        <v>España</v>
      </c>
      <c r="H12" s="9" t="str">
        <f ca="1">+WORLDCUP!BD64</f>
        <v>Bélgica</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Jordania</v>
      </c>
      <c r="E13" s="9" t="str">
        <f ca="1">+WORLDCUP!BD66</f>
        <v>Senegal</v>
      </c>
      <c r="F13" s="9" t="str">
        <f ca="1">+WORLDCUP!BD60</f>
        <v>Escocia</v>
      </c>
      <c r="G13" s="9" t="str">
        <f ca="1">+WORLDCUP!BD65</f>
        <v>España</v>
      </c>
      <c r="H13" s="9" t="str">
        <f ca="1">+WORLDCUP!BD63</f>
        <v>Japón</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Bélgica</v>
      </c>
      <c r="E14" s="9" t="str">
        <f ca="1">+WORLDCUP!BD66</f>
        <v>Senegal</v>
      </c>
      <c r="F14" s="9" t="str">
        <f ca="1">+WORLDCUP!BD60</f>
        <v>Escocia</v>
      </c>
      <c r="G14" s="9" t="str">
        <f ca="1">+WORLDCUP!BD67</f>
        <v>Jordania</v>
      </c>
      <c r="H14" s="9" t="str">
        <f ca="1">+WORLDCUP!BD63</f>
        <v>Japón</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Bélgica</v>
      </c>
      <c r="E15" s="9" t="str">
        <f ca="1">+WORLDCUP!BD67</f>
        <v>Jordania</v>
      </c>
      <c r="F15" s="9" t="str">
        <f ca="1">+WORLDCUP!BD60</f>
        <v>Escocia</v>
      </c>
      <c r="G15" s="9" t="str">
        <f ca="1">+WORLDCUP!BD65</f>
        <v>España</v>
      </c>
      <c r="H15" s="9" t="str">
        <f ca="1">+WORLDCUP!BD63</f>
        <v>Japón</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Bélgica</v>
      </c>
      <c r="E16" s="9" t="str">
        <f ca="1">+WORLDCUP!BD66</f>
        <v>Senegal</v>
      </c>
      <c r="F16" s="9" t="str">
        <f ca="1">+WORLDCUP!BD60</f>
        <v>Escocia</v>
      </c>
      <c r="G16" s="9" t="str">
        <f ca="1">+WORLDCUP!BD65</f>
        <v>España</v>
      </c>
      <c r="H16" s="9" t="str">
        <f ca="1">+WORLDCUP!BD63</f>
        <v>Japón</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Bélgica</v>
      </c>
      <c r="E17" s="9" t="str">
        <f ca="1">+WORLDCUP!BD67</f>
        <v>Jordania</v>
      </c>
      <c r="F17" s="9" t="str">
        <f ca="1">+WORLDCUP!BD60</f>
        <v>Escocia</v>
      </c>
      <c r="G17" s="9" t="str">
        <f ca="1">+WORLDCUP!BD65</f>
        <v>España</v>
      </c>
      <c r="H17" s="9" t="str">
        <f ca="1">+WORLDCUP!BD63</f>
        <v>Japón</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Bélgica</v>
      </c>
      <c r="E18" s="9" t="str">
        <f ca="1">+WORLDCUP!BD67</f>
        <v>Jordania</v>
      </c>
      <c r="F18" s="9" t="str">
        <f ca="1">+WORLDCUP!BD60</f>
        <v>Escocia</v>
      </c>
      <c r="G18" s="9" t="str">
        <f ca="1">+WORLDCUP!BD65</f>
        <v>España</v>
      </c>
      <c r="H18" s="9" t="str">
        <f ca="1">+WORLDCUP!BD63</f>
        <v>Japón</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España</v>
      </c>
      <c r="D19" s="9" t="str">
        <f ca="1">+WORLDCUP!BD64</f>
        <v>Bélgica</v>
      </c>
      <c r="E19" s="9" t="str">
        <f ca="1">+WORLDCUP!BD66</f>
        <v>Senegal</v>
      </c>
      <c r="F19" s="9" t="str">
        <f ca="1">+WORLDCUP!BD60</f>
        <v>Escocia</v>
      </c>
      <c r="G19" s="9" t="str">
        <f ca="1">+WORLDCUP!BD67</f>
        <v>Jordania</v>
      </c>
      <c r="H19" s="9" t="str">
        <f ca="1">+WORLDCUP!BD61</f>
        <v>Paraguay</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Paraguay</v>
      </c>
      <c r="G20" s="9" t="str">
        <f ca="1">+WORLDCUP!BD65</f>
        <v>España</v>
      </c>
      <c r="H20" s="9" t="str">
        <f ca="1">+WORLDCUP!BD63</f>
        <v>Japón</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Bélgica</v>
      </c>
      <c r="E21" s="9" t="str">
        <f ca="1">+WORLDCUP!BD66</f>
        <v>Senegal</v>
      </c>
      <c r="F21" s="9" t="str">
        <f ca="1">+WORLDCUP!BD61</f>
        <v>Paraguay</v>
      </c>
      <c r="G21" s="9" t="str">
        <f ca="1">+WORLDCUP!BD67</f>
        <v>Jordania</v>
      </c>
      <c r="H21" s="9" t="str">
        <f ca="1">+WORLDCUP!BD63</f>
        <v>Japón</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Bélgica</v>
      </c>
      <c r="E22" s="9" t="str">
        <f ca="1">+WORLDCUP!BD67</f>
        <v>Jordania</v>
      </c>
      <c r="F22" s="9" t="str">
        <f ca="1">+WORLDCUP!BD61</f>
        <v>Paraguay</v>
      </c>
      <c r="G22" s="9" t="str">
        <f ca="1">+WORLDCUP!BD65</f>
        <v>España</v>
      </c>
      <c r="H22" s="9" t="str">
        <f ca="1">+WORLDCUP!BD63</f>
        <v>Japón</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Bélgica</v>
      </c>
      <c r="E23" s="9" t="str">
        <f ca="1">+WORLDCUP!BD66</f>
        <v>Senegal</v>
      </c>
      <c r="F23" s="9" t="str">
        <f ca="1">+WORLDCUP!BD61</f>
        <v>Paraguay</v>
      </c>
      <c r="G23" s="9" t="str">
        <f ca="1">+WORLDCUP!BD65</f>
        <v>España</v>
      </c>
      <c r="H23" s="9" t="str">
        <f ca="1">+WORLDCUP!BD63</f>
        <v>Japón</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Bélgica</v>
      </c>
      <c r="E24" s="9" t="str">
        <f ca="1">+WORLDCUP!BD67</f>
        <v>Jordania</v>
      </c>
      <c r="F24" s="9" t="str">
        <f ca="1">+WORLDCUP!BD61</f>
        <v>Paraguay</v>
      </c>
      <c r="G24" s="9" t="str">
        <f ca="1">+WORLDCUP!BD65</f>
        <v>España</v>
      </c>
      <c r="H24" s="9" t="str">
        <f ca="1">+WORLDCUP!BD63</f>
        <v>Japón</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Bélgica</v>
      </c>
      <c r="E25" s="9" t="str">
        <f ca="1">+WORLDCUP!BD67</f>
        <v>Jordania</v>
      </c>
      <c r="F25" s="9" t="str">
        <f ca="1">+WORLDCUP!BD61</f>
        <v>Paraguay</v>
      </c>
      <c r="G25" s="9" t="str">
        <f ca="1">+WORLDCUP!BD65</f>
        <v>España</v>
      </c>
      <c r="H25" s="9" t="str">
        <f ca="1">+WORLDCUP!BD63</f>
        <v>Japón</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Jordania</v>
      </c>
      <c r="E26" s="9" t="str">
        <f ca="1">+WORLDCUP!BD66</f>
        <v>Senegal</v>
      </c>
      <c r="F26" s="9" t="str">
        <f ca="1">+WORLDCUP!BD60</f>
        <v>Escocia</v>
      </c>
      <c r="G26" s="9" t="str">
        <f ca="1">+WORLDCUP!BD65</f>
        <v>España</v>
      </c>
      <c r="H26" s="9" t="str">
        <f ca="1">+WORLDCUP!BD61</f>
        <v>Paraguay</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Bélgica</v>
      </c>
      <c r="E27" s="9" t="str">
        <f ca="1">+WORLDCUP!BD66</f>
        <v>Senegal</v>
      </c>
      <c r="F27" s="9" t="str">
        <f ca="1">+WORLDCUP!BD60</f>
        <v>Escocia</v>
      </c>
      <c r="G27" s="9" t="str">
        <f ca="1">+WORLDCUP!BD67</f>
        <v>Jordania</v>
      </c>
      <c r="H27" s="9" t="str">
        <f ca="1">+WORLDCUP!BD61</f>
        <v>Paraguay</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Bélgica</v>
      </c>
      <c r="E28" s="9" t="str">
        <f ca="1">+WORLDCUP!BD67</f>
        <v>Jordania</v>
      </c>
      <c r="F28" s="9" t="str">
        <f ca="1">+WORLDCUP!BD60</f>
        <v>Escocia</v>
      </c>
      <c r="G28" s="9" t="str">
        <f ca="1">+WORLDCUP!BD65</f>
        <v>España</v>
      </c>
      <c r="H28" s="9" t="str">
        <f ca="1">+WORLDCUP!BD61</f>
        <v>Paraguay</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Bélgica</v>
      </c>
      <c r="E29" s="9" t="str">
        <f ca="1">+WORLDCUP!BD66</f>
        <v>Senegal</v>
      </c>
      <c r="F29" s="9" t="str">
        <f ca="1">+WORLDCUP!BD60</f>
        <v>Escocia</v>
      </c>
      <c r="G29" s="9" t="str">
        <f ca="1">+WORLDCUP!BD65</f>
        <v>España</v>
      </c>
      <c r="H29" s="9" t="str">
        <f ca="1">+WORLDCUP!BD61</f>
        <v>Paraguay</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Bélgica</v>
      </c>
      <c r="E30" s="9" t="str">
        <f ca="1">+WORLDCUP!BD67</f>
        <v>Jordania</v>
      </c>
      <c r="F30" s="9" t="str">
        <f ca="1">+WORLDCUP!BD60</f>
        <v>Escocia</v>
      </c>
      <c r="G30" s="9" t="str">
        <f ca="1">+WORLDCUP!BD65</f>
        <v>España</v>
      </c>
      <c r="H30" s="9" t="str">
        <f ca="1">+WORLDCUP!BD61</f>
        <v>Paraguay</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Bélgica</v>
      </c>
      <c r="E31" s="9" t="str">
        <f ca="1">+WORLDCUP!BD67</f>
        <v>Jordania</v>
      </c>
      <c r="F31" s="9" t="str">
        <f ca="1">+WORLDCUP!BD60</f>
        <v>Escocia</v>
      </c>
      <c r="G31" s="9" t="str">
        <f ca="1">+WORLDCUP!BD65</f>
        <v>España</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Ecuador</v>
      </c>
      <c r="F32" s="9" t="str">
        <f ca="1">+WORLDCUP!BD61</f>
        <v>Paraguay</v>
      </c>
      <c r="G32" s="9" t="str">
        <f ca="1">+WORLDCUP!BD66</f>
        <v>Senegal</v>
      </c>
      <c r="H32" s="9" t="str">
        <f ca="1">+WORLDCUP!BD63</f>
        <v>Japón</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Ecuador</v>
      </c>
      <c r="F33" s="9" t="str">
        <f ca="1">+WORLDCUP!BD61</f>
        <v>Paraguay</v>
      </c>
      <c r="G33" s="9" t="str">
        <f ca="1">+WORLDCUP!BD65</f>
        <v>España</v>
      </c>
      <c r="H33" s="9" t="str">
        <f ca="1">+WORLDCUP!BD63</f>
        <v>Japón</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España</v>
      </c>
      <c r="H34" s="9" t="str">
        <f ca="1">+WORLDCUP!BD63</f>
        <v>Japón</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Ecuador</v>
      </c>
      <c r="F35" s="9" t="str">
        <f ca="1">+WORLDCUP!BD61</f>
        <v>Paraguay</v>
      </c>
      <c r="G35" s="9" t="str">
        <f ca="1">+WORLDCUP!BD65</f>
        <v>España</v>
      </c>
      <c r="H35" s="9" t="str">
        <f ca="1">+WORLDCUP!BD63</f>
        <v>Japón</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Ecuador</v>
      </c>
      <c r="F36" s="9" t="str">
        <f ca="1">+WORLDCUP!BD61</f>
        <v>Paraguay</v>
      </c>
      <c r="G36" s="9" t="str">
        <f ca="1">+WORLDCUP!BD65</f>
        <v>España</v>
      </c>
      <c r="H36" s="9" t="str">
        <f ca="1">+WORLDCUP!BD63</f>
        <v>Japón</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Bélgica</v>
      </c>
      <c r="E37" s="9" t="str">
        <f ca="1">+WORLDCUP!BD62</f>
        <v>Ecuador</v>
      </c>
      <c r="F37" s="9" t="str">
        <f ca="1">+WORLDCUP!BD61</f>
        <v>Paraguay</v>
      </c>
      <c r="G37" s="9" t="str">
        <f ca="1">+WORLDCUP!BD67</f>
        <v>Jordania</v>
      </c>
      <c r="H37" s="9" t="str">
        <f ca="1">+WORLDCUP!BD63</f>
        <v>Japón</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Bélgica</v>
      </c>
      <c r="E38" s="9" t="str">
        <f ca="1">+WORLDCUP!BD62</f>
        <v>Ecuador</v>
      </c>
      <c r="F38" s="9" t="str">
        <f ca="1">+WORLDCUP!BD61</f>
        <v>Paraguay</v>
      </c>
      <c r="G38" s="9" t="str">
        <f ca="1">+WORLDCUP!BD66</f>
        <v>Senegal</v>
      </c>
      <c r="H38" s="9" t="str">
        <f ca="1">+WORLDCUP!BD63</f>
        <v>Japón</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Bélgica</v>
      </c>
      <c r="E39" s="9" t="str">
        <f ca="1">+WORLDCUP!BD62</f>
        <v>Ecuador</v>
      </c>
      <c r="F39" s="9" t="str">
        <f ca="1">+WORLDCUP!BD61</f>
        <v>Paraguay</v>
      </c>
      <c r="G39" s="9" t="str">
        <f ca="1">+WORLDCUP!BD67</f>
        <v>Jordania</v>
      </c>
      <c r="H39" s="9" t="str">
        <f ca="1">+WORLDCUP!BD63</f>
        <v>Japón</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Bélgica</v>
      </c>
      <c r="E40" s="9" t="str">
        <f ca="1">+WORLDCUP!BD62</f>
        <v>Ecuador</v>
      </c>
      <c r="F40" s="9" t="str">
        <f ca="1">+WORLDCUP!BD61</f>
        <v>Paraguay</v>
      </c>
      <c r="G40" s="9" t="str">
        <f ca="1">+WORLDCUP!BD67</f>
        <v>Jordania</v>
      </c>
      <c r="H40" s="9" t="str">
        <f ca="1">+WORLDCUP!BD63</f>
        <v>Japón</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Bélgica</v>
      </c>
      <c r="E41" s="9" t="str">
        <f ca="1">+WORLDCUP!BD62</f>
        <v>Ecuador</v>
      </c>
      <c r="F41" s="9" t="str">
        <f ca="1">+WORLDCUP!BD61</f>
        <v>Paraguay</v>
      </c>
      <c r="G41" s="9" t="str">
        <f ca="1">+WORLDCUP!BD65</f>
        <v>España</v>
      </c>
      <c r="H41" s="9" t="str">
        <f ca="1">+WORLDCUP!BD63</f>
        <v>Japón</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Bélgica</v>
      </c>
      <c r="E42" s="9" t="str">
        <f ca="1">+WORLDCUP!BD67</f>
        <v>Jordania</v>
      </c>
      <c r="F42" s="9" t="str">
        <f ca="1">+WORLDCUP!BD61</f>
        <v>Paraguay</v>
      </c>
      <c r="G42" s="9" t="str">
        <f ca="1">+WORLDCUP!BD65</f>
        <v>España</v>
      </c>
      <c r="H42" s="9" t="str">
        <f ca="1">+WORLDCUP!BD63</f>
        <v>Japón</v>
      </c>
      <c r="I42" s="9" t="str">
        <f ca="1">+WORLDCUP!BD69</f>
        <v>Panamá</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Bélgica</v>
      </c>
      <c r="E43" s="9" t="str">
        <f ca="1">+WORLDCUP!BD67</f>
        <v>Jordania</v>
      </c>
      <c r="F43" s="9" t="str">
        <f ca="1">+WORLDCUP!BD61</f>
        <v>Paraguay</v>
      </c>
      <c r="G43" s="9" t="str">
        <f ca="1">+WORLDCUP!BD65</f>
        <v>España</v>
      </c>
      <c r="H43" s="9" t="str">
        <f ca="1">+WORLDCUP!BD63</f>
        <v>Japón</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Bélgica</v>
      </c>
      <c r="E44" s="9" t="str">
        <f ca="1">+WORLDCUP!BD62</f>
        <v>Ecuador</v>
      </c>
      <c r="F44" s="9" t="str">
        <f ca="1">+WORLDCUP!BD61</f>
        <v>Paraguay</v>
      </c>
      <c r="G44" s="9" t="str">
        <f ca="1">+WORLDCUP!BD65</f>
        <v>España</v>
      </c>
      <c r="H44" s="9" t="str">
        <f ca="1">+WORLDCUP!BD63</f>
        <v>Japón</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Bélgica</v>
      </c>
      <c r="E45" s="9" t="str">
        <f ca="1">+WORLDCUP!BD62</f>
        <v>Ecuador</v>
      </c>
      <c r="F45" s="9" t="str">
        <f ca="1">+WORLDCUP!BD61</f>
        <v>Paraguay</v>
      </c>
      <c r="G45" s="9" t="str">
        <f ca="1">+WORLDCUP!BD65</f>
        <v>España</v>
      </c>
      <c r="H45" s="9" t="str">
        <f ca="1">+WORLDCUP!BD63</f>
        <v>Japón</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Bélgica</v>
      </c>
      <c r="E46" s="9" t="str">
        <f ca="1">+WORLDCUP!BD67</f>
        <v>Jordania</v>
      </c>
      <c r="F46" s="9" t="str">
        <f ca="1">+WORLDCUP!BD61</f>
        <v>Paraguay</v>
      </c>
      <c r="G46" s="9" t="str">
        <f ca="1">+WORLDCUP!BD65</f>
        <v>España</v>
      </c>
      <c r="H46" s="9" t="str">
        <f ca="1">+WORLDCUP!BD63</f>
        <v>Japón</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España</v>
      </c>
      <c r="D47" s="9" t="str">
        <f ca="1">+WORLDCUP!BD67</f>
        <v>Jordania</v>
      </c>
      <c r="E47" s="9" t="str">
        <f ca="1">+WORLDCUP!BD59</f>
        <v>Bosnia y Herzegovina</v>
      </c>
      <c r="F47" s="9" t="str">
        <f ca="1">+WORLDCUP!BD63</f>
        <v>Japón</v>
      </c>
      <c r="G47" s="9" t="str">
        <f ca="1">+WORLDCUP!BD66</f>
        <v>Senegal</v>
      </c>
      <c r="H47" s="9" t="str">
        <f ca="1">+WORLDCUP!BD64</f>
        <v>Bélgica</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Jordania</v>
      </c>
      <c r="E48" s="9" t="str">
        <f ca="1">+WORLDCUP!BD66</f>
        <v>Senegal</v>
      </c>
      <c r="F48" s="9" t="str">
        <f ca="1">+WORLDCUP!BD59</f>
        <v>Bosnia y Herzegovina</v>
      </c>
      <c r="G48" s="9" t="str">
        <f ca="1">+WORLDCUP!BD65</f>
        <v>España</v>
      </c>
      <c r="H48" s="9" t="str">
        <f ca="1">+WORLDCUP!BD64</f>
        <v>Bélgica</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Jordania</v>
      </c>
      <c r="E49" s="9" t="str">
        <f ca="1">+WORLDCUP!BD59</f>
        <v>Bosnia y Herzegovina</v>
      </c>
      <c r="F49" s="9" t="str">
        <f ca="1">+WORLDCUP!BD63</f>
        <v>Japón</v>
      </c>
      <c r="G49" s="9" t="str">
        <f ca="1">+WORLDCUP!BD66</f>
        <v>Senegal</v>
      </c>
      <c r="H49" s="9" t="str">
        <f ca="1">+WORLDCUP!BD65</f>
        <v>España</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Jordania</v>
      </c>
      <c r="E50" s="9" t="str">
        <f ca="1">+WORLDCUP!BD59</f>
        <v>Bosnia y Herzegovina</v>
      </c>
      <c r="F50" s="9" t="str">
        <f ca="1">+WORLDCUP!BD63</f>
        <v>Japón</v>
      </c>
      <c r="G50" s="9" t="str">
        <f ca="1">+WORLDCUP!BD66</f>
        <v>Senegal</v>
      </c>
      <c r="H50" s="9" t="str">
        <f ca="1">+WORLDCUP!BD64</f>
        <v>Bélgica</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Jordania</v>
      </c>
      <c r="E51" s="9" t="str">
        <f ca="1">+WORLDCUP!BD59</f>
        <v>Bosnia y Herzegovina</v>
      </c>
      <c r="F51" s="9" t="str">
        <f ca="1">+WORLDCUP!BD63</f>
        <v>Japón</v>
      </c>
      <c r="G51" s="9" t="str">
        <f ca="1">+WORLDCUP!BD65</f>
        <v>España</v>
      </c>
      <c r="H51" s="9" t="str">
        <f ca="1">+WORLDCUP!BD64</f>
        <v>Bélgica</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Bélgica</v>
      </c>
      <c r="E52" s="9" t="str">
        <f ca="1">+WORLDCUP!BD59</f>
        <v>Bosnia y Herzegovina</v>
      </c>
      <c r="F52" s="9" t="str">
        <f ca="1">+WORLDCUP!BD63</f>
        <v>Japón</v>
      </c>
      <c r="G52" s="9" t="str">
        <f ca="1">+WORLDCUP!BD66</f>
        <v>Senegal</v>
      </c>
      <c r="H52" s="9" t="str">
        <f ca="1">+WORLDCUP!BD65</f>
        <v>España</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Jordania</v>
      </c>
      <c r="E53" s="9" t="str">
        <f ca="1">+WORLDCUP!BD59</f>
        <v>Bosnia y Herzegovina</v>
      </c>
      <c r="F53" s="9" t="str">
        <f ca="1">+WORLDCUP!BD63</f>
        <v>Japón</v>
      </c>
      <c r="G53" s="9" t="str">
        <f ca="1">+WORLDCUP!BD65</f>
        <v>España</v>
      </c>
      <c r="H53" s="9" t="str">
        <f ca="1">+WORLDCUP!BD64</f>
        <v>Bélgica</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Jordania</v>
      </c>
      <c r="E54" s="9" t="str">
        <f ca="1">+WORLDCUP!BD59</f>
        <v>Bosnia y Herzegovina</v>
      </c>
      <c r="F54" s="9" t="str">
        <f ca="1">+WORLDCUP!BD63</f>
        <v>Japón</v>
      </c>
      <c r="G54" s="9" t="str">
        <f ca="1">+WORLDCUP!BD65</f>
        <v>España</v>
      </c>
      <c r="H54" s="9" t="str">
        <f ca="1">+WORLDCUP!BD64</f>
        <v>Bélgica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España</v>
      </c>
      <c r="D55" s="9" t="str">
        <f ca="1">+WORLDCUP!BD67</f>
        <v>Jordania</v>
      </c>
      <c r="E55" s="9" t="str">
        <f ca="1">+WORLDCUP!BD59</f>
        <v>Bosnia y Herzegovina</v>
      </c>
      <c r="F55" s="9" t="str">
        <f ca="1">+WORLDCUP!BD61</f>
        <v>Paraguay</v>
      </c>
      <c r="G55" s="9" t="str">
        <f ca="1">+WORLDCUP!BD66</f>
        <v>Senegal</v>
      </c>
      <c r="H55" s="9" t="str">
        <f ca="1">+WORLDCUP!BD64</f>
        <v>Bélgica</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España</v>
      </c>
      <c r="D56" s="9" t="str">
        <f ca="1">+WORLDCUP!BD67</f>
        <v>Jordania</v>
      </c>
      <c r="E56" s="9" t="str">
        <f ca="1">+WORLDCUP!BD59</f>
        <v>Bosnia y Herzegovina</v>
      </c>
      <c r="F56" s="9" t="str">
        <f ca="1">+WORLDCUP!BD61</f>
        <v>Paraguay</v>
      </c>
      <c r="G56" s="9" t="str">
        <f ca="1">+WORLDCUP!BD66</f>
        <v>Senegal</v>
      </c>
      <c r="H56" s="9" t="str">
        <f ca="1">+WORLDCUP!BD63</f>
        <v>Japón</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Bélgica</v>
      </c>
      <c r="E57" s="9" t="str">
        <f ca="1">+WORLDCUP!BD59</f>
        <v>Bosnia y Herzegovina</v>
      </c>
      <c r="F57" s="9" t="str">
        <f ca="1">+WORLDCUP!BD61</f>
        <v>Paraguay</v>
      </c>
      <c r="G57" s="9" t="str">
        <f ca="1">+WORLDCUP!BD67</f>
        <v>Jordania</v>
      </c>
      <c r="H57" s="9" t="str">
        <f ca="1">+WORLDCUP!BD63</f>
        <v>Japón</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España</v>
      </c>
      <c r="D58" s="9" t="str">
        <f ca="1">+WORLDCUP!BD64</f>
        <v>Bélgica</v>
      </c>
      <c r="E58" s="9" t="str">
        <f ca="1">+WORLDCUP!BD59</f>
        <v>Bosnia y Herzegovina</v>
      </c>
      <c r="F58" s="9" t="str">
        <f ca="1">+WORLDCUP!BD61</f>
        <v>Paraguay</v>
      </c>
      <c r="G58" s="9" t="str">
        <f ca="1">+WORLDCUP!BD67</f>
        <v>Jordania</v>
      </c>
      <c r="H58" s="9" t="str">
        <f ca="1">+WORLDCUP!BD63</f>
        <v>Japón</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España</v>
      </c>
      <c r="D59" s="9" t="str">
        <f ca="1">+WORLDCUP!BD64</f>
        <v>Bélgica</v>
      </c>
      <c r="E59" s="9" t="str">
        <f ca="1">+WORLDCUP!BD59</f>
        <v>Bosnia y Herzegovina</v>
      </c>
      <c r="F59" s="9" t="str">
        <f ca="1">+WORLDCUP!BD61</f>
        <v>Paraguay</v>
      </c>
      <c r="G59" s="9" t="str">
        <f ca="1">+WORLDCUP!BD66</f>
        <v>Senegal</v>
      </c>
      <c r="H59" s="9" t="str">
        <f ca="1">+WORLDCUP!BD63</f>
        <v>Japón</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España</v>
      </c>
      <c r="D60" s="9" t="str">
        <f ca="1">+WORLDCUP!BD64</f>
        <v>Bélgica</v>
      </c>
      <c r="E60" s="9" t="str">
        <f ca="1">+WORLDCUP!BD59</f>
        <v>Bosnia y Herzegovina</v>
      </c>
      <c r="F60" s="9" t="str">
        <f ca="1">+WORLDCUP!BD61</f>
        <v>Paraguay</v>
      </c>
      <c r="G60" s="9" t="str">
        <f ca="1">+WORLDCUP!BD67</f>
        <v>Jordania</v>
      </c>
      <c r="H60" s="9" t="str">
        <f ca="1">+WORLDCUP!BD63</f>
        <v>Japón</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España</v>
      </c>
      <c r="D61" s="9" t="str">
        <f ca="1">+WORLDCUP!BD64</f>
        <v>Bélgica</v>
      </c>
      <c r="E61" s="9" t="str">
        <f ca="1">+WORLDCUP!BD59</f>
        <v>Bosnia y Herzegovina</v>
      </c>
      <c r="F61" s="9" t="str">
        <f ca="1">+WORLDCUP!BD61</f>
        <v>Paraguay</v>
      </c>
      <c r="G61" s="9" t="str">
        <f ca="1">+WORLDCUP!BD67</f>
        <v>Jordania</v>
      </c>
      <c r="H61" s="9" t="str">
        <f ca="1">+WORLDCUP!BD63</f>
        <v>Japón</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Jordania</v>
      </c>
      <c r="E62" s="9" t="str">
        <f ca="1">+WORLDCUP!BD59</f>
        <v>Bosnia y Herzegovina</v>
      </c>
      <c r="F62" s="9" t="str">
        <f ca="1">+WORLDCUP!BD61</f>
        <v>Paraguay</v>
      </c>
      <c r="G62" s="9" t="str">
        <f ca="1">+WORLDCUP!BD66</f>
        <v>Senegal</v>
      </c>
      <c r="H62" s="9" t="str">
        <f ca="1">+WORLDCUP!BD65</f>
        <v>España</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Jordania</v>
      </c>
      <c r="E63" s="9" t="str">
        <f ca="1">+WORLDCUP!BD59</f>
        <v>Bosnia y Herzegovina</v>
      </c>
      <c r="F63" s="9" t="str">
        <f ca="1">+WORLDCUP!BD61</f>
        <v>Paraguay</v>
      </c>
      <c r="G63" s="9" t="str">
        <f ca="1">+WORLDCUP!BD66</f>
        <v>Senegal</v>
      </c>
      <c r="H63" s="9" t="str">
        <f ca="1">+WORLDCUP!BD64</f>
        <v>Bélgica</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Jordania</v>
      </c>
      <c r="E64" s="9" t="str">
        <f ca="1">+WORLDCUP!BD59</f>
        <v>Bosnia y Herzegovina</v>
      </c>
      <c r="F64" s="9" t="str">
        <f ca="1">+WORLDCUP!BD61</f>
        <v>Paraguay</v>
      </c>
      <c r="G64" s="9" t="str">
        <f ca="1">+WORLDCUP!BD65</f>
        <v>España</v>
      </c>
      <c r="H64" s="9" t="str">
        <f ca="1">+WORLDCUP!BD64</f>
        <v>Bélgica</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Bélgica</v>
      </c>
      <c r="E65" s="9" t="str">
        <f ca="1">+WORLDCUP!BD59</f>
        <v>Bosnia y Herzegovina</v>
      </c>
      <c r="F65" s="9" t="str">
        <f ca="1">+WORLDCUP!BD61</f>
        <v>Paraguay</v>
      </c>
      <c r="G65" s="9" t="str">
        <f ca="1">+WORLDCUP!BD66</f>
        <v>Senegal</v>
      </c>
      <c r="H65" s="9" t="str">
        <f ca="1">+WORLDCUP!BD65</f>
        <v>España</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Jordania</v>
      </c>
      <c r="E66" s="9" t="str">
        <f ca="1">+WORLDCUP!BD59</f>
        <v>Bosnia y Herzegovina</v>
      </c>
      <c r="F66" s="9" t="str">
        <f ca="1">+WORLDCUP!BD61</f>
        <v>Paraguay</v>
      </c>
      <c r="G66" s="9" t="str">
        <f ca="1">+WORLDCUP!BD65</f>
        <v>España</v>
      </c>
      <c r="H66" s="9" t="str">
        <f ca="1">+WORLDCUP!BD64</f>
        <v>Bélgica</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Jordania</v>
      </c>
      <c r="E67" s="9" t="str">
        <f ca="1">+WORLDCUP!BD59</f>
        <v>Bosnia y Herzegovina</v>
      </c>
      <c r="F67" s="9" t="str">
        <f ca="1">+WORLDCUP!BD61</f>
        <v>Paraguay</v>
      </c>
      <c r="G67" s="9" t="str">
        <f ca="1">+WORLDCUP!BD65</f>
        <v>España</v>
      </c>
      <c r="H67" s="9" t="str">
        <f ca="1">+WORLDCUP!BD64</f>
        <v>Bélgica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Ecuador</v>
      </c>
      <c r="D68" s="9" t="str">
        <f ca="1">+WORLDCUP!BD67</f>
        <v>Jordania</v>
      </c>
      <c r="E68" s="9" t="str">
        <f ca="1">+WORLDCUP!BD59</f>
        <v>Bosnia y Herzegovina</v>
      </c>
      <c r="F68" s="9" t="str">
        <f ca="1">+WORLDCUP!BD61</f>
        <v>Paraguay</v>
      </c>
      <c r="G68" s="9" t="str">
        <f ca="1">+WORLDCUP!BD66</f>
        <v>Senegal</v>
      </c>
      <c r="H68" s="9" t="str">
        <f ca="1">+WORLDCUP!BD63</f>
        <v>Japón</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Jordania</v>
      </c>
      <c r="E69" s="9" t="str">
        <f ca="1">+WORLDCUP!BD59</f>
        <v>Bosnia y Herzegovina</v>
      </c>
      <c r="F69" s="9" t="str">
        <f ca="1">+WORLDCUP!BD61</f>
        <v>Paraguay</v>
      </c>
      <c r="G69" s="9" t="str">
        <f ca="1">+WORLDCUP!BD65</f>
        <v>España</v>
      </c>
      <c r="H69" s="9" t="str">
        <f ca="1">+WORLDCUP!BD63</f>
        <v>Japón</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España</v>
      </c>
      <c r="H70" s="9" t="str">
        <f ca="1">+WORLDCUP!BD63</f>
        <v>Japón</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Jordania</v>
      </c>
      <c r="E71" s="9" t="str">
        <f ca="1">+WORLDCUP!BD59</f>
        <v>Bosnia y Herzegovina</v>
      </c>
      <c r="F71" s="9" t="str">
        <f ca="1">+WORLDCUP!BD61</f>
        <v>Paraguay</v>
      </c>
      <c r="G71" s="9" t="str">
        <f ca="1">+WORLDCUP!BD65</f>
        <v>España</v>
      </c>
      <c r="H71" s="9" t="str">
        <f ca="1">+WORLDCUP!BD63</f>
        <v>Japón</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Jordania</v>
      </c>
      <c r="E72" s="9" t="str">
        <f ca="1">+WORLDCUP!BD59</f>
        <v>Bosnia y Herzegovina</v>
      </c>
      <c r="F72" s="9" t="str">
        <f ca="1">+WORLDCUP!BD61</f>
        <v>Paraguay</v>
      </c>
      <c r="G72" s="9" t="str">
        <f ca="1">+WORLDCUP!BD65</f>
        <v>España</v>
      </c>
      <c r="H72" s="9" t="str">
        <f ca="1">+WORLDCUP!BD63</f>
        <v>Japón</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Bélgica</v>
      </c>
      <c r="E73" s="9" t="str">
        <f ca="1">+WORLDCUP!BD59</f>
        <v>Bosnia y Herzegovina</v>
      </c>
      <c r="F73" s="9" t="str">
        <f ca="1">+WORLDCUP!BD61</f>
        <v>Paraguay</v>
      </c>
      <c r="G73" s="9" t="str">
        <f ca="1">+WORLDCUP!BD67</f>
        <v>Jordania</v>
      </c>
      <c r="H73" s="9" t="str">
        <f ca="1">+WORLDCUP!BD63</f>
        <v>Japón</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Bélgica</v>
      </c>
      <c r="E74" s="9" t="str">
        <f ca="1">+WORLDCUP!BD59</f>
        <v>Bosnia y Herzegovina</v>
      </c>
      <c r="F74" s="9" t="str">
        <f ca="1">+WORLDCUP!BD61</f>
        <v>Paraguay</v>
      </c>
      <c r="G74" s="9" t="str">
        <f ca="1">+WORLDCUP!BD66</f>
        <v>Senegal</v>
      </c>
      <c r="H74" s="9" t="str">
        <f ca="1">+WORLDCUP!BD63</f>
        <v>Japón</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Bélgica</v>
      </c>
      <c r="E75" s="9" t="str">
        <f ca="1">+WORLDCUP!BD59</f>
        <v>Bosnia y Herzegovina</v>
      </c>
      <c r="F75" s="9" t="str">
        <f ca="1">+WORLDCUP!BD61</f>
        <v>Paraguay</v>
      </c>
      <c r="G75" s="9" t="str">
        <f ca="1">+WORLDCUP!BD67</f>
        <v>Jordania</v>
      </c>
      <c r="H75" s="9" t="str">
        <f ca="1">+WORLDCUP!BD63</f>
        <v>Japón</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Bélgica</v>
      </c>
      <c r="E76" s="9" t="str">
        <f ca="1">+WORLDCUP!BD59</f>
        <v>Bosnia y Herzegovina</v>
      </c>
      <c r="F76" s="9" t="str">
        <f ca="1">+WORLDCUP!BD61</f>
        <v>Paraguay</v>
      </c>
      <c r="G76" s="9" t="str">
        <f ca="1">+WORLDCUP!BD67</f>
        <v>Jordania</v>
      </c>
      <c r="H76" s="9" t="str">
        <f ca="1">+WORLDCUP!BD63</f>
        <v>Japón</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Bélgica</v>
      </c>
      <c r="E77" s="9" t="str">
        <f ca="1">+WORLDCUP!BD59</f>
        <v>Bosnia y Herzegovina</v>
      </c>
      <c r="F77" s="9" t="str">
        <f ca="1">+WORLDCUP!BD61</f>
        <v>Paraguay</v>
      </c>
      <c r="G77" s="9" t="str">
        <f ca="1">+WORLDCUP!BD65</f>
        <v>España</v>
      </c>
      <c r="H77" s="9" t="str">
        <f ca="1">+WORLDCUP!BD63</f>
        <v>Japón</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España</v>
      </c>
      <c r="D78" s="9" t="str">
        <f ca="1">+WORLDCUP!BD64</f>
        <v>Bélgica</v>
      </c>
      <c r="E78" s="9" t="str">
        <f ca="1">+WORLDCUP!BD59</f>
        <v>Bosnia y Herzegovina</v>
      </c>
      <c r="F78" s="9" t="str">
        <f ca="1">+WORLDCUP!BD61</f>
        <v>Paraguay</v>
      </c>
      <c r="G78" s="9" t="str">
        <f ca="1">+WORLDCUP!BD67</f>
        <v>Jordania</v>
      </c>
      <c r="H78" s="9" t="str">
        <f ca="1">+WORLDCUP!BD63</f>
        <v>Japón</v>
      </c>
      <c r="I78" s="9" t="str">
        <f ca="1">+WORLDCUP!BD69</f>
        <v>Panamá</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España</v>
      </c>
      <c r="D79" s="9" t="str">
        <f ca="1">+WORLDCUP!BD64</f>
        <v>Bélgica</v>
      </c>
      <c r="E79" s="9" t="str">
        <f ca="1">+WORLDCUP!BD59</f>
        <v>Bosnia y Herzegovina</v>
      </c>
      <c r="F79" s="9" t="str">
        <f ca="1">+WORLDCUP!BD61</f>
        <v>Paraguay</v>
      </c>
      <c r="G79" s="9" t="str">
        <f ca="1">+WORLDCUP!BD67</f>
        <v>Jordania</v>
      </c>
      <c r="H79" s="9" t="str">
        <f ca="1">+WORLDCUP!BD63</f>
        <v>Japón</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Bélgica</v>
      </c>
      <c r="E80" s="9" t="str">
        <f ca="1">+WORLDCUP!BD59</f>
        <v>Bosnia y Herzegovina</v>
      </c>
      <c r="F80" s="9" t="str">
        <f ca="1">+WORLDCUP!BD61</f>
        <v>Paraguay</v>
      </c>
      <c r="G80" s="9" t="str">
        <f ca="1">+WORLDCUP!BD65</f>
        <v>España</v>
      </c>
      <c r="H80" s="9" t="str">
        <f ca="1">+WORLDCUP!BD63</f>
        <v>Japón</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Bélgica</v>
      </c>
      <c r="E81" s="9" t="str">
        <f ca="1">+WORLDCUP!BD59</f>
        <v>Bosnia y Herzegovina</v>
      </c>
      <c r="F81" s="9" t="str">
        <f ca="1">+WORLDCUP!BD61</f>
        <v>Paraguay</v>
      </c>
      <c r="G81" s="9" t="str">
        <f ca="1">+WORLDCUP!BD65</f>
        <v>España</v>
      </c>
      <c r="H81" s="9" t="str">
        <f ca="1">+WORLDCUP!BD63</f>
        <v>Japón</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España</v>
      </c>
      <c r="D82" s="9" t="str">
        <f ca="1">+WORLDCUP!BD64</f>
        <v>Bélgica</v>
      </c>
      <c r="E82" s="9" t="str">
        <f ca="1">+WORLDCUP!BD59</f>
        <v>Bosnia y Herzegovina</v>
      </c>
      <c r="F82" s="9" t="str">
        <f ca="1">+WORLDCUP!BD61</f>
        <v>Paraguay</v>
      </c>
      <c r="G82" s="9" t="str">
        <f ca="1">+WORLDCUP!BD67</f>
        <v>Jordania</v>
      </c>
      <c r="H82" s="9" t="str">
        <f ca="1">+WORLDCUP!BD63</f>
        <v>Japón</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España</v>
      </c>
      <c r="D83" s="9" t="str">
        <f ca="1">+WORLDCUP!BD67</f>
        <v>Jordania</v>
      </c>
      <c r="E83" s="9" t="str">
        <f ca="1">+WORLDCUP!BD59</f>
        <v>Bosnia y Herzegovina</v>
      </c>
      <c r="F83" s="9" t="str">
        <f ca="1">+WORLDCUP!BD60</f>
        <v>Escocia</v>
      </c>
      <c r="G83" s="9" t="str">
        <f ca="1">+WORLDCUP!BD66</f>
        <v>Senegal</v>
      </c>
      <c r="H83" s="9" t="str">
        <f ca="1">+WORLDCUP!BD64</f>
        <v>Bélgica</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España</v>
      </c>
      <c r="D84" s="9" t="str">
        <f ca="1">+WORLDCUP!BD67</f>
        <v>Jordania</v>
      </c>
      <c r="E84" s="9" t="str">
        <f ca="1">+WORLDCUP!BD59</f>
        <v>Bosnia y Herzegovina</v>
      </c>
      <c r="F84" s="9" t="str">
        <f ca="1">+WORLDCUP!BD60</f>
        <v>Escocia</v>
      </c>
      <c r="G84" s="9" t="str">
        <f ca="1">+WORLDCUP!BD66</f>
        <v>Senegal</v>
      </c>
      <c r="H84" s="9" t="str">
        <f ca="1">+WORLDCUP!BD63</f>
        <v>Japón</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Bélgica</v>
      </c>
      <c r="E85" s="9" t="str">
        <f ca="1">+WORLDCUP!BD59</f>
        <v>Bosnia y Herzegovina</v>
      </c>
      <c r="F85" s="9" t="str">
        <f ca="1">+WORLDCUP!BD60</f>
        <v>Escocia</v>
      </c>
      <c r="G85" s="9" t="str">
        <f ca="1">+WORLDCUP!BD67</f>
        <v>Jordania</v>
      </c>
      <c r="H85" s="9" t="str">
        <f ca="1">+WORLDCUP!BD63</f>
        <v>Japón</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España</v>
      </c>
      <c r="D86" s="9" t="str">
        <f ca="1">+WORLDCUP!BD64</f>
        <v>Bélgica</v>
      </c>
      <c r="E86" s="9" t="str">
        <f ca="1">+WORLDCUP!BD59</f>
        <v>Bosnia y Herzegovina</v>
      </c>
      <c r="F86" s="9" t="str">
        <f ca="1">+WORLDCUP!BD60</f>
        <v>Escocia</v>
      </c>
      <c r="G86" s="9" t="str">
        <f ca="1">+WORLDCUP!BD67</f>
        <v>Jordania</v>
      </c>
      <c r="H86" s="9" t="str">
        <f ca="1">+WORLDCUP!BD63</f>
        <v>Japón</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España</v>
      </c>
      <c r="D87" s="9" t="str">
        <f ca="1">+WORLDCUP!BD64</f>
        <v>Bélgica</v>
      </c>
      <c r="E87" s="9" t="str">
        <f ca="1">+WORLDCUP!BD59</f>
        <v>Bosnia y Herzegovina</v>
      </c>
      <c r="F87" s="9" t="str">
        <f ca="1">+WORLDCUP!BD60</f>
        <v>Escocia</v>
      </c>
      <c r="G87" s="9" t="str">
        <f ca="1">+WORLDCUP!BD66</f>
        <v>Senegal</v>
      </c>
      <c r="H87" s="9" t="str">
        <f ca="1">+WORLDCUP!BD63</f>
        <v>Japón</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España</v>
      </c>
      <c r="D88" s="9" t="str">
        <f ca="1">+WORLDCUP!BD64</f>
        <v>Bélgica</v>
      </c>
      <c r="E88" s="9" t="str">
        <f ca="1">+WORLDCUP!BD59</f>
        <v>Bosnia y Herzegovina</v>
      </c>
      <c r="F88" s="9" t="str">
        <f ca="1">+WORLDCUP!BD60</f>
        <v>Escocia</v>
      </c>
      <c r="G88" s="9" t="str">
        <f ca="1">+WORLDCUP!BD67</f>
        <v>Jordania</v>
      </c>
      <c r="H88" s="9" t="str">
        <f ca="1">+WORLDCUP!BD63</f>
        <v>Japón</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España</v>
      </c>
      <c r="D89" s="9" t="str">
        <f ca="1">+WORLDCUP!BD64</f>
        <v>Bélgica</v>
      </c>
      <c r="E89" s="9" t="str">
        <f ca="1">+WORLDCUP!BD59</f>
        <v>Bosnia y Herzegovina</v>
      </c>
      <c r="F89" s="9" t="str">
        <f ca="1">+WORLDCUP!BD60</f>
        <v>Escocia</v>
      </c>
      <c r="G89" s="9" t="str">
        <f ca="1">+WORLDCUP!BD67</f>
        <v>Jordania</v>
      </c>
      <c r="H89" s="9" t="str">
        <f ca="1">+WORLDCUP!BD63</f>
        <v>Japón</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Jordania</v>
      </c>
      <c r="E90" s="9" t="str">
        <f ca="1">+WORLDCUP!BD59</f>
        <v>Bosnia y Herzegovina</v>
      </c>
      <c r="F90" s="9" t="str">
        <f ca="1">+WORLDCUP!BD60</f>
        <v>Escocia</v>
      </c>
      <c r="G90" s="9" t="str">
        <f ca="1">+WORLDCUP!BD66</f>
        <v>Senegal</v>
      </c>
      <c r="H90" s="9" t="str">
        <f ca="1">+WORLDCUP!BD65</f>
        <v>España</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Jordania</v>
      </c>
      <c r="E91" s="9" t="str">
        <f ca="1">+WORLDCUP!BD59</f>
        <v>Bosnia y Herzegovina</v>
      </c>
      <c r="F91" s="9" t="str">
        <f ca="1">+WORLDCUP!BD60</f>
        <v>Escocia</v>
      </c>
      <c r="G91" s="9" t="str">
        <f ca="1">+WORLDCUP!BD66</f>
        <v>Senegal</v>
      </c>
      <c r="H91" s="9" t="str">
        <f ca="1">+WORLDCUP!BD64</f>
        <v>Bélgica</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Jordania</v>
      </c>
      <c r="E92" s="9" t="str">
        <f ca="1">+WORLDCUP!BD59</f>
        <v>Bosnia y Herzegovina</v>
      </c>
      <c r="F92" s="9" t="str">
        <f ca="1">+WORLDCUP!BD60</f>
        <v>Escocia</v>
      </c>
      <c r="G92" s="9" t="str">
        <f ca="1">+WORLDCUP!BD65</f>
        <v>España</v>
      </c>
      <c r="H92" s="9" t="str">
        <f ca="1">+WORLDCUP!BD64</f>
        <v>Bélgica</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Bélgica</v>
      </c>
      <c r="E93" s="9" t="str">
        <f ca="1">+WORLDCUP!BD59</f>
        <v>Bosnia y Herzegovina</v>
      </c>
      <c r="F93" s="9" t="str">
        <f ca="1">+WORLDCUP!BD60</f>
        <v>Escocia</v>
      </c>
      <c r="G93" s="9" t="str">
        <f ca="1">+WORLDCUP!BD66</f>
        <v>Senegal</v>
      </c>
      <c r="H93" s="9" t="str">
        <f ca="1">+WORLDCUP!BD65</f>
        <v>España</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Jordania</v>
      </c>
      <c r="E94" s="9" t="str">
        <f ca="1">+WORLDCUP!BD59</f>
        <v>Bosnia y Herzegovina</v>
      </c>
      <c r="F94" s="9" t="str">
        <f ca="1">+WORLDCUP!BD60</f>
        <v>Escocia</v>
      </c>
      <c r="G94" s="9" t="str">
        <f ca="1">+WORLDCUP!BD65</f>
        <v>España</v>
      </c>
      <c r="H94" s="9" t="str">
        <f ca="1">+WORLDCUP!BD64</f>
        <v>Bélgica</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Jordania</v>
      </c>
      <c r="E95" s="9" t="str">
        <f ca="1">+WORLDCUP!BD59</f>
        <v>Bosnia y Herzegovina</v>
      </c>
      <c r="F95" s="9" t="str">
        <f ca="1">+WORLDCUP!BD60</f>
        <v>Escocia</v>
      </c>
      <c r="G95" s="9" t="str">
        <f ca="1">+WORLDCUP!BD65</f>
        <v>España</v>
      </c>
      <c r="H95" s="9" t="str">
        <f ca="1">+WORLDCUP!BD64</f>
        <v>Bélgica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Jordania</v>
      </c>
      <c r="E96" s="9" t="str">
        <f ca="1">+WORLDCUP!BD59</f>
        <v>Bosnia y Herzegovina</v>
      </c>
      <c r="F96" s="9" t="str">
        <f ca="1">+WORLDCUP!BD60</f>
        <v>Escocia</v>
      </c>
      <c r="G96" s="9" t="str">
        <f ca="1">+WORLDCUP!BD66</f>
        <v>Senegal</v>
      </c>
      <c r="H96" s="9" t="str">
        <f ca="1">+WORLDCUP!BD63</f>
        <v>Japón</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Jordania</v>
      </c>
      <c r="E97" s="9" t="str">
        <f ca="1">+WORLDCUP!BD59</f>
        <v>Bosnia y Herzegovina</v>
      </c>
      <c r="F97" s="9" t="str">
        <f ca="1">+WORLDCUP!BD60</f>
        <v>Escocia</v>
      </c>
      <c r="G97" s="9" t="str">
        <f ca="1">+WORLDCUP!BD65</f>
        <v>España</v>
      </c>
      <c r="H97" s="9" t="str">
        <f ca="1">+WORLDCUP!BD63</f>
        <v>Japón</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España</v>
      </c>
      <c r="H98" s="9" t="str">
        <f ca="1">+WORLDCUP!BD63</f>
        <v>Japón</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Jordania</v>
      </c>
      <c r="E99" s="9" t="str">
        <f ca="1">+WORLDCUP!BD59</f>
        <v>Bosnia y Herzegovina</v>
      </c>
      <c r="F99" s="9" t="str">
        <f ca="1">+WORLDCUP!BD60</f>
        <v>Escocia</v>
      </c>
      <c r="G99" s="9" t="str">
        <f ca="1">+WORLDCUP!BD65</f>
        <v>España</v>
      </c>
      <c r="H99" s="9" t="str">
        <f ca="1">+WORLDCUP!BD63</f>
        <v>Japón</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Jordania</v>
      </c>
      <c r="E100" s="9" t="str">
        <f ca="1">+WORLDCUP!BD59</f>
        <v>Bosnia y Herzegovina</v>
      </c>
      <c r="F100" s="9" t="str">
        <f ca="1">+WORLDCUP!BD60</f>
        <v>Escocia</v>
      </c>
      <c r="G100" s="9" t="str">
        <f ca="1">+WORLDCUP!BD65</f>
        <v>España</v>
      </c>
      <c r="H100" s="9" t="str">
        <f ca="1">+WORLDCUP!BD63</f>
        <v>Japón</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Bélgica</v>
      </c>
      <c r="E101" s="9" t="str">
        <f ca="1">+WORLDCUP!BD59</f>
        <v>Bosnia y Herzegovina</v>
      </c>
      <c r="F101" s="9" t="str">
        <f ca="1">+WORLDCUP!BD60</f>
        <v>Escocia</v>
      </c>
      <c r="G101" s="9" t="str">
        <f ca="1">+WORLDCUP!BD67</f>
        <v>Jordania</v>
      </c>
      <c r="H101" s="9" t="str">
        <f ca="1">+WORLDCUP!BD63</f>
        <v>Japón</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Bélgica</v>
      </c>
      <c r="E102" s="9" t="str">
        <f ca="1">+WORLDCUP!BD59</f>
        <v>Bosnia y Herzegovina</v>
      </c>
      <c r="F102" s="9" t="str">
        <f ca="1">+WORLDCUP!BD60</f>
        <v>Escocia</v>
      </c>
      <c r="G102" s="9" t="str">
        <f ca="1">+WORLDCUP!BD66</f>
        <v>Senegal</v>
      </c>
      <c r="H102" s="9" t="str">
        <f ca="1">+WORLDCUP!BD63</f>
        <v>Japón</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Bélgica</v>
      </c>
      <c r="E103" s="9" t="str">
        <f ca="1">+WORLDCUP!BD59</f>
        <v>Bosnia y Herzegovina</v>
      </c>
      <c r="F103" s="9" t="str">
        <f ca="1">+WORLDCUP!BD60</f>
        <v>Escocia</v>
      </c>
      <c r="G103" s="9" t="str">
        <f ca="1">+WORLDCUP!BD67</f>
        <v>Jordania</v>
      </c>
      <c r="H103" s="9" t="str">
        <f ca="1">+WORLDCUP!BD63</f>
        <v>Japón</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Bélgica</v>
      </c>
      <c r="E104" s="9" t="str">
        <f ca="1">+WORLDCUP!BD59</f>
        <v>Bosnia y Herzegovina</v>
      </c>
      <c r="F104" s="9" t="str">
        <f ca="1">+WORLDCUP!BD60</f>
        <v>Escocia</v>
      </c>
      <c r="G104" s="9" t="str">
        <f ca="1">+WORLDCUP!BD67</f>
        <v>Jordania</v>
      </c>
      <c r="H104" s="9" t="str">
        <f ca="1">+WORLDCUP!BD63</f>
        <v>Japón</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Bélgica</v>
      </c>
      <c r="E105" s="9" t="str">
        <f ca="1">+WORLDCUP!BD59</f>
        <v>Bosnia y Herzegovina</v>
      </c>
      <c r="F105" s="9" t="str">
        <f ca="1">+WORLDCUP!BD60</f>
        <v>Escocia</v>
      </c>
      <c r="G105" s="9" t="str">
        <f ca="1">+WORLDCUP!BD65</f>
        <v>España</v>
      </c>
      <c r="H105" s="9" t="str">
        <f ca="1">+WORLDCUP!BD63</f>
        <v>Japón</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España</v>
      </c>
      <c r="D106" s="9" t="str">
        <f ca="1">+WORLDCUP!BD64</f>
        <v>Bélgica</v>
      </c>
      <c r="E106" s="9" t="str">
        <f ca="1">+WORLDCUP!BD59</f>
        <v>Bosnia y Herzegovina</v>
      </c>
      <c r="F106" s="9" t="str">
        <f ca="1">+WORLDCUP!BD60</f>
        <v>Escocia</v>
      </c>
      <c r="G106" s="9" t="str">
        <f ca="1">+WORLDCUP!BD67</f>
        <v>Jordania</v>
      </c>
      <c r="H106" s="9" t="str">
        <f ca="1">+WORLDCUP!BD63</f>
        <v>Japón</v>
      </c>
      <c r="I106" s="9" t="str">
        <f ca="1">+WORLDCUP!BD69</f>
        <v>Panamá</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España</v>
      </c>
      <c r="D107" s="9" t="str">
        <f ca="1">+WORLDCUP!BD64</f>
        <v>Bélgica</v>
      </c>
      <c r="E107" s="9" t="str">
        <f ca="1">+WORLDCUP!BD59</f>
        <v>Bosnia y Herzegovina</v>
      </c>
      <c r="F107" s="9" t="str">
        <f ca="1">+WORLDCUP!BD60</f>
        <v>Escocia</v>
      </c>
      <c r="G107" s="9" t="str">
        <f ca="1">+WORLDCUP!BD67</f>
        <v>Jordania</v>
      </c>
      <c r="H107" s="9" t="str">
        <f ca="1">+WORLDCUP!BD63</f>
        <v>Japón</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Bélgica</v>
      </c>
      <c r="E108" s="9" t="str">
        <f ca="1">+WORLDCUP!BD59</f>
        <v>Bosnia y Herzegovina</v>
      </c>
      <c r="F108" s="9" t="str">
        <f ca="1">+WORLDCUP!BD60</f>
        <v>Escocia</v>
      </c>
      <c r="G108" s="9" t="str">
        <f ca="1">+WORLDCUP!BD65</f>
        <v>España</v>
      </c>
      <c r="H108" s="9" t="str">
        <f ca="1">+WORLDCUP!BD63</f>
        <v>Japón</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Bélgica</v>
      </c>
      <c r="E109" s="9" t="str">
        <f ca="1">+WORLDCUP!BD59</f>
        <v>Bosnia y Herzegovina</v>
      </c>
      <c r="F109" s="9" t="str">
        <f ca="1">+WORLDCUP!BD60</f>
        <v>Escocia</v>
      </c>
      <c r="G109" s="9" t="str">
        <f ca="1">+WORLDCUP!BD65</f>
        <v>España</v>
      </c>
      <c r="H109" s="9" t="str">
        <f ca="1">+WORLDCUP!BD63</f>
        <v>Japón</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España</v>
      </c>
      <c r="D110" s="9" t="str">
        <f ca="1">+WORLDCUP!BD64</f>
        <v>Bélgica</v>
      </c>
      <c r="E110" s="9" t="str">
        <f ca="1">+WORLDCUP!BD59</f>
        <v>Bosnia y Herzegovina</v>
      </c>
      <c r="F110" s="9" t="str">
        <f ca="1">+WORLDCUP!BD60</f>
        <v>Escocia</v>
      </c>
      <c r="G110" s="9" t="str">
        <f ca="1">+WORLDCUP!BD67</f>
        <v>Jordania</v>
      </c>
      <c r="H110" s="9" t="str">
        <f ca="1">+WORLDCUP!BD63</f>
        <v>Japón</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España</v>
      </c>
      <c r="D111" s="9" t="str">
        <f ca="1">+WORLDCUP!BD67</f>
        <v>Jordania</v>
      </c>
      <c r="E111" s="9" t="str">
        <f ca="1">+WORLDCUP!BD59</f>
        <v>Bosnia y Herzegovina</v>
      </c>
      <c r="F111" s="9" t="str">
        <f ca="1">+WORLDCUP!BD60</f>
        <v>Escocia</v>
      </c>
      <c r="G111" s="9" t="str">
        <f ca="1">+WORLDCUP!BD66</f>
        <v>Senegal</v>
      </c>
      <c r="H111" s="9" t="str">
        <f ca="1">+WORLDCUP!BD61</f>
        <v>Paraguay</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Bélgica</v>
      </c>
      <c r="E112" s="9" t="str">
        <f ca="1">+WORLDCUP!BD59</f>
        <v>Bosnia y Herzegovina</v>
      </c>
      <c r="F112" s="9" t="str">
        <f ca="1">+WORLDCUP!BD60</f>
        <v>Escocia</v>
      </c>
      <c r="G112" s="9" t="str">
        <f ca="1">+WORLDCUP!BD67</f>
        <v>Jordania</v>
      </c>
      <c r="H112" s="9" t="str">
        <f ca="1">+WORLDCUP!BD61</f>
        <v>Paraguay</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España</v>
      </c>
      <c r="D113" s="9" t="str">
        <f ca="1">+WORLDCUP!BD64</f>
        <v>Bélgica</v>
      </c>
      <c r="E113" s="9" t="str">
        <f ca="1">+WORLDCUP!BD59</f>
        <v>Bosnia y Herzegovina</v>
      </c>
      <c r="F113" s="9" t="str">
        <f ca="1">+WORLDCUP!BD60</f>
        <v>Escocia</v>
      </c>
      <c r="G113" s="9" t="str">
        <f ca="1">+WORLDCUP!BD67</f>
        <v>Jordania</v>
      </c>
      <c r="H113" s="9" t="str">
        <f ca="1">+WORLDCUP!BD61</f>
        <v>Paraguay</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España</v>
      </c>
      <c r="D114" s="9" t="str">
        <f ca="1">+WORLDCUP!BD64</f>
        <v>Bélgica</v>
      </c>
      <c r="E114" s="9" t="str">
        <f ca="1">+WORLDCUP!BD59</f>
        <v>Bosnia y Herzegovina</v>
      </c>
      <c r="F114" s="9" t="str">
        <f ca="1">+WORLDCUP!BD60</f>
        <v>Escocia</v>
      </c>
      <c r="G114" s="9" t="str">
        <f ca="1">+WORLDCUP!BD66</f>
        <v>Senegal</v>
      </c>
      <c r="H114" s="9" t="str">
        <f ca="1">+WORLDCUP!BD61</f>
        <v>Paraguay</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España</v>
      </c>
      <c r="D115" s="9" t="str">
        <f ca="1">+WORLDCUP!BD64</f>
        <v>Bélgica</v>
      </c>
      <c r="E115" s="9" t="str">
        <f ca="1">+WORLDCUP!BD59</f>
        <v>Bosnia y Herzegovina</v>
      </c>
      <c r="F115" s="9" t="str">
        <f ca="1">+WORLDCUP!BD60</f>
        <v>Escocia</v>
      </c>
      <c r="G115" s="9" t="str">
        <f ca="1">+WORLDCUP!BD67</f>
        <v>Jordania</v>
      </c>
      <c r="H115" s="9" t="str">
        <f ca="1">+WORLDCUP!BD61</f>
        <v>Paraguay</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España</v>
      </c>
      <c r="D116" s="9" t="str">
        <f ca="1">+WORLDCUP!BD64</f>
        <v>Bélgica</v>
      </c>
      <c r="E116" s="9" t="str">
        <f ca="1">+WORLDCUP!BD59</f>
        <v>Bosnia y Herzegovina</v>
      </c>
      <c r="F116" s="9" t="str">
        <f ca="1">+WORLDCUP!BD60</f>
        <v>Escocia</v>
      </c>
      <c r="G116" s="9" t="str">
        <f ca="1">+WORLDCUP!BD67</f>
        <v>Jordania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Paraguay</v>
      </c>
      <c r="G117" s="9" t="str">
        <f ca="1">+WORLDCUP!BD66</f>
        <v>Senegal</v>
      </c>
      <c r="H117" s="9" t="str">
        <f ca="1">+WORLDCUP!BD63</f>
        <v>Japón</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Paraguay</v>
      </c>
      <c r="G118" s="9" t="str">
        <f ca="1">+WORLDCUP!BD65</f>
        <v>España</v>
      </c>
      <c r="H118" s="9" t="str">
        <f ca="1">+WORLDCUP!BD63</f>
        <v>Japón</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España</v>
      </c>
      <c r="H119" s="9" t="str">
        <f ca="1">+WORLDCUP!BD63</f>
        <v>Japón</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Paraguay</v>
      </c>
      <c r="G120" s="9" t="str">
        <f ca="1">+WORLDCUP!BD65</f>
        <v>España</v>
      </c>
      <c r="H120" s="9" t="str">
        <f ca="1">+WORLDCUP!BD63</f>
        <v>Japón</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Paraguay</v>
      </c>
      <c r="G121" s="9" t="str">
        <f ca="1">+WORLDCUP!BD65</f>
        <v>España</v>
      </c>
      <c r="H121" s="9" t="str">
        <f ca="1">+WORLDCUP!BD63</f>
        <v>Japón</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Bélgica</v>
      </c>
      <c r="E122" s="9" t="str">
        <f ca="1">+WORLDCUP!BD59</f>
        <v>Bosnia y Herzegovina</v>
      </c>
      <c r="F122" s="9" t="str">
        <f ca="1">+WORLDCUP!BD61</f>
        <v>Paraguay</v>
      </c>
      <c r="G122" s="9" t="str">
        <f ca="1">+WORLDCUP!BD67</f>
        <v>Jordania</v>
      </c>
      <c r="H122" s="9" t="str">
        <f ca="1">+WORLDCUP!BD63</f>
        <v>Japón</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Bélgica</v>
      </c>
      <c r="E123" s="9" t="str">
        <f ca="1">+WORLDCUP!BD59</f>
        <v>Bosnia y Herzegovina</v>
      </c>
      <c r="F123" s="9" t="str">
        <f ca="1">+WORLDCUP!BD61</f>
        <v>Paraguay</v>
      </c>
      <c r="G123" s="9" t="str">
        <f ca="1">+WORLDCUP!BD66</f>
        <v>Senegal</v>
      </c>
      <c r="H123" s="9" t="str">
        <f ca="1">+WORLDCUP!BD63</f>
        <v>Japón</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Bélgica</v>
      </c>
      <c r="E124" s="9" t="str">
        <f ca="1">+WORLDCUP!BD59</f>
        <v>Bosnia y Herzegovina</v>
      </c>
      <c r="F124" s="9" t="str">
        <f ca="1">+WORLDCUP!BD61</f>
        <v>Paraguay</v>
      </c>
      <c r="G124" s="9" t="str">
        <f ca="1">+WORLDCUP!BD67</f>
        <v>Jordania</v>
      </c>
      <c r="H124" s="9" t="str">
        <f ca="1">+WORLDCUP!BD63</f>
        <v>Japón</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Bélgica</v>
      </c>
      <c r="E125" s="9" t="str">
        <f ca="1">+WORLDCUP!BD59</f>
        <v>Bosnia y Herzegovina</v>
      </c>
      <c r="F125" s="9" t="str">
        <f ca="1">+WORLDCUP!BD61</f>
        <v>Paraguay</v>
      </c>
      <c r="G125" s="9" t="str">
        <f ca="1">+WORLDCUP!BD67</f>
        <v>Jordania</v>
      </c>
      <c r="H125" s="9" t="str">
        <f ca="1">+WORLDCUP!BD63</f>
        <v>Japón</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Bélgica</v>
      </c>
      <c r="E126" s="9" t="str">
        <f ca="1">+WORLDCUP!BD59</f>
        <v>Bosnia y Herzegovina</v>
      </c>
      <c r="F126" s="9" t="str">
        <f ca="1">+WORLDCUP!BD61</f>
        <v>Paraguay</v>
      </c>
      <c r="G126" s="9" t="str">
        <f ca="1">+WORLDCUP!BD65</f>
        <v>España</v>
      </c>
      <c r="H126" s="9" t="str">
        <f ca="1">+WORLDCUP!BD63</f>
        <v>Japón</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Bélgica</v>
      </c>
      <c r="E127" s="9" t="str">
        <f ca="1">+WORLDCUP!BD59</f>
        <v>Bosnia y Herzegovina</v>
      </c>
      <c r="F127" s="9" t="str">
        <f ca="1">+WORLDCUP!BD61</f>
        <v>Paraguay</v>
      </c>
      <c r="G127" s="9" t="str">
        <f ca="1">+WORLDCUP!BD65</f>
        <v>España</v>
      </c>
      <c r="H127" s="9" t="str">
        <f ca="1">+WORLDCUP!BD63</f>
        <v>Japón</v>
      </c>
      <c r="I127" s="9" t="str">
        <f ca="1">+WORLDCUP!BD69</f>
        <v>Panamá</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España</v>
      </c>
      <c r="D128" s="9" t="str">
        <f ca="1">+WORLDCUP!BD64</f>
        <v>Bélgica</v>
      </c>
      <c r="E128" s="9" t="str">
        <f ca="1">+WORLDCUP!BD59</f>
        <v>Bosnia y Herzegovina</v>
      </c>
      <c r="F128" s="9" t="str">
        <f ca="1">+WORLDCUP!BD60</f>
        <v>Escocia</v>
      </c>
      <c r="G128" s="9" t="str">
        <f ca="1">+WORLDCUP!BD67</f>
        <v>Jordania</v>
      </c>
      <c r="H128" s="9" t="str">
        <f ca="1">+WORLDCUP!BD63</f>
        <v>Japón</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Bélgica</v>
      </c>
      <c r="E129" s="9" t="str">
        <f ca="1">+WORLDCUP!BD59</f>
        <v>Bosnia y Herzegovina</v>
      </c>
      <c r="F129" s="9" t="str">
        <f ca="1">+WORLDCUP!BD61</f>
        <v>Paraguay</v>
      </c>
      <c r="G129" s="9" t="str">
        <f ca="1">+WORLDCUP!BD65</f>
        <v>España</v>
      </c>
      <c r="H129" s="9" t="str">
        <f ca="1">+WORLDCUP!BD63</f>
        <v>Japón</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Bélgica</v>
      </c>
      <c r="E130" s="9" t="str">
        <f ca="1">+WORLDCUP!BD59</f>
        <v>Bosnia y Herzegovina</v>
      </c>
      <c r="F130" s="9" t="str">
        <f ca="1">+WORLDCUP!BD61</f>
        <v>Paraguay</v>
      </c>
      <c r="G130" s="9" t="str">
        <f ca="1">+WORLDCUP!BD65</f>
        <v>España</v>
      </c>
      <c r="H130" s="9" t="str">
        <f ca="1">+WORLDCUP!BD63</f>
        <v>Japón</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España</v>
      </c>
      <c r="D131" s="9" t="str">
        <f ca="1">+WORLDCUP!BD64</f>
        <v>Bélgica</v>
      </c>
      <c r="E131" s="9" t="str">
        <f ca="1">+WORLDCUP!BD59</f>
        <v>Bosnia y Herzegovina</v>
      </c>
      <c r="F131" s="9" t="str">
        <f ca="1">+WORLDCUP!BD60</f>
        <v>Escocia</v>
      </c>
      <c r="G131" s="9" t="str">
        <f ca="1">+WORLDCUP!BD67</f>
        <v>Jordania</v>
      </c>
      <c r="H131" s="9" t="str">
        <f ca="1">+WORLDCUP!BD63</f>
        <v>Japón</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Jordania</v>
      </c>
      <c r="E132" s="9" t="str">
        <f ca="1">+WORLDCUP!BD59</f>
        <v>Bosnia y Herzegovina</v>
      </c>
      <c r="F132" s="9" t="str">
        <f ca="1">+WORLDCUP!BD60</f>
        <v>Escocia</v>
      </c>
      <c r="G132" s="9" t="str">
        <f ca="1">+WORLDCUP!BD66</f>
        <v>Senegal</v>
      </c>
      <c r="H132" s="9" t="str">
        <f ca="1">+WORLDCUP!BD61</f>
        <v>Paraguay</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Jordania</v>
      </c>
      <c r="E133" s="9" t="str">
        <f ca="1">+WORLDCUP!BD59</f>
        <v>Bosnia y Herzegovina</v>
      </c>
      <c r="F133" s="9" t="str">
        <f ca="1">+WORLDCUP!BD60</f>
        <v>Escocia</v>
      </c>
      <c r="G133" s="9" t="str">
        <f ca="1">+WORLDCUP!BD65</f>
        <v>España</v>
      </c>
      <c r="H133" s="9" t="str">
        <f ca="1">+WORLDCUP!BD61</f>
        <v>Paraguay</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España</v>
      </c>
      <c r="H134" s="9" t="str">
        <f ca="1">+WORLDCUP!BD61</f>
        <v>Paraguay</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Jordania</v>
      </c>
      <c r="E135" s="9" t="str">
        <f ca="1">+WORLDCUP!BD59</f>
        <v>Bosnia y Herzegovina</v>
      </c>
      <c r="F135" s="9" t="str">
        <f ca="1">+WORLDCUP!BD60</f>
        <v>Escocia</v>
      </c>
      <c r="G135" s="9" t="str">
        <f ca="1">+WORLDCUP!BD65</f>
        <v>España</v>
      </c>
      <c r="H135" s="9" t="str">
        <f ca="1">+WORLDCUP!BD61</f>
        <v>Paraguay</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Jordania</v>
      </c>
      <c r="E136" s="9" t="str">
        <f ca="1">+WORLDCUP!BD59</f>
        <v>Bosnia y Herzegovina</v>
      </c>
      <c r="F136" s="9" t="str">
        <f ca="1">+WORLDCUP!BD60</f>
        <v>Escocia</v>
      </c>
      <c r="G136" s="9" t="str">
        <f ca="1">+WORLDCUP!BD65</f>
        <v>España</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Bélgica</v>
      </c>
      <c r="E137" s="9" t="str">
        <f ca="1">+WORLDCUP!BD59</f>
        <v>Bosnia y Herzegovina</v>
      </c>
      <c r="F137" s="9" t="str">
        <f ca="1">+WORLDCUP!BD60</f>
        <v>Escocia</v>
      </c>
      <c r="G137" s="9" t="str">
        <f ca="1">+WORLDCUP!BD67</f>
        <v>Jordania</v>
      </c>
      <c r="H137" s="9" t="str">
        <f ca="1">+WORLDCUP!BD61</f>
        <v>Paraguay</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Bélgica</v>
      </c>
      <c r="E138" s="9" t="str">
        <f ca="1">+WORLDCUP!BD59</f>
        <v>Bosnia y Herzegovina</v>
      </c>
      <c r="F138" s="9" t="str">
        <f ca="1">+WORLDCUP!BD60</f>
        <v>Escocia</v>
      </c>
      <c r="G138" s="9" t="str">
        <f ca="1">+WORLDCUP!BD66</f>
        <v>Senegal</v>
      </c>
      <c r="H138" s="9" t="str">
        <f ca="1">+WORLDCUP!BD61</f>
        <v>Paraguay</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Bélgica</v>
      </c>
      <c r="E139" s="9" t="str">
        <f ca="1">+WORLDCUP!BD59</f>
        <v>Bosnia y Herzegovina</v>
      </c>
      <c r="F139" s="9" t="str">
        <f ca="1">+WORLDCUP!BD60</f>
        <v>Escocia</v>
      </c>
      <c r="G139" s="9" t="str">
        <f ca="1">+WORLDCUP!BD67</f>
        <v>Jordania</v>
      </c>
      <c r="H139" s="9" t="str">
        <f ca="1">+WORLDCUP!BD61</f>
        <v>Paraguay</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Bélgica</v>
      </c>
      <c r="E140" s="9" t="str">
        <f ca="1">+WORLDCUP!BD59</f>
        <v>Bosnia y Herzegovina</v>
      </c>
      <c r="F140" s="9" t="str">
        <f ca="1">+WORLDCUP!BD60</f>
        <v>Escocia</v>
      </c>
      <c r="G140" s="9" t="str">
        <f ca="1">+WORLDCUP!BD67</f>
        <v>Jordania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Bélgica</v>
      </c>
      <c r="E141" s="9" t="str">
        <f ca="1">+WORLDCUP!BD59</f>
        <v>Bosnia y Herzegovina</v>
      </c>
      <c r="F141" s="9" t="str">
        <f ca="1">+WORLDCUP!BD60</f>
        <v>Escocia</v>
      </c>
      <c r="G141" s="9" t="str">
        <f ca="1">+WORLDCUP!BD65</f>
        <v>España</v>
      </c>
      <c r="H141" s="9" t="str">
        <f ca="1">+WORLDCUP!BD61</f>
        <v>Paraguay</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España</v>
      </c>
      <c r="D142" s="9" t="str">
        <f ca="1">+WORLDCUP!BD64</f>
        <v>Bélgica</v>
      </c>
      <c r="E142" s="9" t="str">
        <f ca="1">+WORLDCUP!BD59</f>
        <v>Bosnia y Herzegovina</v>
      </c>
      <c r="F142" s="9" t="str">
        <f ca="1">+WORLDCUP!BD60</f>
        <v>Escocia</v>
      </c>
      <c r="G142" s="9" t="str">
        <f ca="1">+WORLDCUP!BD67</f>
        <v>Jordania</v>
      </c>
      <c r="H142" s="9" t="str">
        <f ca="1">+WORLDCUP!BD61</f>
        <v>Paraguay</v>
      </c>
      <c r="I142" s="9" t="str">
        <f ca="1">+WORLDCUP!BD69</f>
        <v>Panamá</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España</v>
      </c>
      <c r="D143" s="9" t="str">
        <f ca="1">+WORLDCUP!BD64</f>
        <v>Bélgica</v>
      </c>
      <c r="E143" s="9" t="str">
        <f ca="1">+WORLDCUP!BD59</f>
        <v>Bosnia y Herzegovina</v>
      </c>
      <c r="F143" s="9" t="str">
        <f ca="1">+WORLDCUP!BD60</f>
        <v>Escocia</v>
      </c>
      <c r="G143" s="9" t="str">
        <f ca="1">+WORLDCUP!BD67</f>
        <v>Jordania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Bélgica</v>
      </c>
      <c r="E144" s="9" t="str">
        <f ca="1">+WORLDCUP!BD59</f>
        <v>Bosnia y Herzegovina</v>
      </c>
      <c r="F144" s="9" t="str">
        <f ca="1">+WORLDCUP!BD60</f>
        <v>Escocia</v>
      </c>
      <c r="G144" s="9" t="str">
        <f ca="1">+WORLDCUP!BD65</f>
        <v>España</v>
      </c>
      <c r="H144" s="9" t="str">
        <f ca="1">+WORLDCUP!BD61</f>
        <v>Paraguay</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Bélgica</v>
      </c>
      <c r="E145" s="9" t="str">
        <f ca="1">+WORLDCUP!BD59</f>
        <v>Bosnia y Herzegovina</v>
      </c>
      <c r="F145" s="9" t="str">
        <f ca="1">+WORLDCUP!BD60</f>
        <v>Escocia</v>
      </c>
      <c r="G145" s="9" t="str">
        <f ca="1">+WORLDCUP!BD65</f>
        <v>España</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España</v>
      </c>
      <c r="D146" s="9" t="str">
        <f ca="1">+WORLDCUP!BD64</f>
        <v>Bélgica</v>
      </c>
      <c r="E146" s="9" t="str">
        <f ca="1">+WORLDCUP!BD59</f>
        <v>Bosnia y Herzegovina</v>
      </c>
      <c r="F146" s="9" t="str">
        <f ca="1">+WORLDCUP!BD60</f>
        <v>Escocia</v>
      </c>
      <c r="G146" s="9" t="str">
        <f ca="1">+WORLDCUP!BD67</f>
        <v>Jordania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Paraguay</v>
      </c>
      <c r="G147" s="9" t="str">
        <f ca="1">+WORLDCUP!BD62</f>
        <v>Ecuador</v>
      </c>
      <c r="H147" s="9" t="str">
        <f ca="1">+WORLDCUP!BD63</f>
        <v>Japón</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Japón</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Paraguay</v>
      </c>
      <c r="G149" s="9" t="str">
        <f ca="1">+WORLDCUP!BD62</f>
        <v>Ecuador</v>
      </c>
      <c r="H149" s="9" t="str">
        <f ca="1">+WORLDCUP!BD63</f>
        <v>Japón</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Paraguay</v>
      </c>
      <c r="G150" s="9" t="str">
        <f ca="1">+WORLDCUP!BD62</f>
        <v>Ecuador</v>
      </c>
      <c r="H150" s="9" t="str">
        <f ca="1">+WORLDCUP!BD63</f>
        <v>Japón</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España</v>
      </c>
      <c r="H151" s="9" t="str">
        <f ca="1">+WORLDCUP!BD63</f>
        <v>Japón</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Paraguay</v>
      </c>
      <c r="G152" s="9" t="str">
        <f ca="1">+WORLDCUP!BD65</f>
        <v>España</v>
      </c>
      <c r="H152" s="9" t="str">
        <f ca="1">+WORLDCUP!BD63</f>
        <v>Japón</v>
      </c>
      <c r="I152" s="9" t="str">
        <f ca="1">+WORLDCUP!BD69</f>
        <v>Panamá</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Paraguay</v>
      </c>
      <c r="G153" s="9" t="str">
        <f ca="1">+WORLDCUP!BD65</f>
        <v>España</v>
      </c>
      <c r="H153" s="9" t="str">
        <f ca="1">+WORLDCUP!BD63</f>
        <v>Japón</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España</v>
      </c>
      <c r="H154" s="9" t="str">
        <f ca="1">+WORLDCUP!BD63</f>
        <v>Japón</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España</v>
      </c>
      <c r="H155" s="9" t="str">
        <f ca="1">+WORLDCUP!BD63</f>
        <v>Japón</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Paraguay</v>
      </c>
      <c r="G156" s="9" t="str">
        <f ca="1">+WORLDCUP!BD65</f>
        <v>España</v>
      </c>
      <c r="H156" s="9" t="str">
        <f ca="1">+WORLDCUP!BD63</f>
        <v>Japón</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Bélgica</v>
      </c>
      <c r="E157" s="9" t="str">
        <f ca="1">+WORLDCUP!BD59</f>
        <v>Bosnia y Herzegovina</v>
      </c>
      <c r="F157" s="9" t="str">
        <f ca="1">+WORLDCUP!BD61</f>
        <v>Paraguay</v>
      </c>
      <c r="G157" s="9" t="str">
        <f ca="1">+WORLDCUP!BD62</f>
        <v>Ecuador</v>
      </c>
      <c r="H157" s="9" t="str">
        <f ca="1">+WORLDCUP!BD63</f>
        <v>Japón</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Bélgica</v>
      </c>
      <c r="E158" s="9" t="str">
        <f ca="1">+WORLDCUP!BD59</f>
        <v>Bosnia y Herzegovina</v>
      </c>
      <c r="F158" s="9" t="str">
        <f ca="1">+WORLDCUP!BD61</f>
        <v>Paraguay</v>
      </c>
      <c r="G158" s="9" t="str">
        <f ca="1">+WORLDCUP!BD67</f>
        <v>Jordania</v>
      </c>
      <c r="H158" s="9" t="str">
        <f ca="1">+WORLDCUP!BD63</f>
        <v>Japón</v>
      </c>
      <c r="I158" s="9" t="str">
        <f ca="1">+WORLDCUP!BD69</f>
        <v>Panamá</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Bélgica</v>
      </c>
      <c r="E159" s="9" t="str">
        <f ca="1">+WORLDCUP!BD59</f>
        <v>Bosnia y Herzegovina</v>
      </c>
      <c r="F159" s="9" t="str">
        <f ca="1">+WORLDCUP!BD61</f>
        <v>Paraguay</v>
      </c>
      <c r="G159" s="9" t="str">
        <f ca="1">+WORLDCUP!BD67</f>
        <v>Jordania</v>
      </c>
      <c r="H159" s="9" t="str">
        <f ca="1">+WORLDCUP!BD63</f>
        <v>Japón</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Bélgica</v>
      </c>
      <c r="E160" s="9" t="str">
        <f ca="1">+WORLDCUP!BD59</f>
        <v>Bosnia y Herzegovina</v>
      </c>
      <c r="F160" s="9" t="str">
        <f ca="1">+WORLDCUP!BD61</f>
        <v>Paraguay</v>
      </c>
      <c r="G160" s="9" t="str">
        <f ca="1">+WORLDCUP!BD62</f>
        <v>Ecuador</v>
      </c>
      <c r="H160" s="9" t="str">
        <f ca="1">+WORLDCUP!BD63</f>
        <v>Japón</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Bélgica</v>
      </c>
      <c r="E161" s="9" t="str">
        <f ca="1">+WORLDCUP!BD59</f>
        <v>Bosnia y Herzegovina</v>
      </c>
      <c r="F161" s="9" t="str">
        <f ca="1">+WORLDCUP!BD61</f>
        <v>Paraguay</v>
      </c>
      <c r="G161" s="9" t="str">
        <f ca="1">+WORLDCUP!BD62</f>
        <v>Ecuador</v>
      </c>
      <c r="H161" s="9" t="str">
        <f ca="1">+WORLDCUP!BD63</f>
        <v>Japón</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Bélgica</v>
      </c>
      <c r="E162" s="9" t="str">
        <f ca="1">+WORLDCUP!BD59</f>
        <v>Bosnia y Herzegovina</v>
      </c>
      <c r="F162" s="9" t="str">
        <f ca="1">+WORLDCUP!BD61</f>
        <v>Paraguay</v>
      </c>
      <c r="G162" s="9" t="str">
        <f ca="1">+WORLDCUP!BD67</f>
        <v>Jordania</v>
      </c>
      <c r="H162" s="9" t="str">
        <f ca="1">+WORLDCUP!BD63</f>
        <v>Japón</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Bélgica</v>
      </c>
      <c r="E163" s="9" t="str">
        <f ca="1">+WORLDCUP!BD59</f>
        <v>Bosnia y Herzegovina</v>
      </c>
      <c r="F163" s="9" t="str">
        <f ca="1">+WORLDCUP!BD61</f>
        <v>Paraguay</v>
      </c>
      <c r="G163" s="9" t="str">
        <f ca="1">+WORLDCUP!BD65</f>
        <v>España</v>
      </c>
      <c r="H163" s="9" t="str">
        <f ca="1">+WORLDCUP!BD63</f>
        <v>Japón</v>
      </c>
      <c r="I163" s="9" t="str">
        <f ca="1">+WORLDCUP!BD69</f>
        <v>Panamá</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Bélgica</v>
      </c>
      <c r="E164" s="9" t="str">
        <f ca="1">+WORLDCUP!BD59</f>
        <v>Bosnia y Herzegovina</v>
      </c>
      <c r="F164" s="9" t="str">
        <f ca="1">+WORLDCUP!BD61</f>
        <v>Paraguay</v>
      </c>
      <c r="G164" s="9" t="str">
        <f ca="1">+WORLDCUP!BD65</f>
        <v>España</v>
      </c>
      <c r="H164" s="9" t="str">
        <f ca="1">+WORLDCUP!BD63</f>
        <v>Japón</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España</v>
      </c>
      <c r="D165" s="9" t="str">
        <f ca="1">+WORLDCUP!BD64</f>
        <v>Bélgica</v>
      </c>
      <c r="E165" s="9" t="str">
        <f ca="1">+WORLDCUP!BD59</f>
        <v>Bosnia y Herzegovina</v>
      </c>
      <c r="F165" s="9" t="str">
        <f ca="1">+WORLDCUP!BD60</f>
        <v>Escocia</v>
      </c>
      <c r="G165" s="9" t="str">
        <f ca="1">+WORLDCUP!BD67</f>
        <v>Jordania</v>
      </c>
      <c r="H165" s="9" t="str">
        <f ca="1">+WORLDCUP!BD63</f>
        <v>Japón</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Bélgica</v>
      </c>
      <c r="E166" s="9" t="str">
        <f ca="1">+WORLDCUP!BD59</f>
        <v>Bosnia y Herzegovina</v>
      </c>
      <c r="F166" s="9" t="str">
        <f ca="1">+WORLDCUP!BD61</f>
        <v>Paraguay</v>
      </c>
      <c r="G166" s="9" t="str">
        <f ca="1">+WORLDCUP!BD65</f>
        <v>España</v>
      </c>
      <c r="H166" s="9" t="str">
        <f ca="1">+WORLDCUP!BD63</f>
        <v>Japón</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España</v>
      </c>
      <c r="D167" s="9" t="str">
        <f ca="1">+WORLDCUP!BD67</f>
        <v>Jordania</v>
      </c>
      <c r="E167" s="9" t="str">
        <f ca="1">+WORLDCUP!BD66</f>
        <v>Senegal</v>
      </c>
      <c r="F167" s="9" t="str">
        <f ca="1">+WORLDCUP!BD63</f>
        <v>Japón</v>
      </c>
      <c r="G167" s="9" t="str">
        <f ca="1">+WORLDCUP!BD58</f>
        <v>República Checa</v>
      </c>
      <c r="H167" s="9" t="str">
        <f ca="1">+WORLDCUP!BD64</f>
        <v>Bélgica</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Jordania</v>
      </c>
      <c r="E168" s="9" t="str">
        <f ca="1">+WORLDCUP!BD66</f>
        <v>Senegal</v>
      </c>
      <c r="F168" s="9" t="str">
        <f ca="1">+WORLDCUP!BD58</f>
        <v>República Checa</v>
      </c>
      <c r="G168" s="9" t="str">
        <f ca="1">+WORLDCUP!BD65</f>
        <v>España</v>
      </c>
      <c r="H168" s="9" t="str">
        <f ca="1">+WORLDCUP!BD64</f>
        <v>Bélgica</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Jordania</v>
      </c>
      <c r="E169" s="9" t="str">
        <f ca="1">+WORLDCUP!BD66</f>
        <v>Senegal</v>
      </c>
      <c r="F169" s="9" t="str">
        <f ca="1">+WORLDCUP!BD63</f>
        <v>Japón</v>
      </c>
      <c r="G169" s="9" t="str">
        <f ca="1">+WORLDCUP!BD58</f>
        <v>República Checa</v>
      </c>
      <c r="H169" s="9" t="str">
        <f ca="1">+WORLDCUP!BD65</f>
        <v>España</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Jordania</v>
      </c>
      <c r="E170" s="9" t="str">
        <f ca="1">+WORLDCUP!BD66</f>
        <v>Senegal</v>
      </c>
      <c r="F170" s="9" t="str">
        <f ca="1">+WORLDCUP!BD63</f>
        <v>Japón</v>
      </c>
      <c r="G170" s="9" t="str">
        <f ca="1">+WORLDCUP!BD58</f>
        <v>República Checa</v>
      </c>
      <c r="H170" s="9" t="str">
        <f ca="1">+WORLDCUP!BD64</f>
        <v>Bélgica</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Bélgica</v>
      </c>
      <c r="E171" s="9" t="str">
        <f ca="1">+WORLDCUP!BD67</f>
        <v>Jordania</v>
      </c>
      <c r="F171" s="9" t="str">
        <f ca="1">+WORLDCUP!BD63</f>
        <v>Japón</v>
      </c>
      <c r="G171" s="9" t="str">
        <f ca="1">+WORLDCUP!BD58</f>
        <v>República Checa</v>
      </c>
      <c r="H171" s="9" t="str">
        <f ca="1">+WORLDCUP!BD65</f>
        <v>España</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Bélgica</v>
      </c>
      <c r="E172" s="9" t="str">
        <f ca="1">+WORLDCUP!BD66</f>
        <v>Senegal</v>
      </c>
      <c r="F172" s="9" t="str">
        <f ca="1">+WORLDCUP!BD63</f>
        <v>Japón</v>
      </c>
      <c r="G172" s="9" t="str">
        <f ca="1">+WORLDCUP!BD58</f>
        <v>República Checa</v>
      </c>
      <c r="H172" s="9" t="str">
        <f ca="1">+WORLDCUP!BD65</f>
        <v>España</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Bélgica</v>
      </c>
      <c r="E173" s="9" t="str">
        <f ca="1">+WORLDCUP!BD67</f>
        <v>Jordania</v>
      </c>
      <c r="F173" s="9" t="str">
        <f ca="1">+WORLDCUP!BD63</f>
        <v>Japón</v>
      </c>
      <c r="G173" s="9" t="str">
        <f ca="1">+WORLDCUP!BD58</f>
        <v>República Checa</v>
      </c>
      <c r="H173" s="9" t="str">
        <f ca="1">+WORLDCUP!BD65</f>
        <v>España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Bélgica</v>
      </c>
      <c r="E174" s="9" t="str">
        <f ca="1">+WORLDCUP!BD67</f>
        <v>Jordania</v>
      </c>
      <c r="F174" s="9" t="str">
        <f ca="1">+WORLDCUP!BD63</f>
        <v>Japón</v>
      </c>
      <c r="G174" s="9" t="str">
        <f ca="1">+WORLDCUP!BD58</f>
        <v>República Checa</v>
      </c>
      <c r="H174" s="9" t="str">
        <f ca="1">+WORLDCUP!BD65</f>
        <v>España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España</v>
      </c>
      <c r="D175" s="9" t="str">
        <f ca="1">+WORLDCUP!BD67</f>
        <v>Jordania</v>
      </c>
      <c r="E175" s="9" t="str">
        <f ca="1">+WORLDCUP!BD66</f>
        <v>Senegal</v>
      </c>
      <c r="F175" s="9" t="str">
        <f ca="1">+WORLDCUP!BD61</f>
        <v>Paraguay</v>
      </c>
      <c r="G175" s="9" t="str">
        <f ca="1">+WORLDCUP!BD58</f>
        <v>República Checa</v>
      </c>
      <c r="H175" s="9" t="str">
        <f ca="1">+WORLDCUP!BD64</f>
        <v>Bélgica</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España</v>
      </c>
      <c r="D176" s="9" t="str">
        <f ca="1">+WORLDCUP!BD67</f>
        <v>Jordania</v>
      </c>
      <c r="E176" s="9" t="str">
        <f ca="1">+WORLDCUP!BD66</f>
        <v>Senegal</v>
      </c>
      <c r="F176" s="9" t="str">
        <f ca="1">+WORLDCUP!BD61</f>
        <v>Paraguay</v>
      </c>
      <c r="G176" s="9" t="str">
        <f ca="1">+WORLDCUP!BD58</f>
        <v>República Checa</v>
      </c>
      <c r="H176" s="9" t="str">
        <f ca="1">+WORLDCUP!BD63</f>
        <v>Japón</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Bélgica</v>
      </c>
      <c r="E177" s="9" t="str">
        <f ca="1">+WORLDCUP!BD67</f>
        <v>Jordania</v>
      </c>
      <c r="F177" s="9" t="str">
        <f ca="1">+WORLDCUP!BD61</f>
        <v>Paraguay</v>
      </c>
      <c r="G177" s="9" t="str">
        <f ca="1">+WORLDCUP!BD58</f>
        <v>República Checa</v>
      </c>
      <c r="H177" s="9" t="str">
        <f ca="1">+WORLDCUP!BD63</f>
        <v>Japón</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España</v>
      </c>
      <c r="D178" s="9" t="str">
        <f ca="1">+WORLDCUP!BD64</f>
        <v>Bélgica</v>
      </c>
      <c r="E178" s="9" t="str">
        <f ca="1">+WORLDCUP!BD67</f>
        <v>Jordania</v>
      </c>
      <c r="F178" s="9" t="str">
        <f ca="1">+WORLDCUP!BD61</f>
        <v>Paraguay</v>
      </c>
      <c r="G178" s="9" t="str">
        <f ca="1">+WORLDCUP!BD58</f>
        <v>República Checa</v>
      </c>
      <c r="H178" s="9" t="str">
        <f ca="1">+WORLDCUP!BD63</f>
        <v>Japón</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España</v>
      </c>
      <c r="D179" s="9" t="str">
        <f ca="1">+WORLDCUP!BD64</f>
        <v>Bélgica</v>
      </c>
      <c r="E179" s="9" t="str">
        <f ca="1">+WORLDCUP!BD66</f>
        <v>Senegal</v>
      </c>
      <c r="F179" s="9" t="str">
        <f ca="1">+WORLDCUP!BD61</f>
        <v>Paraguay</v>
      </c>
      <c r="G179" s="9" t="str">
        <f ca="1">+WORLDCUP!BD58</f>
        <v>República Checa</v>
      </c>
      <c r="H179" s="9" t="str">
        <f ca="1">+WORLDCUP!BD63</f>
        <v>Japón</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España</v>
      </c>
      <c r="D180" s="9" t="str">
        <f ca="1">+WORLDCUP!BD64</f>
        <v>Bélgica</v>
      </c>
      <c r="E180" s="9" t="str">
        <f ca="1">+WORLDCUP!BD67</f>
        <v>Jordania</v>
      </c>
      <c r="F180" s="9" t="str">
        <f ca="1">+WORLDCUP!BD61</f>
        <v>Paraguay</v>
      </c>
      <c r="G180" s="9" t="str">
        <f ca="1">+WORLDCUP!BD58</f>
        <v>República Checa</v>
      </c>
      <c r="H180" s="9" t="str">
        <f ca="1">+WORLDCUP!BD63</f>
        <v>Japón</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España</v>
      </c>
      <c r="D181" s="9" t="str">
        <f ca="1">+WORLDCUP!BD64</f>
        <v>Bélgica</v>
      </c>
      <c r="E181" s="9" t="str">
        <f ca="1">+WORLDCUP!BD67</f>
        <v>Jordania</v>
      </c>
      <c r="F181" s="9" t="str">
        <f ca="1">+WORLDCUP!BD61</f>
        <v>Paraguay</v>
      </c>
      <c r="G181" s="9" t="str">
        <f ca="1">+WORLDCUP!BD58</f>
        <v>República Checa</v>
      </c>
      <c r="H181" s="9" t="str">
        <f ca="1">+WORLDCUP!BD63</f>
        <v>Japón</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Jordania</v>
      </c>
      <c r="E182" s="9" t="str">
        <f ca="1">+WORLDCUP!BD66</f>
        <v>Senegal</v>
      </c>
      <c r="F182" s="9" t="str">
        <f ca="1">+WORLDCUP!BD61</f>
        <v>Paraguay</v>
      </c>
      <c r="G182" s="9" t="str">
        <f ca="1">+WORLDCUP!BD58</f>
        <v>República Checa</v>
      </c>
      <c r="H182" s="9" t="str">
        <f ca="1">+WORLDCUP!BD65</f>
        <v>España</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Jordania</v>
      </c>
      <c r="E183" s="9" t="str">
        <f ca="1">+WORLDCUP!BD66</f>
        <v>Senegal</v>
      </c>
      <c r="F183" s="9" t="str">
        <f ca="1">+WORLDCUP!BD61</f>
        <v>Paraguay</v>
      </c>
      <c r="G183" s="9" t="str">
        <f ca="1">+WORLDCUP!BD58</f>
        <v>República Checa</v>
      </c>
      <c r="H183" s="9" t="str">
        <f ca="1">+WORLDCUP!BD64</f>
        <v>Bélgica</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Bélgica</v>
      </c>
      <c r="E184" s="9" t="str">
        <f ca="1">+WORLDCUP!BD67</f>
        <v>Jordania</v>
      </c>
      <c r="F184" s="9" t="str">
        <f ca="1">+WORLDCUP!BD61</f>
        <v>Paraguay</v>
      </c>
      <c r="G184" s="9" t="str">
        <f ca="1">+WORLDCUP!BD58</f>
        <v>República Checa</v>
      </c>
      <c r="H184" s="9" t="str">
        <f ca="1">+WORLDCUP!BD65</f>
        <v>España</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Bélgica</v>
      </c>
      <c r="E185" s="9" t="str">
        <f ca="1">+WORLDCUP!BD66</f>
        <v>Senegal</v>
      </c>
      <c r="F185" s="9" t="str">
        <f ca="1">+WORLDCUP!BD61</f>
        <v>Paraguay</v>
      </c>
      <c r="G185" s="9" t="str">
        <f ca="1">+WORLDCUP!BD58</f>
        <v>República Checa</v>
      </c>
      <c r="H185" s="9" t="str">
        <f ca="1">+WORLDCUP!BD65</f>
        <v>España</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Bélgica</v>
      </c>
      <c r="E186" s="9" t="str">
        <f ca="1">+WORLDCUP!BD67</f>
        <v>Jordania</v>
      </c>
      <c r="F186" s="9" t="str">
        <f ca="1">+WORLDCUP!BD61</f>
        <v>Paraguay</v>
      </c>
      <c r="G186" s="9" t="str">
        <f ca="1">+WORLDCUP!BD58</f>
        <v>República Checa</v>
      </c>
      <c r="H186" s="9" t="str">
        <f ca="1">+WORLDCUP!BD65</f>
        <v>España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Bélgica</v>
      </c>
      <c r="E187" s="9" t="str">
        <f ca="1">+WORLDCUP!BD67</f>
        <v>Jordania</v>
      </c>
      <c r="F187" s="9" t="str">
        <f ca="1">+WORLDCUP!BD61</f>
        <v>Paraguay</v>
      </c>
      <c r="G187" s="9" t="str">
        <f ca="1">+WORLDCUP!BD58</f>
        <v>República Checa</v>
      </c>
      <c r="H187" s="9" t="str">
        <f ca="1">+WORLDCUP!BD65</f>
        <v>España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Jordania</v>
      </c>
      <c r="E188" s="9" t="str">
        <f ca="1">+WORLDCUP!BD66</f>
        <v>Senegal</v>
      </c>
      <c r="F188" s="9" t="str">
        <f ca="1">+WORLDCUP!BD61</f>
        <v>Paraguay</v>
      </c>
      <c r="G188" s="9" t="str">
        <f ca="1">+WORLDCUP!BD58</f>
        <v>República Checa</v>
      </c>
      <c r="H188" s="9" t="str">
        <f ca="1">+WORLDCUP!BD63</f>
        <v>Japón</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España</v>
      </c>
      <c r="D189" s="9" t="str">
        <f ca="1">+WORLDCUP!BD67</f>
        <v>Jordania</v>
      </c>
      <c r="E189" s="9" t="str">
        <f ca="1">+WORLDCUP!BD62</f>
        <v>Ecuador</v>
      </c>
      <c r="F189" s="9" t="str">
        <f ca="1">+WORLDCUP!BD61</f>
        <v>Paraguay</v>
      </c>
      <c r="G189" s="9" t="str">
        <f ca="1">+WORLDCUP!BD58</f>
        <v>República Checa</v>
      </c>
      <c r="H189" s="9" t="str">
        <f ca="1">+WORLDCUP!BD63</f>
        <v>Japón</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España</v>
      </c>
      <c r="D190" s="9" t="str">
        <f ca="1">+WORLDCUP!BD62</f>
        <v>Ecuador</v>
      </c>
      <c r="E190" s="9" t="str">
        <f ca="1">+WORLDCUP!BD66</f>
        <v>Senegal</v>
      </c>
      <c r="F190" s="9" t="str">
        <f ca="1">+WORLDCUP!BD61</f>
        <v>Paraguay</v>
      </c>
      <c r="G190" s="9" t="str">
        <f ca="1">+WORLDCUP!BD58</f>
        <v>República Checa</v>
      </c>
      <c r="H190" s="9" t="str">
        <f ca="1">+WORLDCUP!BD63</f>
        <v>Japón</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España</v>
      </c>
      <c r="D191" s="9" t="str">
        <f ca="1">+WORLDCUP!BD67</f>
        <v>Jordania</v>
      </c>
      <c r="E191" s="9" t="str">
        <f ca="1">+WORLDCUP!BD62</f>
        <v>Ecuador</v>
      </c>
      <c r="F191" s="9" t="str">
        <f ca="1">+WORLDCUP!BD61</f>
        <v>Paraguay</v>
      </c>
      <c r="G191" s="9" t="str">
        <f ca="1">+WORLDCUP!BD58</f>
        <v>República Checa</v>
      </c>
      <c r="H191" s="9" t="str">
        <f ca="1">+WORLDCUP!BD63</f>
        <v>Japón</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España</v>
      </c>
      <c r="D192" s="9" t="str">
        <f ca="1">+WORLDCUP!BD67</f>
        <v>Jordania</v>
      </c>
      <c r="E192" s="9" t="str">
        <f ca="1">+WORLDCUP!BD62</f>
        <v>Ecuador</v>
      </c>
      <c r="F192" s="9" t="str">
        <f ca="1">+WORLDCUP!BD61</f>
        <v>Paraguay</v>
      </c>
      <c r="G192" s="9" t="str">
        <f ca="1">+WORLDCUP!BD58</f>
        <v>República Checa</v>
      </c>
      <c r="H192" s="9" t="str">
        <f ca="1">+WORLDCUP!BD63</f>
        <v>Japón</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Bélgica</v>
      </c>
      <c r="E193" s="9" t="str">
        <f ca="1">+WORLDCUP!BD67</f>
        <v>Jordania</v>
      </c>
      <c r="F193" s="9" t="str">
        <f ca="1">+WORLDCUP!BD61</f>
        <v>Paraguay</v>
      </c>
      <c r="G193" s="9" t="str">
        <f ca="1">+WORLDCUP!BD58</f>
        <v>República Checa</v>
      </c>
      <c r="H193" s="9" t="str">
        <f ca="1">+WORLDCUP!BD63</f>
        <v>Japón</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Bélgica</v>
      </c>
      <c r="E194" s="9" t="str">
        <f ca="1">+WORLDCUP!BD66</f>
        <v>Senegal</v>
      </c>
      <c r="F194" s="9" t="str">
        <f ca="1">+WORLDCUP!BD61</f>
        <v>Paraguay</v>
      </c>
      <c r="G194" s="9" t="str">
        <f ca="1">+WORLDCUP!BD58</f>
        <v>República Checa</v>
      </c>
      <c r="H194" s="9" t="str">
        <f ca="1">+WORLDCUP!BD63</f>
        <v>Japón</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Bélgica</v>
      </c>
      <c r="E195" s="9" t="str">
        <f ca="1">+WORLDCUP!BD67</f>
        <v>Jordania</v>
      </c>
      <c r="F195" s="9" t="str">
        <f ca="1">+WORLDCUP!BD61</f>
        <v>Paraguay</v>
      </c>
      <c r="G195" s="9" t="str">
        <f ca="1">+WORLDCUP!BD58</f>
        <v>República Checa</v>
      </c>
      <c r="H195" s="9" t="str">
        <f ca="1">+WORLDCUP!BD63</f>
        <v>Japón</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Bélgica</v>
      </c>
      <c r="E196" s="9" t="str">
        <f ca="1">+WORLDCUP!BD67</f>
        <v>Jordania</v>
      </c>
      <c r="F196" s="9" t="str">
        <f ca="1">+WORLDCUP!BD61</f>
        <v>Paraguay</v>
      </c>
      <c r="G196" s="9" t="str">
        <f ca="1">+WORLDCUP!BD58</f>
        <v>República Checa</v>
      </c>
      <c r="H196" s="9" t="str">
        <f ca="1">+WORLDCUP!BD63</f>
        <v>Japón</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España</v>
      </c>
      <c r="D197" s="9" t="str">
        <f ca="1">+WORLDCUP!BD64</f>
        <v>Bélgica</v>
      </c>
      <c r="E197" s="9" t="str">
        <f ca="1">+WORLDCUP!BD62</f>
        <v>Ecuador</v>
      </c>
      <c r="F197" s="9" t="str">
        <f ca="1">+WORLDCUP!BD61</f>
        <v>Paraguay</v>
      </c>
      <c r="G197" s="9" t="str">
        <f ca="1">+WORLDCUP!BD58</f>
        <v>República Checa</v>
      </c>
      <c r="H197" s="9" t="str">
        <f ca="1">+WORLDCUP!BD63</f>
        <v>Japón</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España</v>
      </c>
      <c r="D198" s="9" t="str">
        <f ca="1">+WORLDCUP!BD64</f>
        <v>Bélgica</v>
      </c>
      <c r="E198" s="9" t="str">
        <f ca="1">+WORLDCUP!BD67</f>
        <v>Jordania</v>
      </c>
      <c r="F198" s="9" t="str">
        <f ca="1">+WORLDCUP!BD61</f>
        <v>Paraguay</v>
      </c>
      <c r="G198" s="9" t="str">
        <f ca="1">+WORLDCUP!BD58</f>
        <v>República Checa</v>
      </c>
      <c r="H198" s="9" t="str">
        <f ca="1">+WORLDCUP!BD63</f>
        <v>Japón</v>
      </c>
      <c r="I198" s="9" t="str">
        <f ca="1">+WORLDCUP!BD69</f>
        <v>Panamá</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España</v>
      </c>
      <c r="D199" s="9" t="str">
        <f ca="1">+WORLDCUP!BD64</f>
        <v>Bélgica</v>
      </c>
      <c r="E199" s="9" t="str">
        <f ca="1">+WORLDCUP!BD67</f>
        <v>Jordania</v>
      </c>
      <c r="F199" s="9" t="str">
        <f ca="1">+WORLDCUP!BD61</f>
        <v>Paraguay</v>
      </c>
      <c r="G199" s="9" t="str">
        <f ca="1">+WORLDCUP!BD58</f>
        <v>República Checa</v>
      </c>
      <c r="H199" s="9" t="str">
        <f ca="1">+WORLDCUP!BD63</f>
        <v>Japón</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España</v>
      </c>
      <c r="D200" s="9" t="str">
        <f ca="1">+WORLDCUP!BD64</f>
        <v>Bélgica</v>
      </c>
      <c r="E200" s="9" t="str">
        <f ca="1">+WORLDCUP!BD62</f>
        <v>Ecuador</v>
      </c>
      <c r="F200" s="9" t="str">
        <f ca="1">+WORLDCUP!BD61</f>
        <v>Paraguay</v>
      </c>
      <c r="G200" s="9" t="str">
        <f ca="1">+WORLDCUP!BD58</f>
        <v>República Checa</v>
      </c>
      <c r="H200" s="9" t="str">
        <f ca="1">+WORLDCUP!BD63</f>
        <v>Japón</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España</v>
      </c>
      <c r="D201" s="9" t="str">
        <f ca="1">+WORLDCUP!BD64</f>
        <v>Bélgica</v>
      </c>
      <c r="E201" s="9" t="str">
        <f ca="1">+WORLDCUP!BD62</f>
        <v>Ecuador</v>
      </c>
      <c r="F201" s="9" t="str">
        <f ca="1">+WORLDCUP!BD61</f>
        <v>Paraguay</v>
      </c>
      <c r="G201" s="9" t="str">
        <f ca="1">+WORLDCUP!BD58</f>
        <v>República Checa</v>
      </c>
      <c r="H201" s="9" t="str">
        <f ca="1">+WORLDCUP!BD63</f>
        <v>Japón</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España</v>
      </c>
      <c r="D202" s="9" t="str">
        <f ca="1">+WORLDCUP!BD64</f>
        <v>Bélgica</v>
      </c>
      <c r="E202" s="9" t="str">
        <f ca="1">+WORLDCUP!BD67</f>
        <v>Jordania</v>
      </c>
      <c r="F202" s="9" t="str">
        <f ca="1">+WORLDCUP!BD61</f>
        <v>Paraguay</v>
      </c>
      <c r="G202" s="9" t="str">
        <f ca="1">+WORLDCUP!BD58</f>
        <v>República Checa</v>
      </c>
      <c r="H202" s="9" t="str">
        <f ca="1">+WORLDCUP!BD63</f>
        <v>Japón</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España</v>
      </c>
      <c r="D203" s="9" t="str">
        <f ca="1">+WORLDCUP!BD67</f>
        <v>Jordania</v>
      </c>
      <c r="E203" s="9" t="str">
        <f ca="1">+WORLDCUP!BD66</f>
        <v>Senegal</v>
      </c>
      <c r="F203" s="9" t="str">
        <f ca="1">+WORLDCUP!BD60</f>
        <v>Escocia</v>
      </c>
      <c r="G203" s="9" t="str">
        <f ca="1">+WORLDCUP!BD58</f>
        <v>República Checa</v>
      </c>
      <c r="H203" s="9" t="str">
        <f ca="1">+WORLDCUP!BD64</f>
        <v>Bélgica</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España</v>
      </c>
      <c r="D204" s="9" t="str">
        <f ca="1">+WORLDCUP!BD67</f>
        <v>Jordania</v>
      </c>
      <c r="E204" s="9" t="str">
        <f ca="1">+WORLDCUP!BD66</f>
        <v>Senegal</v>
      </c>
      <c r="F204" s="9" t="str">
        <f ca="1">+WORLDCUP!BD60</f>
        <v>Escocia</v>
      </c>
      <c r="G204" s="9" t="str">
        <f ca="1">+WORLDCUP!BD58</f>
        <v>República Checa</v>
      </c>
      <c r="H204" s="9" t="str">
        <f ca="1">+WORLDCUP!BD63</f>
        <v>Japón</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Bélgica</v>
      </c>
      <c r="E205" s="9" t="str">
        <f ca="1">+WORLDCUP!BD67</f>
        <v>Jordania</v>
      </c>
      <c r="F205" s="9" t="str">
        <f ca="1">+WORLDCUP!BD60</f>
        <v>Escocia</v>
      </c>
      <c r="G205" s="9" t="str">
        <f ca="1">+WORLDCUP!BD58</f>
        <v>República Checa</v>
      </c>
      <c r="H205" s="9" t="str">
        <f ca="1">+WORLDCUP!BD63</f>
        <v>Japón</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España</v>
      </c>
      <c r="D206" s="9" t="str">
        <f ca="1">+WORLDCUP!BD64</f>
        <v>Bélgica</v>
      </c>
      <c r="E206" s="9" t="str">
        <f ca="1">+WORLDCUP!BD67</f>
        <v>Jordania</v>
      </c>
      <c r="F206" s="9" t="str">
        <f ca="1">+WORLDCUP!BD60</f>
        <v>Escocia</v>
      </c>
      <c r="G206" s="9" t="str">
        <f ca="1">+WORLDCUP!BD58</f>
        <v>República Checa</v>
      </c>
      <c r="H206" s="9" t="str">
        <f ca="1">+WORLDCUP!BD63</f>
        <v>Japón</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España</v>
      </c>
      <c r="D207" s="9" t="str">
        <f ca="1">+WORLDCUP!BD64</f>
        <v>Bélgica</v>
      </c>
      <c r="E207" s="9" t="str">
        <f ca="1">+WORLDCUP!BD66</f>
        <v>Senegal</v>
      </c>
      <c r="F207" s="9" t="str">
        <f ca="1">+WORLDCUP!BD60</f>
        <v>Escocia</v>
      </c>
      <c r="G207" s="9" t="str">
        <f ca="1">+WORLDCUP!BD58</f>
        <v>República Checa</v>
      </c>
      <c r="H207" s="9" t="str">
        <f ca="1">+WORLDCUP!BD63</f>
        <v>Japón</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España</v>
      </c>
      <c r="D208" s="9" t="str">
        <f ca="1">+WORLDCUP!BD64</f>
        <v>Bélgica</v>
      </c>
      <c r="E208" s="9" t="str">
        <f ca="1">+WORLDCUP!BD67</f>
        <v>Jordania</v>
      </c>
      <c r="F208" s="9" t="str">
        <f ca="1">+WORLDCUP!BD60</f>
        <v>Escocia</v>
      </c>
      <c r="G208" s="9" t="str">
        <f ca="1">+WORLDCUP!BD58</f>
        <v>República Checa</v>
      </c>
      <c r="H208" s="9" t="str">
        <f ca="1">+WORLDCUP!BD63</f>
        <v>Japón</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España</v>
      </c>
      <c r="D209" s="9" t="str">
        <f ca="1">+WORLDCUP!BD64</f>
        <v>Bélgica</v>
      </c>
      <c r="E209" s="9" t="str">
        <f ca="1">+WORLDCUP!BD67</f>
        <v>Jordania</v>
      </c>
      <c r="F209" s="9" t="str">
        <f ca="1">+WORLDCUP!BD60</f>
        <v>Escocia</v>
      </c>
      <c r="G209" s="9" t="str">
        <f ca="1">+WORLDCUP!BD58</f>
        <v>República Checa</v>
      </c>
      <c r="H209" s="9" t="str">
        <f ca="1">+WORLDCUP!BD63</f>
        <v>Japón</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Jordania</v>
      </c>
      <c r="E210" s="9" t="str">
        <f ca="1">+WORLDCUP!BD66</f>
        <v>Senegal</v>
      </c>
      <c r="F210" s="9" t="str">
        <f ca="1">+WORLDCUP!BD60</f>
        <v>Escocia</v>
      </c>
      <c r="G210" s="9" t="str">
        <f ca="1">+WORLDCUP!BD58</f>
        <v>República Checa</v>
      </c>
      <c r="H210" s="9" t="str">
        <f ca="1">+WORLDCUP!BD65</f>
        <v>España</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Jordania</v>
      </c>
      <c r="E211" s="9" t="str">
        <f ca="1">+WORLDCUP!BD66</f>
        <v>Senegal</v>
      </c>
      <c r="F211" s="9" t="str">
        <f ca="1">+WORLDCUP!BD60</f>
        <v>Escocia</v>
      </c>
      <c r="G211" s="9" t="str">
        <f ca="1">+WORLDCUP!BD58</f>
        <v>República Checa</v>
      </c>
      <c r="H211" s="9" t="str">
        <f ca="1">+WORLDCUP!BD64</f>
        <v>Bélgica</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Bélgica</v>
      </c>
      <c r="E212" s="9" t="str">
        <f ca="1">+WORLDCUP!BD67</f>
        <v>Jordania</v>
      </c>
      <c r="F212" s="9" t="str">
        <f ca="1">+WORLDCUP!BD60</f>
        <v>Escocia</v>
      </c>
      <c r="G212" s="9" t="str">
        <f ca="1">+WORLDCUP!BD58</f>
        <v>República Checa</v>
      </c>
      <c r="H212" s="9" t="str">
        <f ca="1">+WORLDCUP!BD65</f>
        <v>España</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Bélgica</v>
      </c>
      <c r="E213" s="9" t="str">
        <f ca="1">+WORLDCUP!BD66</f>
        <v>Senegal</v>
      </c>
      <c r="F213" s="9" t="str">
        <f ca="1">+WORLDCUP!BD60</f>
        <v>Escocia</v>
      </c>
      <c r="G213" s="9" t="str">
        <f ca="1">+WORLDCUP!BD58</f>
        <v>República Checa</v>
      </c>
      <c r="H213" s="9" t="str">
        <f ca="1">+WORLDCUP!BD65</f>
        <v>España</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Bélgica</v>
      </c>
      <c r="E214" s="9" t="str">
        <f ca="1">+WORLDCUP!BD67</f>
        <v>Jordania</v>
      </c>
      <c r="F214" s="9" t="str">
        <f ca="1">+WORLDCUP!BD60</f>
        <v>Escocia</v>
      </c>
      <c r="G214" s="9" t="str">
        <f ca="1">+WORLDCUP!BD58</f>
        <v>República Checa</v>
      </c>
      <c r="H214" s="9" t="str">
        <f ca="1">+WORLDCUP!BD65</f>
        <v>España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Bélgica</v>
      </c>
      <c r="E215" s="9" t="str">
        <f ca="1">+WORLDCUP!BD67</f>
        <v>Jordania</v>
      </c>
      <c r="F215" s="9" t="str">
        <f ca="1">+WORLDCUP!BD60</f>
        <v>Escocia</v>
      </c>
      <c r="G215" s="9" t="str">
        <f ca="1">+WORLDCUP!BD58</f>
        <v>República Checa</v>
      </c>
      <c r="H215" s="9" t="str">
        <f ca="1">+WORLDCUP!BD65</f>
        <v>España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Jordania</v>
      </c>
      <c r="E216" s="9" t="str">
        <f ca="1">+WORLDCUP!BD66</f>
        <v>Senegal</v>
      </c>
      <c r="F216" s="9" t="str">
        <f ca="1">+WORLDCUP!BD60</f>
        <v>Escocia</v>
      </c>
      <c r="G216" s="9" t="str">
        <f ca="1">+WORLDCUP!BD58</f>
        <v>República Checa</v>
      </c>
      <c r="H216" s="9" t="str">
        <f ca="1">+WORLDCUP!BD63</f>
        <v>Japón</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España</v>
      </c>
      <c r="D217" s="9" t="str">
        <f ca="1">+WORLDCUP!BD67</f>
        <v>Jordania</v>
      </c>
      <c r="E217" s="9" t="str">
        <f ca="1">+WORLDCUP!BD62</f>
        <v>Ecuador</v>
      </c>
      <c r="F217" s="9" t="str">
        <f ca="1">+WORLDCUP!BD60</f>
        <v>Escocia</v>
      </c>
      <c r="G217" s="9" t="str">
        <f ca="1">+WORLDCUP!BD58</f>
        <v>República Checa</v>
      </c>
      <c r="H217" s="9" t="str">
        <f ca="1">+WORLDCUP!BD63</f>
        <v>Japón</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España</v>
      </c>
      <c r="D218" s="9" t="str">
        <f ca="1">+WORLDCUP!BD62</f>
        <v>Ecuador</v>
      </c>
      <c r="E218" s="9" t="str">
        <f ca="1">+WORLDCUP!BD66</f>
        <v>Senegal</v>
      </c>
      <c r="F218" s="9" t="str">
        <f ca="1">+WORLDCUP!BD60</f>
        <v>Escocia</v>
      </c>
      <c r="G218" s="9" t="str">
        <f ca="1">+WORLDCUP!BD58</f>
        <v>República Checa</v>
      </c>
      <c r="H218" s="9" t="str">
        <f ca="1">+WORLDCUP!BD63</f>
        <v>Japón</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España</v>
      </c>
      <c r="D219" s="9" t="str">
        <f ca="1">+WORLDCUP!BD67</f>
        <v>Jordania</v>
      </c>
      <c r="E219" s="9" t="str">
        <f ca="1">+WORLDCUP!BD62</f>
        <v>Ecuador</v>
      </c>
      <c r="F219" s="9" t="str">
        <f ca="1">+WORLDCUP!BD60</f>
        <v>Escocia</v>
      </c>
      <c r="G219" s="9" t="str">
        <f ca="1">+WORLDCUP!BD58</f>
        <v>República Checa</v>
      </c>
      <c r="H219" s="9" t="str">
        <f ca="1">+WORLDCUP!BD63</f>
        <v>Japón</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España</v>
      </c>
      <c r="D220" s="9" t="str">
        <f ca="1">+WORLDCUP!BD67</f>
        <v>Jordania</v>
      </c>
      <c r="E220" s="9" t="str">
        <f ca="1">+WORLDCUP!BD62</f>
        <v>Ecuador</v>
      </c>
      <c r="F220" s="9" t="str">
        <f ca="1">+WORLDCUP!BD60</f>
        <v>Escocia</v>
      </c>
      <c r="G220" s="9" t="str">
        <f ca="1">+WORLDCUP!BD58</f>
        <v>República Checa</v>
      </c>
      <c r="H220" s="9" t="str">
        <f ca="1">+WORLDCUP!BD63</f>
        <v>Japón</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Bélgica</v>
      </c>
      <c r="E221" s="9" t="str">
        <f ca="1">+WORLDCUP!BD67</f>
        <v>Jordania</v>
      </c>
      <c r="F221" s="9" t="str">
        <f ca="1">+WORLDCUP!BD60</f>
        <v>Escocia</v>
      </c>
      <c r="G221" s="9" t="str">
        <f ca="1">+WORLDCUP!BD58</f>
        <v>República Checa</v>
      </c>
      <c r="H221" s="9" t="str">
        <f ca="1">+WORLDCUP!BD63</f>
        <v>Japón</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Bélgica</v>
      </c>
      <c r="E222" s="9" t="str">
        <f ca="1">+WORLDCUP!BD66</f>
        <v>Senegal</v>
      </c>
      <c r="F222" s="9" t="str">
        <f ca="1">+WORLDCUP!BD60</f>
        <v>Escocia</v>
      </c>
      <c r="G222" s="9" t="str">
        <f ca="1">+WORLDCUP!BD58</f>
        <v>República Checa</v>
      </c>
      <c r="H222" s="9" t="str">
        <f ca="1">+WORLDCUP!BD63</f>
        <v>Japón</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Bélgica</v>
      </c>
      <c r="E223" s="9" t="str">
        <f ca="1">+WORLDCUP!BD67</f>
        <v>Jordania</v>
      </c>
      <c r="F223" s="9" t="str">
        <f ca="1">+WORLDCUP!BD60</f>
        <v>Escocia</v>
      </c>
      <c r="G223" s="9" t="str">
        <f ca="1">+WORLDCUP!BD58</f>
        <v>República Checa</v>
      </c>
      <c r="H223" s="9" t="str">
        <f ca="1">+WORLDCUP!BD63</f>
        <v>Japón</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Bélgica</v>
      </c>
      <c r="E224" s="9" t="str">
        <f ca="1">+WORLDCUP!BD67</f>
        <v>Jordania</v>
      </c>
      <c r="F224" s="9" t="str">
        <f ca="1">+WORLDCUP!BD60</f>
        <v>Escocia</v>
      </c>
      <c r="G224" s="9" t="str">
        <f ca="1">+WORLDCUP!BD58</f>
        <v>República Checa</v>
      </c>
      <c r="H224" s="9" t="str">
        <f ca="1">+WORLDCUP!BD63</f>
        <v>Japón</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España</v>
      </c>
      <c r="D225" s="9" t="str">
        <f ca="1">+WORLDCUP!BD64</f>
        <v>Bélgica</v>
      </c>
      <c r="E225" s="9" t="str">
        <f ca="1">+WORLDCUP!BD62</f>
        <v>Ecuador</v>
      </c>
      <c r="F225" s="9" t="str">
        <f ca="1">+WORLDCUP!BD60</f>
        <v>Escocia</v>
      </c>
      <c r="G225" s="9" t="str">
        <f ca="1">+WORLDCUP!BD58</f>
        <v>República Checa</v>
      </c>
      <c r="H225" s="9" t="str">
        <f ca="1">+WORLDCUP!BD63</f>
        <v>Japón</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España</v>
      </c>
      <c r="D226" s="9" t="str">
        <f ca="1">+WORLDCUP!BD64</f>
        <v>Bélgica</v>
      </c>
      <c r="E226" s="9" t="str">
        <f ca="1">+WORLDCUP!BD67</f>
        <v>Jordania</v>
      </c>
      <c r="F226" s="9" t="str">
        <f ca="1">+WORLDCUP!BD60</f>
        <v>Escocia</v>
      </c>
      <c r="G226" s="9" t="str">
        <f ca="1">+WORLDCUP!BD58</f>
        <v>República Checa</v>
      </c>
      <c r="H226" s="9" t="str">
        <f ca="1">+WORLDCUP!BD63</f>
        <v>Japón</v>
      </c>
      <c r="I226" s="9" t="str">
        <f ca="1">+WORLDCUP!BD69</f>
        <v>Panamá</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España</v>
      </c>
      <c r="D227" s="9" t="str">
        <f ca="1">+WORLDCUP!BD64</f>
        <v>Bélgica</v>
      </c>
      <c r="E227" s="9" t="str">
        <f ca="1">+WORLDCUP!BD67</f>
        <v>Jordania</v>
      </c>
      <c r="F227" s="9" t="str">
        <f ca="1">+WORLDCUP!BD60</f>
        <v>Escocia</v>
      </c>
      <c r="G227" s="9" t="str">
        <f ca="1">+WORLDCUP!BD58</f>
        <v>República Checa</v>
      </c>
      <c r="H227" s="9" t="str">
        <f ca="1">+WORLDCUP!BD63</f>
        <v>Japón</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España</v>
      </c>
      <c r="D228" s="9" t="str">
        <f ca="1">+WORLDCUP!BD64</f>
        <v>Bélgica</v>
      </c>
      <c r="E228" s="9" t="str">
        <f ca="1">+WORLDCUP!BD62</f>
        <v>Ecuador</v>
      </c>
      <c r="F228" s="9" t="str">
        <f ca="1">+WORLDCUP!BD60</f>
        <v>Escocia</v>
      </c>
      <c r="G228" s="9" t="str">
        <f ca="1">+WORLDCUP!BD58</f>
        <v>República Checa</v>
      </c>
      <c r="H228" s="9" t="str">
        <f ca="1">+WORLDCUP!BD63</f>
        <v>Japón</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España</v>
      </c>
      <c r="D229" s="9" t="str">
        <f ca="1">+WORLDCUP!BD64</f>
        <v>Bélgica</v>
      </c>
      <c r="E229" s="9" t="str">
        <f ca="1">+WORLDCUP!BD62</f>
        <v>Ecuador</v>
      </c>
      <c r="F229" s="9" t="str">
        <f ca="1">+WORLDCUP!BD60</f>
        <v>Escocia</v>
      </c>
      <c r="G229" s="9" t="str">
        <f ca="1">+WORLDCUP!BD58</f>
        <v>República Checa</v>
      </c>
      <c r="H229" s="9" t="str">
        <f ca="1">+WORLDCUP!BD63</f>
        <v>Japón</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España</v>
      </c>
      <c r="D230" s="9" t="str">
        <f ca="1">+WORLDCUP!BD64</f>
        <v>Bélgica</v>
      </c>
      <c r="E230" s="9" t="str">
        <f ca="1">+WORLDCUP!BD67</f>
        <v>Jordania</v>
      </c>
      <c r="F230" s="9" t="str">
        <f ca="1">+WORLDCUP!BD60</f>
        <v>Escocia</v>
      </c>
      <c r="G230" s="9" t="str">
        <f ca="1">+WORLDCUP!BD58</f>
        <v>República Checa</v>
      </c>
      <c r="H230" s="9" t="str">
        <f ca="1">+WORLDCUP!BD63</f>
        <v>Japón</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España</v>
      </c>
      <c r="D231" s="9" t="str">
        <f ca="1">+WORLDCUP!BD67</f>
        <v>Jordania</v>
      </c>
      <c r="E231" s="9" t="str">
        <f ca="1">+WORLDCUP!BD66</f>
        <v>Senegal</v>
      </c>
      <c r="F231" s="9" t="str">
        <f ca="1">+WORLDCUP!BD60</f>
        <v>Escocia</v>
      </c>
      <c r="G231" s="9" t="str">
        <f ca="1">+WORLDCUP!BD58</f>
        <v>República Checa</v>
      </c>
      <c r="H231" s="9" t="str">
        <f ca="1">+WORLDCUP!BD61</f>
        <v>Paraguay</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Bélgica</v>
      </c>
      <c r="E232" s="9" t="str">
        <f ca="1">+WORLDCUP!BD67</f>
        <v>Jordania</v>
      </c>
      <c r="F232" s="9" t="str">
        <f ca="1">+WORLDCUP!BD60</f>
        <v>Escocia</v>
      </c>
      <c r="G232" s="9" t="str">
        <f ca="1">+WORLDCUP!BD58</f>
        <v>República Checa</v>
      </c>
      <c r="H232" s="9" t="str">
        <f ca="1">+WORLDCUP!BD61</f>
        <v>Paraguay</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España</v>
      </c>
      <c r="D233" s="9" t="str">
        <f ca="1">+WORLDCUP!BD64</f>
        <v>Bélgica</v>
      </c>
      <c r="E233" s="9" t="str">
        <f ca="1">+WORLDCUP!BD67</f>
        <v>Jordania</v>
      </c>
      <c r="F233" s="9" t="str">
        <f ca="1">+WORLDCUP!BD60</f>
        <v>Escocia</v>
      </c>
      <c r="G233" s="9" t="str">
        <f ca="1">+WORLDCUP!BD58</f>
        <v>República Checa</v>
      </c>
      <c r="H233" s="9" t="str">
        <f ca="1">+WORLDCUP!BD61</f>
        <v>Paraguay</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España</v>
      </c>
      <c r="D234" s="9" t="str">
        <f ca="1">+WORLDCUP!BD64</f>
        <v>Bélgica</v>
      </c>
      <c r="E234" s="9" t="str">
        <f ca="1">+WORLDCUP!BD66</f>
        <v>Senegal</v>
      </c>
      <c r="F234" s="9" t="str">
        <f ca="1">+WORLDCUP!BD60</f>
        <v>Escocia</v>
      </c>
      <c r="G234" s="9" t="str">
        <f ca="1">+WORLDCUP!BD58</f>
        <v>República Checa</v>
      </c>
      <c r="H234" s="9" t="str">
        <f ca="1">+WORLDCUP!BD61</f>
        <v>Paraguay</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España</v>
      </c>
      <c r="D235" s="9" t="str">
        <f ca="1">+WORLDCUP!BD64</f>
        <v>Bélgica</v>
      </c>
      <c r="E235" s="9" t="str">
        <f ca="1">+WORLDCUP!BD67</f>
        <v>Jordania</v>
      </c>
      <c r="F235" s="9" t="str">
        <f ca="1">+WORLDCUP!BD60</f>
        <v>Escocia</v>
      </c>
      <c r="G235" s="9" t="str">
        <f ca="1">+WORLDCUP!BD58</f>
        <v>República Checa</v>
      </c>
      <c r="H235" s="9" t="str">
        <f ca="1">+WORLDCUP!BD61</f>
        <v>Paraguay</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España</v>
      </c>
      <c r="D236" s="9" t="str">
        <f ca="1">+WORLDCUP!BD64</f>
        <v>Bélgica</v>
      </c>
      <c r="E236" s="9" t="str">
        <f ca="1">+WORLDCUP!BD67</f>
        <v>Jordania</v>
      </c>
      <c r="F236" s="9" t="str">
        <f ca="1">+WORLDCUP!BD60</f>
        <v>Escocia</v>
      </c>
      <c r="G236" s="9" t="str">
        <f ca="1">+WORLDCUP!BD58</f>
        <v>República Checa</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Paraguay</v>
      </c>
      <c r="G237" s="9" t="str">
        <f ca="1">+WORLDCUP!BD58</f>
        <v>República Checa</v>
      </c>
      <c r="H237" s="9" t="str">
        <f ca="1">+WORLDCUP!BD63</f>
        <v>Japón</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España</v>
      </c>
      <c r="D238" s="9" t="str">
        <f ca="1">+WORLDCUP!BD67</f>
        <v>Jordania</v>
      </c>
      <c r="E238" s="9" t="str">
        <f ca="1">+WORLDCUP!BD63</f>
        <v>Japón</v>
      </c>
      <c r="F238" s="9" t="str">
        <f ca="1">+WORLDCUP!BD60</f>
        <v>Escocia</v>
      </c>
      <c r="G238" s="9" t="str">
        <f ca="1">+WORLDCUP!BD58</f>
        <v>República Checa</v>
      </c>
      <c r="H238" s="9" t="str">
        <f ca="1">+WORLDCUP!BD61</f>
        <v>Paraguay</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España</v>
      </c>
      <c r="D239" s="9" t="str">
        <f ca="1">+WORLDCUP!BD63</f>
        <v>Japón</v>
      </c>
      <c r="E239" s="9" t="str">
        <f ca="1">+WORLDCUP!BD66</f>
        <v>Senegal</v>
      </c>
      <c r="F239" s="9" t="str">
        <f ca="1">+WORLDCUP!BD60</f>
        <v>Escocia</v>
      </c>
      <c r="G239" s="9" t="str">
        <f ca="1">+WORLDCUP!BD58</f>
        <v>República Checa</v>
      </c>
      <c r="H239" s="9" t="str">
        <f ca="1">+WORLDCUP!BD61</f>
        <v>Paraguay</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España</v>
      </c>
      <c r="D240" s="9" t="str">
        <f ca="1">+WORLDCUP!BD67</f>
        <v>Jordania</v>
      </c>
      <c r="E240" s="9" t="str">
        <f ca="1">+WORLDCUP!BD63</f>
        <v>Japón</v>
      </c>
      <c r="F240" s="9" t="str">
        <f ca="1">+WORLDCUP!BD60</f>
        <v>Escocia</v>
      </c>
      <c r="G240" s="9" t="str">
        <f ca="1">+WORLDCUP!BD58</f>
        <v>República Checa</v>
      </c>
      <c r="H240" s="9" t="str">
        <f ca="1">+WORLDCUP!BD61</f>
        <v>Paraguay</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España</v>
      </c>
      <c r="D241" s="9" t="str">
        <f ca="1">+WORLDCUP!BD67</f>
        <v>Jordania</v>
      </c>
      <c r="E241" s="9" t="str">
        <f ca="1">+WORLDCUP!BD63</f>
        <v>Japón</v>
      </c>
      <c r="F241" s="9" t="str">
        <f ca="1">+WORLDCUP!BD60</f>
        <v>Escocia</v>
      </c>
      <c r="G241" s="9" t="str">
        <f ca="1">+WORLDCUP!BD58</f>
        <v>República Checa</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Bélgica</v>
      </c>
      <c r="E242" s="9" t="str">
        <f ca="1">+WORLDCUP!BD67</f>
        <v>Jordania</v>
      </c>
      <c r="F242" s="9" t="str">
        <f ca="1">+WORLDCUP!BD61</f>
        <v>Paraguay</v>
      </c>
      <c r="G242" s="9" t="str">
        <f ca="1">+WORLDCUP!BD58</f>
        <v>República Checa</v>
      </c>
      <c r="H242" s="9" t="str">
        <f ca="1">+WORLDCUP!BD63</f>
        <v>Japón</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Bélgica</v>
      </c>
      <c r="E243" s="9" t="str">
        <f ca="1">+WORLDCUP!BD66</f>
        <v>Senegal</v>
      </c>
      <c r="F243" s="9" t="str">
        <f ca="1">+WORLDCUP!BD61</f>
        <v>Paraguay</v>
      </c>
      <c r="G243" s="9" t="str">
        <f ca="1">+WORLDCUP!BD58</f>
        <v>República Checa</v>
      </c>
      <c r="H243" s="9" t="str">
        <f ca="1">+WORLDCUP!BD63</f>
        <v>Japón</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Bélgica</v>
      </c>
      <c r="E244" s="9" t="str">
        <f ca="1">+WORLDCUP!BD67</f>
        <v>Jordania</v>
      </c>
      <c r="F244" s="9" t="str">
        <f ca="1">+WORLDCUP!BD61</f>
        <v>Paraguay</v>
      </c>
      <c r="G244" s="9" t="str">
        <f ca="1">+WORLDCUP!BD58</f>
        <v>República Checa</v>
      </c>
      <c r="H244" s="9" t="str">
        <f ca="1">+WORLDCUP!BD63</f>
        <v>Japón</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Bélgica</v>
      </c>
      <c r="E245" s="9" t="str">
        <f ca="1">+WORLDCUP!BD67</f>
        <v>Jordania</v>
      </c>
      <c r="F245" s="9" t="str">
        <f ca="1">+WORLDCUP!BD61</f>
        <v>Paraguay</v>
      </c>
      <c r="G245" s="9" t="str">
        <f ca="1">+WORLDCUP!BD58</f>
        <v>República Checa</v>
      </c>
      <c r="H245" s="9" t="str">
        <f ca="1">+WORLDCUP!BD63</f>
        <v>Japón</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España</v>
      </c>
      <c r="D246" s="9" t="str">
        <f ca="1">+WORLDCUP!BD64</f>
        <v>Bélgica</v>
      </c>
      <c r="E246" s="9" t="str">
        <f ca="1">+WORLDCUP!BD63</f>
        <v>Japón</v>
      </c>
      <c r="F246" s="9" t="str">
        <f ca="1">+WORLDCUP!BD60</f>
        <v>Escocia</v>
      </c>
      <c r="G246" s="9" t="str">
        <f ca="1">+WORLDCUP!BD58</f>
        <v>República Checa</v>
      </c>
      <c r="H246" s="9" t="str">
        <f ca="1">+WORLDCUP!BD61</f>
        <v>Paraguay</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Bélgica</v>
      </c>
      <c r="E247" s="9" t="str">
        <f ca="1">+WORLDCUP!BD67</f>
        <v>Jordania</v>
      </c>
      <c r="F247" s="9" t="str">
        <f ca="1">+WORLDCUP!BD61</f>
        <v>Paraguay</v>
      </c>
      <c r="G247" s="9" t="str">
        <f ca="1">+WORLDCUP!BD58</f>
        <v>República Checa</v>
      </c>
      <c r="H247" s="9" t="str">
        <f ca="1">+WORLDCUP!BD63</f>
        <v>Japón</v>
      </c>
      <c r="I247" s="9" t="str">
        <f ca="1">+WORLDCUP!BD69</f>
        <v>Panamá</v>
      </c>
      <c r="J247" s="9" t="str">
        <f ca="1">+WORLDCUP!BD65</f>
        <v>España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España</v>
      </c>
      <c r="D248" s="9" t="str">
        <f ca="1">+WORLDCUP!BD64</f>
        <v>Bélgica</v>
      </c>
      <c r="E248" s="9" t="str">
        <f ca="1">+WORLDCUP!BD67</f>
        <v>Jordania</v>
      </c>
      <c r="F248" s="9" t="str">
        <f ca="1">+WORLDCUP!BD60</f>
        <v>Escocia</v>
      </c>
      <c r="G248" s="9" t="str">
        <f ca="1">+WORLDCUP!BD58</f>
        <v>República Checa</v>
      </c>
      <c r="H248" s="9" t="str">
        <f ca="1">+WORLDCUP!BD63</f>
        <v>Japón</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España</v>
      </c>
      <c r="D249" s="9" t="str">
        <f ca="1">+WORLDCUP!BD64</f>
        <v>Bélgica</v>
      </c>
      <c r="E249" s="9" t="str">
        <f ca="1">+WORLDCUP!BD63</f>
        <v>Japón</v>
      </c>
      <c r="F249" s="9" t="str">
        <f ca="1">+WORLDCUP!BD60</f>
        <v>Escocia</v>
      </c>
      <c r="G249" s="9" t="str">
        <f ca="1">+WORLDCUP!BD58</f>
        <v>República Checa</v>
      </c>
      <c r="H249" s="9" t="str">
        <f ca="1">+WORLDCUP!BD61</f>
        <v>Paraguay</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España</v>
      </c>
      <c r="D250" s="9" t="str">
        <f ca="1">+WORLDCUP!BD64</f>
        <v>Bélgica</v>
      </c>
      <c r="E250" s="9" t="str">
        <f ca="1">+WORLDCUP!BD63</f>
        <v>Japón</v>
      </c>
      <c r="F250" s="9" t="str">
        <f ca="1">+WORLDCUP!BD60</f>
        <v>Escocia</v>
      </c>
      <c r="G250" s="9" t="str">
        <f ca="1">+WORLDCUP!BD58</f>
        <v>República Checa</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España</v>
      </c>
      <c r="D251" s="9" t="str">
        <f ca="1">+WORLDCUP!BD64</f>
        <v>Bélgica</v>
      </c>
      <c r="E251" s="9" t="str">
        <f ca="1">+WORLDCUP!BD67</f>
        <v>Jordania</v>
      </c>
      <c r="F251" s="9" t="str">
        <f ca="1">+WORLDCUP!BD60</f>
        <v>Escocia</v>
      </c>
      <c r="G251" s="9" t="str">
        <f ca="1">+WORLDCUP!BD58</f>
        <v>República Checa</v>
      </c>
      <c r="H251" s="9" t="str">
        <f ca="1">+WORLDCUP!BD63</f>
        <v>Japón</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Jordania</v>
      </c>
      <c r="E252" s="9" t="str">
        <f ca="1">+WORLDCUP!BD66</f>
        <v>Senegal</v>
      </c>
      <c r="F252" s="9" t="str">
        <f ca="1">+WORLDCUP!BD60</f>
        <v>Escocia</v>
      </c>
      <c r="G252" s="9" t="str">
        <f ca="1">+WORLDCUP!BD58</f>
        <v>República Checa</v>
      </c>
      <c r="H252" s="9" t="str">
        <f ca="1">+WORLDCUP!BD61</f>
        <v>Paraguay</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España</v>
      </c>
      <c r="D253" s="9" t="str">
        <f ca="1">+WORLDCUP!BD67</f>
        <v>Jordania</v>
      </c>
      <c r="E253" s="9" t="str">
        <f ca="1">+WORLDCUP!BD62</f>
        <v>Ecuador</v>
      </c>
      <c r="F253" s="9" t="str">
        <f ca="1">+WORLDCUP!BD60</f>
        <v>Escocia</v>
      </c>
      <c r="G253" s="9" t="str">
        <f ca="1">+WORLDCUP!BD58</f>
        <v>República Checa</v>
      </c>
      <c r="H253" s="9" t="str">
        <f ca="1">+WORLDCUP!BD61</f>
        <v>Paraguay</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España</v>
      </c>
      <c r="D254" s="9" t="str">
        <f ca="1">+WORLDCUP!BD62</f>
        <v>Ecuador</v>
      </c>
      <c r="E254" s="9" t="str">
        <f ca="1">+WORLDCUP!BD66</f>
        <v>Senegal</v>
      </c>
      <c r="F254" s="9" t="str">
        <f ca="1">+WORLDCUP!BD60</f>
        <v>Escocia</v>
      </c>
      <c r="G254" s="9" t="str">
        <f ca="1">+WORLDCUP!BD58</f>
        <v>República Checa</v>
      </c>
      <c r="H254" s="9" t="str">
        <f ca="1">+WORLDCUP!BD61</f>
        <v>Paraguay</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España</v>
      </c>
      <c r="D255" s="9" t="str">
        <f ca="1">+WORLDCUP!BD67</f>
        <v>Jordania</v>
      </c>
      <c r="E255" s="9" t="str">
        <f ca="1">+WORLDCUP!BD62</f>
        <v>Ecuador</v>
      </c>
      <c r="F255" s="9" t="str">
        <f ca="1">+WORLDCUP!BD60</f>
        <v>Escocia</v>
      </c>
      <c r="G255" s="9" t="str">
        <f ca="1">+WORLDCUP!BD58</f>
        <v>República Checa</v>
      </c>
      <c r="H255" s="9" t="str">
        <f ca="1">+WORLDCUP!BD61</f>
        <v>Paraguay</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España</v>
      </c>
      <c r="D256" s="9" t="str">
        <f ca="1">+WORLDCUP!BD67</f>
        <v>Jordania</v>
      </c>
      <c r="E256" s="9" t="str">
        <f ca="1">+WORLDCUP!BD62</f>
        <v>Ecuador</v>
      </c>
      <c r="F256" s="9" t="str">
        <f ca="1">+WORLDCUP!BD60</f>
        <v>Escocia</v>
      </c>
      <c r="G256" s="9" t="str">
        <f ca="1">+WORLDCUP!BD58</f>
        <v>República Checa</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Bélgica</v>
      </c>
      <c r="E257" s="9" t="str">
        <f ca="1">+WORLDCUP!BD67</f>
        <v>Jordania</v>
      </c>
      <c r="F257" s="9" t="str">
        <f ca="1">+WORLDCUP!BD60</f>
        <v>Escocia</v>
      </c>
      <c r="G257" s="9" t="str">
        <f ca="1">+WORLDCUP!BD58</f>
        <v>República Checa</v>
      </c>
      <c r="H257" s="9" t="str">
        <f ca="1">+WORLDCUP!BD61</f>
        <v>Paraguay</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Bélgica</v>
      </c>
      <c r="E258" s="9" t="str">
        <f ca="1">+WORLDCUP!BD66</f>
        <v>Senegal</v>
      </c>
      <c r="F258" s="9" t="str">
        <f ca="1">+WORLDCUP!BD60</f>
        <v>Escocia</v>
      </c>
      <c r="G258" s="9" t="str">
        <f ca="1">+WORLDCUP!BD58</f>
        <v>República Checa</v>
      </c>
      <c r="H258" s="9" t="str">
        <f ca="1">+WORLDCUP!BD61</f>
        <v>Paraguay</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Bélgica</v>
      </c>
      <c r="E259" s="9" t="str">
        <f ca="1">+WORLDCUP!BD67</f>
        <v>Jordania</v>
      </c>
      <c r="F259" s="9" t="str">
        <f ca="1">+WORLDCUP!BD60</f>
        <v>Escocia</v>
      </c>
      <c r="G259" s="9" t="str">
        <f ca="1">+WORLDCUP!BD58</f>
        <v>República Checa</v>
      </c>
      <c r="H259" s="9" t="str">
        <f ca="1">+WORLDCUP!BD61</f>
        <v>Paraguay</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Bélgica</v>
      </c>
      <c r="E260" s="9" t="str">
        <f ca="1">+WORLDCUP!BD67</f>
        <v>Jordania</v>
      </c>
      <c r="F260" s="9" t="str">
        <f ca="1">+WORLDCUP!BD60</f>
        <v>Escocia</v>
      </c>
      <c r="G260" s="9" t="str">
        <f ca="1">+WORLDCUP!BD58</f>
        <v>República Checa</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España</v>
      </c>
      <c r="D261" s="9" t="str">
        <f ca="1">+WORLDCUP!BD64</f>
        <v>Bélgica</v>
      </c>
      <c r="E261" s="9" t="str">
        <f ca="1">+WORLDCUP!BD62</f>
        <v>Ecuador</v>
      </c>
      <c r="F261" s="9" t="str">
        <f ca="1">+WORLDCUP!BD60</f>
        <v>Escocia</v>
      </c>
      <c r="G261" s="9" t="str">
        <f ca="1">+WORLDCUP!BD58</f>
        <v>República Checa</v>
      </c>
      <c r="H261" s="9" t="str">
        <f ca="1">+WORLDCUP!BD61</f>
        <v>Paraguay</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España</v>
      </c>
      <c r="D262" s="9" t="str">
        <f ca="1">+WORLDCUP!BD64</f>
        <v>Bélgica</v>
      </c>
      <c r="E262" s="9" t="str">
        <f ca="1">+WORLDCUP!BD67</f>
        <v>Jordania</v>
      </c>
      <c r="F262" s="9" t="str">
        <f ca="1">+WORLDCUP!BD60</f>
        <v>Escocia</v>
      </c>
      <c r="G262" s="9" t="str">
        <f ca="1">+WORLDCUP!BD58</f>
        <v>República Checa</v>
      </c>
      <c r="H262" s="9" t="str">
        <f ca="1">+WORLDCUP!BD61</f>
        <v>Paraguay</v>
      </c>
      <c r="I262" s="9" t="str">
        <f ca="1">+WORLDCUP!BD69</f>
        <v>Panamá</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España</v>
      </c>
      <c r="D263" s="9" t="str">
        <f ca="1">+WORLDCUP!BD64</f>
        <v>Bélgica</v>
      </c>
      <c r="E263" s="9" t="str">
        <f ca="1">+WORLDCUP!BD67</f>
        <v>Jordania</v>
      </c>
      <c r="F263" s="9" t="str">
        <f ca="1">+WORLDCUP!BD60</f>
        <v>Escocia</v>
      </c>
      <c r="G263" s="9" t="str">
        <f ca="1">+WORLDCUP!BD58</f>
        <v>República Checa</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España</v>
      </c>
      <c r="D264" s="9" t="str">
        <f ca="1">+WORLDCUP!BD64</f>
        <v>Bélgica</v>
      </c>
      <c r="E264" s="9" t="str">
        <f ca="1">+WORLDCUP!BD62</f>
        <v>Ecuador</v>
      </c>
      <c r="F264" s="9" t="str">
        <f ca="1">+WORLDCUP!BD60</f>
        <v>Escocia</v>
      </c>
      <c r="G264" s="9" t="str">
        <f ca="1">+WORLDCUP!BD58</f>
        <v>República Checa</v>
      </c>
      <c r="H264" s="9" t="str">
        <f ca="1">+WORLDCUP!BD61</f>
        <v>Paraguay</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España</v>
      </c>
      <c r="D265" s="9" t="str">
        <f ca="1">+WORLDCUP!BD64</f>
        <v>Bélgica</v>
      </c>
      <c r="E265" s="9" t="str">
        <f ca="1">+WORLDCUP!BD62</f>
        <v>Ecuador</v>
      </c>
      <c r="F265" s="9" t="str">
        <f ca="1">+WORLDCUP!BD60</f>
        <v>Escocia</v>
      </c>
      <c r="G265" s="9" t="str">
        <f ca="1">+WORLDCUP!BD58</f>
        <v>República Checa</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España</v>
      </c>
      <c r="D266" s="9" t="str">
        <f ca="1">+WORLDCUP!BD64</f>
        <v>Bélgica</v>
      </c>
      <c r="E266" s="9" t="str">
        <f ca="1">+WORLDCUP!BD67</f>
        <v>Jordania</v>
      </c>
      <c r="F266" s="9" t="str">
        <f ca="1">+WORLDCUP!BD60</f>
        <v>Escocia</v>
      </c>
      <c r="G266" s="9" t="str">
        <f ca="1">+WORLDCUP!BD58</f>
        <v>República Checa</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Ecuador</v>
      </c>
      <c r="F267" s="9" t="str">
        <f ca="1">+WORLDCUP!BD61</f>
        <v>Paraguay</v>
      </c>
      <c r="G267" s="9" t="str">
        <f ca="1">+WORLDCUP!BD58</f>
        <v>República Checa</v>
      </c>
      <c r="H267" s="9" t="str">
        <f ca="1">+WORLDCUP!BD63</f>
        <v>Japón</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República Checa</v>
      </c>
      <c r="H268" s="9" t="str">
        <f ca="1">+WORLDCUP!BD63</f>
        <v>Japón</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Ecuador</v>
      </c>
      <c r="F269" s="9" t="str">
        <f ca="1">+WORLDCUP!BD61</f>
        <v>Paraguay</v>
      </c>
      <c r="G269" s="9" t="str">
        <f ca="1">+WORLDCUP!BD58</f>
        <v>República Checa</v>
      </c>
      <c r="H269" s="9" t="str">
        <f ca="1">+WORLDCUP!BD63</f>
        <v>Japón</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Ecuador</v>
      </c>
      <c r="F270" s="9" t="str">
        <f ca="1">+WORLDCUP!BD61</f>
        <v>Paraguay</v>
      </c>
      <c r="G270" s="9" t="str">
        <f ca="1">+WORLDCUP!BD58</f>
        <v>República Checa</v>
      </c>
      <c r="H270" s="9" t="str">
        <f ca="1">+WORLDCUP!BD63</f>
        <v>Japón</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España</v>
      </c>
      <c r="D271" s="9" t="str">
        <f ca="1">+WORLDCUP!BD62</f>
        <v>Ecuador</v>
      </c>
      <c r="E271" s="9" t="str">
        <f ca="1">+WORLDCUP!BD63</f>
        <v>Japón</v>
      </c>
      <c r="F271" s="9" t="str">
        <f ca="1">+WORLDCUP!BD60</f>
        <v>Escocia</v>
      </c>
      <c r="G271" s="9" t="str">
        <f ca="1">+WORLDCUP!BD58</f>
        <v>República Checa</v>
      </c>
      <c r="H271" s="9" t="str">
        <f ca="1">+WORLDCUP!BD61</f>
        <v>Paraguay</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España</v>
      </c>
      <c r="D272" s="9" t="str">
        <f ca="1">+WORLDCUP!BD67</f>
        <v>Jordania</v>
      </c>
      <c r="E272" s="9" t="str">
        <f ca="1">+WORLDCUP!BD63</f>
        <v>Japón</v>
      </c>
      <c r="F272" s="9" t="str">
        <f ca="1">+WORLDCUP!BD60</f>
        <v>Escocia</v>
      </c>
      <c r="G272" s="9" t="str">
        <f ca="1">+WORLDCUP!BD58</f>
        <v>República Checa</v>
      </c>
      <c r="H272" s="9" t="str">
        <f ca="1">+WORLDCUP!BD61</f>
        <v>Paraguay</v>
      </c>
      <c r="I272" s="9" t="str">
        <f ca="1">+WORLDCUP!BD69</f>
        <v>Panamá</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España</v>
      </c>
      <c r="D273" s="9" t="str">
        <f ca="1">+WORLDCUP!BD67</f>
        <v>Jordania</v>
      </c>
      <c r="E273" s="9" t="str">
        <f ca="1">+WORLDCUP!BD62</f>
        <v>Ecuador</v>
      </c>
      <c r="F273" s="9" t="str">
        <f ca="1">+WORLDCUP!BD60</f>
        <v>Escocia</v>
      </c>
      <c r="G273" s="9" t="str">
        <f ca="1">+WORLDCUP!BD58</f>
        <v>República Checa</v>
      </c>
      <c r="H273" s="9" t="str">
        <f ca="1">+WORLDCUP!BD63</f>
        <v>Japón</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España</v>
      </c>
      <c r="D274" s="9" t="str">
        <f ca="1">+WORLDCUP!BD62</f>
        <v>Ecuador</v>
      </c>
      <c r="E274" s="9" t="str">
        <f ca="1">+WORLDCUP!BD63</f>
        <v>Japón</v>
      </c>
      <c r="F274" s="9" t="str">
        <f ca="1">+WORLDCUP!BD60</f>
        <v>Escocia</v>
      </c>
      <c r="G274" s="9" t="str">
        <f ca="1">+WORLDCUP!BD58</f>
        <v>República Checa</v>
      </c>
      <c r="H274" s="9" t="str">
        <f ca="1">+WORLDCUP!BD61</f>
        <v>Paraguay</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España</v>
      </c>
      <c r="D275" s="9" t="str">
        <f ca="1">+WORLDCUP!BD62</f>
        <v>Ecuador</v>
      </c>
      <c r="E275" s="9" t="str">
        <f ca="1">+WORLDCUP!BD63</f>
        <v>Japón</v>
      </c>
      <c r="F275" s="9" t="str">
        <f ca="1">+WORLDCUP!BD60</f>
        <v>Escocia</v>
      </c>
      <c r="G275" s="9" t="str">
        <f ca="1">+WORLDCUP!BD58</f>
        <v>República Checa</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España</v>
      </c>
      <c r="D276" s="9" t="str">
        <f ca="1">+WORLDCUP!BD67</f>
        <v>Jordania</v>
      </c>
      <c r="E276" s="9" t="str">
        <f ca="1">+WORLDCUP!BD62</f>
        <v>Ecuador</v>
      </c>
      <c r="F276" s="9" t="str">
        <f ca="1">+WORLDCUP!BD60</f>
        <v>Escocia</v>
      </c>
      <c r="G276" s="9" t="str">
        <f ca="1">+WORLDCUP!BD58</f>
        <v>República Checa</v>
      </c>
      <c r="H276" s="9" t="str">
        <f ca="1">+WORLDCUP!BD63</f>
        <v>Japón</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Bélgica</v>
      </c>
      <c r="E277" s="9" t="str">
        <f ca="1">+WORLDCUP!BD62</f>
        <v>Ecuador</v>
      </c>
      <c r="F277" s="9" t="str">
        <f ca="1">+WORLDCUP!BD61</f>
        <v>Paraguay</v>
      </c>
      <c r="G277" s="9" t="str">
        <f ca="1">+WORLDCUP!BD58</f>
        <v>República Checa</v>
      </c>
      <c r="H277" s="9" t="str">
        <f ca="1">+WORLDCUP!BD63</f>
        <v>Japón</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Bélgica</v>
      </c>
      <c r="E278" s="9" t="str">
        <f ca="1">+WORLDCUP!BD67</f>
        <v>Jordania</v>
      </c>
      <c r="F278" s="9" t="str">
        <f ca="1">+WORLDCUP!BD61</f>
        <v>Paraguay</v>
      </c>
      <c r="G278" s="9" t="str">
        <f ca="1">+WORLDCUP!BD58</f>
        <v>República Checa</v>
      </c>
      <c r="H278" s="9" t="str">
        <f ca="1">+WORLDCUP!BD63</f>
        <v>Japón</v>
      </c>
      <c r="I278" s="9" t="str">
        <f ca="1">+WORLDCUP!BD69</f>
        <v>Panamá</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Bélgica</v>
      </c>
      <c r="E279" s="9" t="str">
        <f ca="1">+WORLDCUP!BD67</f>
        <v>Jordania</v>
      </c>
      <c r="F279" s="9" t="str">
        <f ca="1">+WORLDCUP!BD61</f>
        <v>Paraguay</v>
      </c>
      <c r="G279" s="9" t="str">
        <f ca="1">+WORLDCUP!BD58</f>
        <v>República Checa</v>
      </c>
      <c r="H279" s="9" t="str">
        <f ca="1">+WORLDCUP!BD63</f>
        <v>Japón</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Bélgica</v>
      </c>
      <c r="E280" s="9" t="str">
        <f ca="1">+WORLDCUP!BD62</f>
        <v>Ecuador</v>
      </c>
      <c r="F280" s="9" t="str">
        <f ca="1">+WORLDCUP!BD61</f>
        <v>Paraguay</v>
      </c>
      <c r="G280" s="9" t="str">
        <f ca="1">+WORLDCUP!BD58</f>
        <v>República Checa</v>
      </c>
      <c r="H280" s="9" t="str">
        <f ca="1">+WORLDCUP!BD63</f>
        <v>Japón</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Bélgica</v>
      </c>
      <c r="E281" s="9" t="str">
        <f ca="1">+WORLDCUP!BD62</f>
        <v>Ecuador</v>
      </c>
      <c r="F281" s="9" t="str">
        <f ca="1">+WORLDCUP!BD61</f>
        <v>Paraguay</v>
      </c>
      <c r="G281" s="9" t="str">
        <f ca="1">+WORLDCUP!BD58</f>
        <v>República Checa</v>
      </c>
      <c r="H281" s="9" t="str">
        <f ca="1">+WORLDCUP!BD63</f>
        <v>Japón</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Bélgica</v>
      </c>
      <c r="E282" s="9" t="str">
        <f ca="1">+WORLDCUP!BD67</f>
        <v>Jordania</v>
      </c>
      <c r="F282" s="9" t="str">
        <f ca="1">+WORLDCUP!BD61</f>
        <v>Paraguay</v>
      </c>
      <c r="G282" s="9" t="str">
        <f ca="1">+WORLDCUP!BD58</f>
        <v>República Checa</v>
      </c>
      <c r="H282" s="9" t="str">
        <f ca="1">+WORLDCUP!BD63</f>
        <v>Japón</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España</v>
      </c>
      <c r="D283" s="9" t="str">
        <f ca="1">+WORLDCUP!BD64</f>
        <v>Bélgica</v>
      </c>
      <c r="E283" s="9" t="str">
        <f ca="1">+WORLDCUP!BD63</f>
        <v>Japón</v>
      </c>
      <c r="F283" s="9" t="str">
        <f ca="1">+WORLDCUP!BD60</f>
        <v>Escocia</v>
      </c>
      <c r="G283" s="9" t="str">
        <f ca="1">+WORLDCUP!BD58</f>
        <v>República Checa</v>
      </c>
      <c r="H283" s="9" t="str">
        <f ca="1">+WORLDCUP!BD61</f>
        <v>Paraguay</v>
      </c>
      <c r="I283" s="9" t="str">
        <f ca="1">+WORLDCUP!BD69</f>
        <v>Panamá</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España</v>
      </c>
      <c r="D284" s="9" t="str">
        <f ca="1">+WORLDCUP!BD64</f>
        <v>Bélgica</v>
      </c>
      <c r="E284" s="9" t="str">
        <f ca="1">+WORLDCUP!BD62</f>
        <v>Ecuador</v>
      </c>
      <c r="F284" s="9" t="str">
        <f ca="1">+WORLDCUP!BD60</f>
        <v>Escocia</v>
      </c>
      <c r="G284" s="9" t="str">
        <f ca="1">+WORLDCUP!BD58</f>
        <v>República Checa</v>
      </c>
      <c r="H284" s="9" t="str">
        <f ca="1">+WORLDCUP!BD63</f>
        <v>Japón</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España</v>
      </c>
      <c r="D285" s="9" t="str">
        <f ca="1">+WORLDCUP!BD64</f>
        <v>Bélgica</v>
      </c>
      <c r="E285" s="9" t="str">
        <f ca="1">+WORLDCUP!BD67</f>
        <v>Jordania</v>
      </c>
      <c r="F285" s="9" t="str">
        <f ca="1">+WORLDCUP!BD60</f>
        <v>Escocia</v>
      </c>
      <c r="G285" s="9" t="str">
        <f ca="1">+WORLDCUP!BD58</f>
        <v>República Checa</v>
      </c>
      <c r="H285" s="9" t="str">
        <f ca="1">+WORLDCUP!BD63</f>
        <v>Japón</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España</v>
      </c>
      <c r="D286" s="9" t="str">
        <f ca="1">+WORLDCUP!BD64</f>
        <v>Bélgica</v>
      </c>
      <c r="E286" s="9" t="str">
        <f ca="1">+WORLDCUP!BD62</f>
        <v>Ecuador</v>
      </c>
      <c r="F286" s="9" t="str">
        <f ca="1">+WORLDCUP!BD60</f>
        <v>Escocia</v>
      </c>
      <c r="G286" s="9" t="str">
        <f ca="1">+WORLDCUP!BD58</f>
        <v>República Checa</v>
      </c>
      <c r="H286" s="9" t="str">
        <f ca="1">+WORLDCUP!BD63</f>
        <v>Japón</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España</v>
      </c>
      <c r="D287" s="9" t="str">
        <f ca="1">+WORLDCUP!BD67</f>
        <v>Jordania</v>
      </c>
      <c r="E287" s="9" t="str">
        <f ca="1">+WORLDCUP!BD59</f>
        <v>Bosnia y Herzegovina</v>
      </c>
      <c r="F287" s="9" t="str">
        <f ca="1">+WORLDCUP!BD58</f>
        <v>República Checa</v>
      </c>
      <c r="G287" s="9" t="str">
        <f ca="1">+WORLDCUP!BD66</f>
        <v>Senegal</v>
      </c>
      <c r="H287" s="9" t="str">
        <f ca="1">+WORLDCUP!BD64</f>
        <v>Bélgica</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España</v>
      </c>
      <c r="D288" s="9" t="str">
        <f ca="1">+WORLDCUP!BD67</f>
        <v>Jordania</v>
      </c>
      <c r="E288" s="9" t="str">
        <f ca="1">+WORLDCUP!BD59</f>
        <v>Bosnia y Herzegovina</v>
      </c>
      <c r="F288" s="9" t="str">
        <f ca="1">+WORLDCUP!BD58</f>
        <v>República Checa</v>
      </c>
      <c r="G288" s="9" t="str">
        <f ca="1">+WORLDCUP!BD66</f>
        <v>Senegal</v>
      </c>
      <c r="H288" s="9" t="str">
        <f ca="1">+WORLDCUP!BD63</f>
        <v>Japón</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Japón</v>
      </c>
      <c r="G289" s="9" t="str">
        <f ca="1">+WORLDCUP!BD58</f>
        <v>República Checa</v>
      </c>
      <c r="H289" s="9" t="str">
        <f ca="1">+WORLDCUP!BD64</f>
        <v>Bélgica</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España</v>
      </c>
      <c r="D290" s="9" t="str">
        <f ca="1">+WORLDCUP!BD67</f>
        <v>Jordania</v>
      </c>
      <c r="E290" s="9" t="str">
        <f ca="1">+WORLDCUP!BD59</f>
        <v>Bosnia y Herzegovina</v>
      </c>
      <c r="F290" s="9" t="str">
        <f ca="1">+WORLDCUP!BD63</f>
        <v>Japón</v>
      </c>
      <c r="G290" s="9" t="str">
        <f ca="1">+WORLDCUP!BD58</f>
        <v>República Checa</v>
      </c>
      <c r="H290" s="9" t="str">
        <f ca="1">+WORLDCUP!BD64</f>
        <v>Bélgica</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España</v>
      </c>
      <c r="D291" s="9" t="str">
        <f ca="1">+WORLDCUP!BD64</f>
        <v>Bélgica</v>
      </c>
      <c r="E291" s="9" t="str">
        <f ca="1">+WORLDCUP!BD59</f>
        <v>Bosnia y Herzegovina</v>
      </c>
      <c r="F291" s="9" t="str">
        <f ca="1">+WORLDCUP!BD58</f>
        <v>República Checa</v>
      </c>
      <c r="G291" s="9" t="str">
        <f ca="1">+WORLDCUP!BD66</f>
        <v>Senegal</v>
      </c>
      <c r="H291" s="9" t="str">
        <f ca="1">+WORLDCUP!BD63</f>
        <v>Japón</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España</v>
      </c>
      <c r="D292" s="9" t="str">
        <f ca="1">+WORLDCUP!BD67</f>
        <v>Jordania</v>
      </c>
      <c r="E292" s="9" t="str">
        <f ca="1">+WORLDCUP!BD59</f>
        <v>Bosnia y Herzegovina</v>
      </c>
      <c r="F292" s="9" t="str">
        <f ca="1">+WORLDCUP!BD63</f>
        <v>Japón</v>
      </c>
      <c r="G292" s="9" t="str">
        <f ca="1">+WORLDCUP!BD58</f>
        <v>República Checa</v>
      </c>
      <c r="H292" s="9" t="str">
        <f ca="1">+WORLDCUP!BD64</f>
        <v>Bélgica</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España</v>
      </c>
      <c r="D293" s="9" t="str">
        <f ca="1">+WORLDCUP!BD67</f>
        <v>Jordania</v>
      </c>
      <c r="E293" s="9" t="str">
        <f ca="1">+WORLDCUP!BD59</f>
        <v>Bosnia y Herzegovina</v>
      </c>
      <c r="F293" s="9" t="str">
        <f ca="1">+WORLDCUP!BD63</f>
        <v>Japón</v>
      </c>
      <c r="G293" s="9" t="str">
        <f ca="1">+WORLDCUP!BD58</f>
        <v>República Checa</v>
      </c>
      <c r="H293" s="9" t="str">
        <f ca="1">+WORLDCUP!BD64</f>
        <v>Bélgica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Jordania</v>
      </c>
      <c r="E294" s="9" t="str">
        <f ca="1">+WORLDCUP!BD59</f>
        <v>Bosnia y Herzegovina</v>
      </c>
      <c r="F294" s="9" t="str">
        <f ca="1">+WORLDCUP!BD58</f>
        <v>República Checa</v>
      </c>
      <c r="G294" s="9" t="str">
        <f ca="1">+WORLDCUP!BD66</f>
        <v>Senegal</v>
      </c>
      <c r="H294" s="9" t="str">
        <f ca="1">+WORLDCUP!BD65</f>
        <v>España</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Jordania</v>
      </c>
      <c r="E295" s="9" t="str">
        <f ca="1">+WORLDCUP!BD59</f>
        <v>Bosnia y Herzegovina</v>
      </c>
      <c r="F295" s="9" t="str">
        <f ca="1">+WORLDCUP!BD58</f>
        <v>República Checa</v>
      </c>
      <c r="G295" s="9" t="str">
        <f ca="1">+WORLDCUP!BD66</f>
        <v>Senegal</v>
      </c>
      <c r="H295" s="9" t="str">
        <f ca="1">+WORLDCUP!BD64</f>
        <v>Bélgica</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Jordania</v>
      </c>
      <c r="E296" s="9" t="str">
        <f ca="1">+WORLDCUP!BD59</f>
        <v>Bosnia y Herzegovina</v>
      </c>
      <c r="F296" s="9" t="str">
        <f ca="1">+WORLDCUP!BD58</f>
        <v>República Checa</v>
      </c>
      <c r="G296" s="9" t="str">
        <f ca="1">+WORLDCUP!BD65</f>
        <v>España</v>
      </c>
      <c r="H296" s="9" t="str">
        <f ca="1">+WORLDCUP!BD64</f>
        <v>Bélgica</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Bélgica</v>
      </c>
      <c r="E297" s="9" t="str">
        <f ca="1">+WORLDCUP!BD59</f>
        <v>Bosnia y Herzegovina</v>
      </c>
      <c r="F297" s="9" t="str">
        <f ca="1">+WORLDCUP!BD58</f>
        <v>República Checa</v>
      </c>
      <c r="G297" s="9" t="str">
        <f ca="1">+WORLDCUP!BD66</f>
        <v>Senegal</v>
      </c>
      <c r="H297" s="9" t="str">
        <f ca="1">+WORLDCUP!BD65</f>
        <v>España</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Jordania</v>
      </c>
      <c r="E298" s="9" t="str">
        <f ca="1">+WORLDCUP!BD59</f>
        <v>Bosnia y Herzegovina</v>
      </c>
      <c r="F298" s="9" t="str">
        <f ca="1">+WORLDCUP!BD58</f>
        <v>República Checa</v>
      </c>
      <c r="G298" s="9" t="str">
        <f ca="1">+WORLDCUP!BD65</f>
        <v>España</v>
      </c>
      <c r="H298" s="9" t="str">
        <f ca="1">+WORLDCUP!BD64</f>
        <v>Bélgica</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Jordania</v>
      </c>
      <c r="E299" s="9" t="str">
        <f ca="1">+WORLDCUP!BD59</f>
        <v>Bosnia y Herzegovina</v>
      </c>
      <c r="F299" s="9" t="str">
        <f ca="1">+WORLDCUP!BD58</f>
        <v>República Checa</v>
      </c>
      <c r="G299" s="9" t="str">
        <f ca="1">+WORLDCUP!BD65</f>
        <v>España</v>
      </c>
      <c r="H299" s="9" t="str">
        <f ca="1">+WORLDCUP!BD64</f>
        <v>Bélgica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Jordania</v>
      </c>
      <c r="E300" s="9" t="str">
        <f ca="1">+WORLDCUP!BD59</f>
        <v>Bosnia y Herzegovina</v>
      </c>
      <c r="F300" s="9" t="str">
        <f ca="1">+WORLDCUP!BD58</f>
        <v>República Checa</v>
      </c>
      <c r="G300" s="9" t="str">
        <f ca="1">+WORLDCUP!BD66</f>
        <v>Senegal</v>
      </c>
      <c r="H300" s="9" t="str">
        <f ca="1">+WORLDCUP!BD63</f>
        <v>Japón</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Jordania</v>
      </c>
      <c r="E301" s="9" t="str">
        <f ca="1">+WORLDCUP!BD59</f>
        <v>Bosnia y Herzegovina</v>
      </c>
      <c r="F301" s="9" t="str">
        <f ca="1">+WORLDCUP!BD63</f>
        <v>Japón</v>
      </c>
      <c r="G301" s="9" t="str">
        <f ca="1">+WORLDCUP!BD58</f>
        <v>República Checa</v>
      </c>
      <c r="H301" s="9" t="str">
        <f ca="1">+WORLDCUP!BD65</f>
        <v>España</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Japón</v>
      </c>
      <c r="G302" s="9" t="str">
        <f ca="1">+WORLDCUP!BD58</f>
        <v>República Checa</v>
      </c>
      <c r="H302" s="9" t="str">
        <f ca="1">+WORLDCUP!BD65</f>
        <v>España</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Jordania</v>
      </c>
      <c r="E303" s="9" t="str">
        <f ca="1">+WORLDCUP!BD59</f>
        <v>Bosnia y Herzegovina</v>
      </c>
      <c r="F303" s="9" t="str">
        <f ca="1">+WORLDCUP!BD63</f>
        <v>Japón</v>
      </c>
      <c r="G303" s="9" t="str">
        <f ca="1">+WORLDCUP!BD58</f>
        <v>República Checa</v>
      </c>
      <c r="H303" s="9" t="str">
        <f ca="1">+WORLDCUP!BD65</f>
        <v>España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Jordania</v>
      </c>
      <c r="E304" s="9" t="str">
        <f ca="1">+WORLDCUP!BD59</f>
        <v>Bosnia y Herzegovina</v>
      </c>
      <c r="F304" s="9" t="str">
        <f ca="1">+WORLDCUP!BD63</f>
        <v>Japón</v>
      </c>
      <c r="G304" s="9" t="str">
        <f ca="1">+WORLDCUP!BD58</f>
        <v>República Checa</v>
      </c>
      <c r="H304" s="9" t="str">
        <f ca="1">+WORLDCUP!BD65</f>
        <v>España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Jordania</v>
      </c>
      <c r="E305" s="9" t="str">
        <f ca="1">+WORLDCUP!BD59</f>
        <v>Bosnia y Herzegovina</v>
      </c>
      <c r="F305" s="9" t="str">
        <f ca="1">+WORLDCUP!BD63</f>
        <v>Japón</v>
      </c>
      <c r="G305" s="9" t="str">
        <f ca="1">+WORLDCUP!BD58</f>
        <v>República Checa</v>
      </c>
      <c r="H305" s="9" t="str">
        <f ca="1">+WORLDCUP!BD64</f>
        <v>Bélgica</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Bélgica</v>
      </c>
      <c r="E306" s="9" t="str">
        <f ca="1">+WORLDCUP!BD59</f>
        <v>Bosnia y Herzegovina</v>
      </c>
      <c r="F306" s="9" t="str">
        <f ca="1">+WORLDCUP!BD58</f>
        <v>República Checa</v>
      </c>
      <c r="G306" s="9" t="str">
        <f ca="1">+WORLDCUP!BD66</f>
        <v>Senegal</v>
      </c>
      <c r="H306" s="9" t="str">
        <f ca="1">+WORLDCUP!BD63</f>
        <v>Japón</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Jordania</v>
      </c>
      <c r="E307" s="9" t="str">
        <f ca="1">+WORLDCUP!BD59</f>
        <v>Bosnia y Herzegovina</v>
      </c>
      <c r="F307" s="9" t="str">
        <f ca="1">+WORLDCUP!BD63</f>
        <v>Japón</v>
      </c>
      <c r="G307" s="9" t="str">
        <f ca="1">+WORLDCUP!BD58</f>
        <v>República Checa</v>
      </c>
      <c r="H307" s="9" t="str">
        <f ca="1">+WORLDCUP!BD64</f>
        <v>Bélgica</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Jordania</v>
      </c>
      <c r="E308" s="9" t="str">
        <f ca="1">+WORLDCUP!BD59</f>
        <v>Bosnia y Herzegovina</v>
      </c>
      <c r="F308" s="9" t="str">
        <f ca="1">+WORLDCUP!BD63</f>
        <v>Japón</v>
      </c>
      <c r="G308" s="9" t="str">
        <f ca="1">+WORLDCUP!BD58</f>
        <v>República Checa</v>
      </c>
      <c r="H308" s="9" t="str">
        <f ca="1">+WORLDCUP!BD64</f>
        <v>Bélgica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Bélgica</v>
      </c>
      <c r="E309" s="9" t="str">
        <f ca="1">+WORLDCUP!BD59</f>
        <v>Bosnia y Herzegovina</v>
      </c>
      <c r="F309" s="9" t="str">
        <f ca="1">+WORLDCUP!BD63</f>
        <v>Japón</v>
      </c>
      <c r="G309" s="9" t="str">
        <f ca="1">+WORLDCUP!BD58</f>
        <v>República Checa</v>
      </c>
      <c r="H309" s="9" t="str">
        <f ca="1">+WORLDCUP!BD65</f>
        <v>España</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España</v>
      </c>
      <c r="D310" s="9" t="str">
        <f ca="1">+WORLDCUP!BD67</f>
        <v>Jordania</v>
      </c>
      <c r="E310" s="9" t="str">
        <f ca="1">+WORLDCUP!BD59</f>
        <v>Bosnia y Herzegovina</v>
      </c>
      <c r="F310" s="9" t="str">
        <f ca="1">+WORLDCUP!BD63</f>
        <v>Japón</v>
      </c>
      <c r="G310" s="9" t="str">
        <f ca="1">+WORLDCUP!BD58</f>
        <v>República Checa</v>
      </c>
      <c r="H310" s="9" t="str">
        <f ca="1">+WORLDCUP!BD64</f>
        <v>Bélgica</v>
      </c>
      <c r="I310" s="9" t="str">
        <f ca="1">+WORLDCUP!BD69</f>
        <v>Panamá</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España</v>
      </c>
      <c r="D311" s="9" t="str">
        <f ca="1">+WORLDCUP!BD67</f>
        <v>Jordania</v>
      </c>
      <c r="E311" s="9" t="str">
        <f ca="1">+WORLDCUP!BD59</f>
        <v>Bosnia y Herzegovina</v>
      </c>
      <c r="F311" s="9" t="str">
        <f ca="1">+WORLDCUP!BD63</f>
        <v>Japón</v>
      </c>
      <c r="G311" s="9" t="str">
        <f ca="1">+WORLDCUP!BD58</f>
        <v>República Checa</v>
      </c>
      <c r="H311" s="9" t="str">
        <f ca="1">+WORLDCUP!BD64</f>
        <v>Bélgica</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Bélgica</v>
      </c>
      <c r="E312" s="9" t="str">
        <f ca="1">+WORLDCUP!BD59</f>
        <v>Bosnia y Herzegovina</v>
      </c>
      <c r="F312" s="9" t="str">
        <f ca="1">+WORLDCUP!BD63</f>
        <v>Japón</v>
      </c>
      <c r="G312" s="9" t="str">
        <f ca="1">+WORLDCUP!BD58</f>
        <v>República Checa</v>
      </c>
      <c r="H312" s="9" t="str">
        <f ca="1">+WORLDCUP!BD65</f>
        <v>España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Bélgica</v>
      </c>
      <c r="E313" s="9" t="str">
        <f ca="1">+WORLDCUP!BD59</f>
        <v>Bosnia y Herzegovina</v>
      </c>
      <c r="F313" s="9" t="str">
        <f ca="1">+WORLDCUP!BD63</f>
        <v>Japón</v>
      </c>
      <c r="G313" s="9" t="str">
        <f ca="1">+WORLDCUP!BD58</f>
        <v>República Checa</v>
      </c>
      <c r="H313" s="9" t="str">
        <f ca="1">+WORLDCUP!BD65</f>
        <v>España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España</v>
      </c>
      <c r="D314" s="9" t="str">
        <f ca="1">+WORLDCUP!BD67</f>
        <v>Jordania</v>
      </c>
      <c r="E314" s="9" t="str">
        <f ca="1">+WORLDCUP!BD59</f>
        <v>Bosnia y Herzegovina</v>
      </c>
      <c r="F314" s="9" t="str">
        <f ca="1">+WORLDCUP!BD63</f>
        <v>Japón</v>
      </c>
      <c r="G314" s="9" t="str">
        <f ca="1">+WORLDCUP!BD58</f>
        <v>República Checa</v>
      </c>
      <c r="H314" s="9" t="str">
        <f ca="1">+WORLDCUP!BD64</f>
        <v>Bélgica</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Paraguay</v>
      </c>
      <c r="G315" s="9" t="str">
        <f ca="1">+WORLDCUP!BD58</f>
        <v>República Checa</v>
      </c>
      <c r="H315" s="9" t="str">
        <f ca="1">+WORLDCUP!BD65</f>
        <v>España</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Paraguay</v>
      </c>
      <c r="G316" s="9" t="str">
        <f ca="1">+WORLDCUP!BD58</f>
        <v>República Checa</v>
      </c>
      <c r="H316" s="9" t="str">
        <f ca="1">+WORLDCUP!BD64</f>
        <v>Bélgica</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España</v>
      </c>
      <c r="D317" s="9" t="str">
        <f ca="1">+WORLDCUP!BD67</f>
        <v>Jordania</v>
      </c>
      <c r="E317" s="9" t="str">
        <f ca="1">+WORLDCUP!BD59</f>
        <v>Bosnia y Herzegovina</v>
      </c>
      <c r="F317" s="9" t="str">
        <f ca="1">+WORLDCUP!BD61</f>
        <v>Paraguay</v>
      </c>
      <c r="G317" s="9" t="str">
        <f ca="1">+WORLDCUP!BD58</f>
        <v>República Checa</v>
      </c>
      <c r="H317" s="9" t="str">
        <f ca="1">+WORLDCUP!BD64</f>
        <v>Bélgica</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Bélgica</v>
      </c>
      <c r="E318" s="9" t="str">
        <f ca="1">+WORLDCUP!BD59</f>
        <v>Bosnia y Herzegovina</v>
      </c>
      <c r="F318" s="9" t="str">
        <f ca="1">+WORLDCUP!BD61</f>
        <v>Paraguay</v>
      </c>
      <c r="G318" s="9" t="str">
        <f ca="1">+WORLDCUP!BD58</f>
        <v>República Checa</v>
      </c>
      <c r="H318" s="9" t="str">
        <f ca="1">+WORLDCUP!BD65</f>
        <v>España</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España</v>
      </c>
      <c r="D319" s="9" t="str">
        <f ca="1">+WORLDCUP!BD67</f>
        <v>Jordania</v>
      </c>
      <c r="E319" s="9" t="str">
        <f ca="1">+WORLDCUP!BD59</f>
        <v>Bosnia y Herzegovina</v>
      </c>
      <c r="F319" s="9" t="str">
        <f ca="1">+WORLDCUP!BD61</f>
        <v>Paraguay</v>
      </c>
      <c r="G319" s="9" t="str">
        <f ca="1">+WORLDCUP!BD58</f>
        <v>República Checa</v>
      </c>
      <c r="H319" s="9" t="str">
        <f ca="1">+WORLDCUP!BD64</f>
        <v>Bélgica</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España</v>
      </c>
      <c r="D320" s="9" t="str">
        <f ca="1">+WORLDCUP!BD67</f>
        <v>Jordania</v>
      </c>
      <c r="E320" s="9" t="str">
        <f ca="1">+WORLDCUP!BD59</f>
        <v>Bosnia y Herzegovina</v>
      </c>
      <c r="F320" s="9" t="str">
        <f ca="1">+WORLDCUP!BD61</f>
        <v>Paraguay</v>
      </c>
      <c r="G320" s="9" t="str">
        <f ca="1">+WORLDCUP!BD58</f>
        <v>República Checa</v>
      </c>
      <c r="H320" s="9" t="str">
        <f ca="1">+WORLDCUP!BD64</f>
        <v>Bélgica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Paraguay</v>
      </c>
      <c r="G321" s="9" t="str">
        <f ca="1">+WORLDCUP!BD58</f>
        <v>República Checa</v>
      </c>
      <c r="H321" s="9" t="str">
        <f ca="1">+WORLDCUP!BD63</f>
        <v>Japón</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España</v>
      </c>
      <c r="D322" s="9" t="str">
        <f ca="1">+WORLDCUP!BD67</f>
        <v>Jordania</v>
      </c>
      <c r="E322" s="9" t="str">
        <f ca="1">+WORLDCUP!BD59</f>
        <v>Bosnia y Herzegovina</v>
      </c>
      <c r="F322" s="9" t="str">
        <f ca="1">+WORLDCUP!BD61</f>
        <v>Paraguay</v>
      </c>
      <c r="G322" s="9" t="str">
        <f ca="1">+WORLDCUP!BD58</f>
        <v>República Checa</v>
      </c>
      <c r="H322" s="9" t="str">
        <f ca="1">+WORLDCUP!BD63</f>
        <v>Japón</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España</v>
      </c>
      <c r="D323" s="9" t="str">
        <f ca="1">+WORLDCUP!BD66</f>
        <v>Senegal</v>
      </c>
      <c r="E323" s="9" t="str">
        <f ca="1">+WORLDCUP!BD59</f>
        <v>Bosnia y Herzegovina</v>
      </c>
      <c r="F323" s="9" t="str">
        <f ca="1">+WORLDCUP!BD61</f>
        <v>Paraguay</v>
      </c>
      <c r="G323" s="9" t="str">
        <f ca="1">+WORLDCUP!BD58</f>
        <v>República Checa</v>
      </c>
      <c r="H323" s="9" t="str">
        <f ca="1">+WORLDCUP!BD63</f>
        <v>Japón</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España</v>
      </c>
      <c r="D324" s="9" t="str">
        <f ca="1">+WORLDCUP!BD67</f>
        <v>Jordania</v>
      </c>
      <c r="E324" s="9" t="str">
        <f ca="1">+WORLDCUP!BD59</f>
        <v>Bosnia y Herzegovina</v>
      </c>
      <c r="F324" s="9" t="str">
        <f ca="1">+WORLDCUP!BD61</f>
        <v>Paraguay</v>
      </c>
      <c r="G324" s="9" t="str">
        <f ca="1">+WORLDCUP!BD58</f>
        <v>República Checa</v>
      </c>
      <c r="H324" s="9" t="str">
        <f ca="1">+WORLDCUP!BD63</f>
        <v>Japón</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España</v>
      </c>
      <c r="D325" s="9" t="str">
        <f ca="1">+WORLDCUP!BD67</f>
        <v>Jordania</v>
      </c>
      <c r="E325" s="9" t="str">
        <f ca="1">+WORLDCUP!BD59</f>
        <v>Bosnia y Herzegovina</v>
      </c>
      <c r="F325" s="9" t="str">
        <f ca="1">+WORLDCUP!BD61</f>
        <v>Paraguay</v>
      </c>
      <c r="G325" s="9" t="str">
        <f ca="1">+WORLDCUP!BD58</f>
        <v>República Checa</v>
      </c>
      <c r="H325" s="9" t="str">
        <f ca="1">+WORLDCUP!BD63</f>
        <v>Japón</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Japón</v>
      </c>
      <c r="D326" s="9" t="str">
        <f ca="1">+WORLDCUP!BD67</f>
        <v>Jordania</v>
      </c>
      <c r="E326" s="9" t="str">
        <f ca="1">+WORLDCUP!BD59</f>
        <v>Bosnia y Herzegovina</v>
      </c>
      <c r="F326" s="9" t="str">
        <f ca="1">+WORLDCUP!BD61</f>
        <v>Paraguay</v>
      </c>
      <c r="G326" s="9" t="str">
        <f ca="1">+WORLDCUP!BD58</f>
        <v>República Checa</v>
      </c>
      <c r="H326" s="9" t="str">
        <f ca="1">+WORLDCUP!BD64</f>
        <v>Bélgica</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Bélgica</v>
      </c>
      <c r="E327" s="9" t="str">
        <f ca="1">+WORLDCUP!BD59</f>
        <v>Bosnia y Herzegovina</v>
      </c>
      <c r="F327" s="9" t="str">
        <f ca="1">+WORLDCUP!BD61</f>
        <v>Paraguay</v>
      </c>
      <c r="G327" s="9" t="str">
        <f ca="1">+WORLDCUP!BD58</f>
        <v>República Checa</v>
      </c>
      <c r="H327" s="9" t="str">
        <f ca="1">+WORLDCUP!BD63</f>
        <v>Japón</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Japón</v>
      </c>
      <c r="D328" s="9" t="str">
        <f ca="1">+WORLDCUP!BD67</f>
        <v>Jordania</v>
      </c>
      <c r="E328" s="9" t="str">
        <f ca="1">+WORLDCUP!BD59</f>
        <v>Bosnia y Herzegovina</v>
      </c>
      <c r="F328" s="9" t="str">
        <f ca="1">+WORLDCUP!BD61</f>
        <v>Paraguay</v>
      </c>
      <c r="G328" s="9" t="str">
        <f ca="1">+WORLDCUP!BD58</f>
        <v>República Checa</v>
      </c>
      <c r="H328" s="9" t="str">
        <f ca="1">+WORLDCUP!BD64</f>
        <v>Bélgica</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Japón</v>
      </c>
      <c r="D329" s="9" t="str">
        <f ca="1">+WORLDCUP!BD67</f>
        <v>Jordania</v>
      </c>
      <c r="E329" s="9" t="str">
        <f ca="1">+WORLDCUP!BD59</f>
        <v>Bosnia y Herzegovina</v>
      </c>
      <c r="F329" s="9" t="str">
        <f ca="1">+WORLDCUP!BD61</f>
        <v>Paraguay</v>
      </c>
      <c r="G329" s="9" t="str">
        <f ca="1">+WORLDCUP!BD58</f>
        <v>República Checa</v>
      </c>
      <c r="H329" s="9" t="str">
        <f ca="1">+WORLDCUP!BD64</f>
        <v>Bélgica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España</v>
      </c>
      <c r="D330" s="9" t="str">
        <f ca="1">+WORLDCUP!BD64</f>
        <v>Bélgica</v>
      </c>
      <c r="E330" s="9" t="str">
        <f ca="1">+WORLDCUP!BD59</f>
        <v>Bosnia y Herzegovina</v>
      </c>
      <c r="F330" s="9" t="str">
        <f ca="1">+WORLDCUP!BD61</f>
        <v>Paraguay</v>
      </c>
      <c r="G330" s="9" t="str">
        <f ca="1">+WORLDCUP!BD58</f>
        <v>República Checa</v>
      </c>
      <c r="H330" s="9" t="str">
        <f ca="1">+WORLDCUP!BD63</f>
        <v>Japón</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España</v>
      </c>
      <c r="D331" s="9" t="str">
        <f ca="1">+WORLDCUP!BD64</f>
        <v>Bélgica</v>
      </c>
      <c r="E331" s="9" t="str">
        <f ca="1">+WORLDCUP!BD59</f>
        <v>Bosnia y Herzegovina</v>
      </c>
      <c r="F331" s="9" t="str">
        <f ca="1">+WORLDCUP!BD61</f>
        <v>Paraguay</v>
      </c>
      <c r="G331" s="9" t="str">
        <f ca="1">+WORLDCUP!BD58</f>
        <v>República Checa</v>
      </c>
      <c r="H331" s="9" t="str">
        <f ca="1">+WORLDCUP!BD63</f>
        <v>Japón</v>
      </c>
      <c r="I331" s="9" t="str">
        <f ca="1">+WORLDCUP!BD69</f>
        <v>Panamá</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España</v>
      </c>
      <c r="D332" s="9" t="str">
        <f ca="1">+WORLDCUP!BD64</f>
        <v>Bélgica</v>
      </c>
      <c r="E332" s="9" t="str">
        <f ca="1">+WORLDCUP!BD59</f>
        <v>Bosnia y Herzegovina</v>
      </c>
      <c r="F332" s="9" t="str">
        <f ca="1">+WORLDCUP!BD61</f>
        <v>Paraguay</v>
      </c>
      <c r="G332" s="9" t="str">
        <f ca="1">+WORLDCUP!BD58</f>
        <v>República Checa</v>
      </c>
      <c r="H332" s="9" t="str">
        <f ca="1">+WORLDCUP!BD63</f>
        <v>Japón</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España</v>
      </c>
      <c r="D333" s="9" t="str">
        <f ca="1">+WORLDCUP!BD64</f>
        <v>Bélgica</v>
      </c>
      <c r="E333" s="9" t="str">
        <f ca="1">+WORLDCUP!BD59</f>
        <v>Bosnia y Herzegovina</v>
      </c>
      <c r="F333" s="9" t="str">
        <f ca="1">+WORLDCUP!BD61</f>
        <v>Paraguay</v>
      </c>
      <c r="G333" s="9" t="str">
        <f ca="1">+WORLDCUP!BD58</f>
        <v>República Checa</v>
      </c>
      <c r="H333" s="9" t="str">
        <f ca="1">+WORLDCUP!BD63</f>
        <v>Japón</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España</v>
      </c>
      <c r="D334" s="9" t="str">
        <f ca="1">+WORLDCUP!BD64</f>
        <v>Bélgica</v>
      </c>
      <c r="E334" s="9" t="str">
        <f ca="1">+WORLDCUP!BD59</f>
        <v>Bosnia y Herzegovina</v>
      </c>
      <c r="F334" s="9" t="str">
        <f ca="1">+WORLDCUP!BD61</f>
        <v>Paraguay</v>
      </c>
      <c r="G334" s="9" t="str">
        <f ca="1">+WORLDCUP!BD58</f>
        <v>República Checa</v>
      </c>
      <c r="H334" s="9" t="str">
        <f ca="1">+WORLDCUP!BD63</f>
        <v>Japón</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España</v>
      </c>
      <c r="D335" s="9" t="str">
        <f ca="1">+WORLDCUP!BD64</f>
        <v>Bélgica</v>
      </c>
      <c r="E335" s="9" t="str">
        <f ca="1">+WORLDCUP!BD59</f>
        <v>Bosnia y Herzegovina</v>
      </c>
      <c r="F335" s="9" t="str">
        <f ca="1">+WORLDCUP!BD61</f>
        <v>Paraguay</v>
      </c>
      <c r="G335" s="9" t="str">
        <f ca="1">+WORLDCUP!BD58</f>
        <v>República Checa</v>
      </c>
      <c r="H335" s="9" t="str">
        <f ca="1">+WORLDCUP!BD63</f>
        <v>Japón</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Jordania</v>
      </c>
      <c r="E336" s="9" t="str">
        <f ca="1">+WORLDCUP!BD59</f>
        <v>Bosnia y Herzegovina</v>
      </c>
      <c r="F336" s="9" t="str">
        <f ca="1">+WORLDCUP!BD58</f>
        <v>República Checa</v>
      </c>
      <c r="G336" s="9" t="str">
        <f ca="1">+WORLDCUP!BD66</f>
        <v>Senegal</v>
      </c>
      <c r="H336" s="9" t="str">
        <f ca="1">+WORLDCUP!BD61</f>
        <v>Paraguay</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Jordania</v>
      </c>
      <c r="E337" s="9" t="str">
        <f ca="1">+WORLDCUP!BD59</f>
        <v>Bosnia y Herzegovina</v>
      </c>
      <c r="F337" s="9" t="str">
        <f ca="1">+WORLDCUP!BD61</f>
        <v>Paraguay</v>
      </c>
      <c r="G337" s="9" t="str">
        <f ca="1">+WORLDCUP!BD58</f>
        <v>República Checa</v>
      </c>
      <c r="H337" s="9" t="str">
        <f ca="1">+WORLDCUP!BD65</f>
        <v>España</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República Checa</v>
      </c>
      <c r="H338" s="9" t="str">
        <f ca="1">+WORLDCUP!BD65</f>
        <v>España</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Jordania</v>
      </c>
      <c r="E339" s="9" t="str">
        <f ca="1">+WORLDCUP!BD59</f>
        <v>Bosnia y Herzegovina</v>
      </c>
      <c r="F339" s="9" t="str">
        <f ca="1">+WORLDCUP!BD61</f>
        <v>Paraguay</v>
      </c>
      <c r="G339" s="9" t="str">
        <f ca="1">+WORLDCUP!BD58</f>
        <v>República Checa</v>
      </c>
      <c r="H339" s="9" t="str">
        <f ca="1">+WORLDCUP!BD65</f>
        <v>España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Jordania</v>
      </c>
      <c r="E340" s="9" t="str">
        <f ca="1">+WORLDCUP!BD59</f>
        <v>Bosnia y Herzegovina</v>
      </c>
      <c r="F340" s="9" t="str">
        <f ca="1">+WORLDCUP!BD61</f>
        <v>Paraguay</v>
      </c>
      <c r="G340" s="9" t="str">
        <f ca="1">+WORLDCUP!BD58</f>
        <v>República Checa</v>
      </c>
      <c r="H340" s="9" t="str">
        <f ca="1">+WORLDCUP!BD65</f>
        <v>España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Jordania</v>
      </c>
      <c r="E341" s="9" t="str">
        <f ca="1">+WORLDCUP!BD59</f>
        <v>Bosnia y Herzegovina</v>
      </c>
      <c r="F341" s="9" t="str">
        <f ca="1">+WORLDCUP!BD61</f>
        <v>Paraguay</v>
      </c>
      <c r="G341" s="9" t="str">
        <f ca="1">+WORLDCUP!BD58</f>
        <v>República Checa</v>
      </c>
      <c r="H341" s="9" t="str">
        <f ca="1">+WORLDCUP!BD64</f>
        <v>Bélgica</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Bélgica</v>
      </c>
      <c r="E342" s="9" t="str">
        <f ca="1">+WORLDCUP!BD59</f>
        <v>Bosnia y Herzegovina</v>
      </c>
      <c r="F342" s="9" t="str">
        <f ca="1">+WORLDCUP!BD58</f>
        <v>República Checa</v>
      </c>
      <c r="G342" s="9" t="str">
        <f ca="1">+WORLDCUP!BD66</f>
        <v>Senegal</v>
      </c>
      <c r="H342" s="9" t="str">
        <f ca="1">+WORLDCUP!BD61</f>
        <v>Paraguay</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Jordania</v>
      </c>
      <c r="E343" s="9" t="str">
        <f ca="1">+WORLDCUP!BD59</f>
        <v>Bosnia y Herzegovina</v>
      </c>
      <c r="F343" s="9" t="str">
        <f ca="1">+WORLDCUP!BD61</f>
        <v>Paraguay</v>
      </c>
      <c r="G343" s="9" t="str">
        <f ca="1">+WORLDCUP!BD58</f>
        <v>República Checa</v>
      </c>
      <c r="H343" s="9" t="str">
        <f ca="1">+WORLDCUP!BD64</f>
        <v>Bélgica</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Jordania</v>
      </c>
      <c r="E344" s="9" t="str">
        <f ca="1">+WORLDCUP!BD59</f>
        <v>Bosnia y Herzegovina</v>
      </c>
      <c r="F344" s="9" t="str">
        <f ca="1">+WORLDCUP!BD61</f>
        <v>Paraguay</v>
      </c>
      <c r="G344" s="9" t="str">
        <f ca="1">+WORLDCUP!BD58</f>
        <v>República Checa</v>
      </c>
      <c r="H344" s="9" t="str">
        <f ca="1">+WORLDCUP!BD64</f>
        <v>Bélgica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Bélgica</v>
      </c>
      <c r="E345" s="9" t="str">
        <f ca="1">+WORLDCUP!BD59</f>
        <v>Bosnia y Herzegovina</v>
      </c>
      <c r="F345" s="9" t="str">
        <f ca="1">+WORLDCUP!BD61</f>
        <v>Paraguay</v>
      </c>
      <c r="G345" s="9" t="str">
        <f ca="1">+WORLDCUP!BD58</f>
        <v>República Checa</v>
      </c>
      <c r="H345" s="9" t="str">
        <f ca="1">+WORLDCUP!BD65</f>
        <v>España</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España</v>
      </c>
      <c r="D346" s="9" t="str">
        <f ca="1">+WORLDCUP!BD67</f>
        <v>Jordania</v>
      </c>
      <c r="E346" s="9" t="str">
        <f ca="1">+WORLDCUP!BD59</f>
        <v>Bosnia y Herzegovina</v>
      </c>
      <c r="F346" s="9" t="str">
        <f ca="1">+WORLDCUP!BD61</f>
        <v>Paraguay</v>
      </c>
      <c r="G346" s="9" t="str">
        <f ca="1">+WORLDCUP!BD58</f>
        <v>República Checa</v>
      </c>
      <c r="H346" s="9" t="str">
        <f ca="1">+WORLDCUP!BD64</f>
        <v>Bélgica</v>
      </c>
      <c r="I346" s="9" t="str">
        <f ca="1">+WORLDCUP!BD69</f>
        <v>Panamá</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España</v>
      </c>
      <c r="D347" s="9" t="str">
        <f ca="1">+WORLDCUP!BD67</f>
        <v>Jordania</v>
      </c>
      <c r="E347" s="9" t="str">
        <f ca="1">+WORLDCUP!BD59</f>
        <v>Bosnia y Herzegovina</v>
      </c>
      <c r="F347" s="9" t="str">
        <f ca="1">+WORLDCUP!BD61</f>
        <v>Paraguay</v>
      </c>
      <c r="G347" s="9" t="str">
        <f ca="1">+WORLDCUP!BD58</f>
        <v>República Checa</v>
      </c>
      <c r="H347" s="9" t="str">
        <f ca="1">+WORLDCUP!BD64</f>
        <v>Bélgica</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Bélgica</v>
      </c>
      <c r="E348" s="9" t="str">
        <f ca="1">+WORLDCUP!BD59</f>
        <v>Bosnia y Herzegovina</v>
      </c>
      <c r="F348" s="9" t="str">
        <f ca="1">+WORLDCUP!BD61</f>
        <v>Paraguay</v>
      </c>
      <c r="G348" s="9" t="str">
        <f ca="1">+WORLDCUP!BD58</f>
        <v>República Checa</v>
      </c>
      <c r="H348" s="9" t="str">
        <f ca="1">+WORLDCUP!BD65</f>
        <v>España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Bélgica</v>
      </c>
      <c r="E349" s="9" t="str">
        <f ca="1">+WORLDCUP!BD59</f>
        <v>Bosnia y Herzegovina</v>
      </c>
      <c r="F349" s="9" t="str">
        <f ca="1">+WORLDCUP!BD61</f>
        <v>Paraguay</v>
      </c>
      <c r="G349" s="9" t="str">
        <f ca="1">+WORLDCUP!BD58</f>
        <v>República Checa</v>
      </c>
      <c r="H349" s="9" t="str">
        <f ca="1">+WORLDCUP!BD65</f>
        <v>España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España</v>
      </c>
      <c r="D350" s="9" t="str">
        <f ca="1">+WORLDCUP!BD67</f>
        <v>Jordania</v>
      </c>
      <c r="E350" s="9" t="str">
        <f ca="1">+WORLDCUP!BD59</f>
        <v>Bosnia y Herzegovina</v>
      </c>
      <c r="F350" s="9" t="str">
        <f ca="1">+WORLDCUP!BD61</f>
        <v>Paraguay</v>
      </c>
      <c r="G350" s="9" t="str">
        <f ca="1">+WORLDCUP!BD58</f>
        <v>República Checa</v>
      </c>
      <c r="H350" s="9" t="str">
        <f ca="1">+WORLDCUP!BD64</f>
        <v>Bélgica</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Jordania</v>
      </c>
      <c r="E351" s="9" t="str">
        <f ca="1">+WORLDCUP!BD59</f>
        <v>Bosnia y Herzegovina</v>
      </c>
      <c r="F351" s="9" t="str">
        <f ca="1">+WORLDCUP!BD61</f>
        <v>Paraguay</v>
      </c>
      <c r="G351" s="9" t="str">
        <f ca="1">+WORLDCUP!BD58</f>
        <v>República Checa</v>
      </c>
      <c r="H351" s="9" t="str">
        <f ca="1">+WORLDCUP!BD63</f>
        <v>Japón</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República Checa</v>
      </c>
      <c r="H352" s="9" t="str">
        <f ca="1">+WORLDCUP!BD63</f>
        <v>Japón</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Jordania</v>
      </c>
      <c r="E353" s="9" t="str">
        <f ca="1">+WORLDCUP!BD59</f>
        <v>Bosnia y Herzegovina</v>
      </c>
      <c r="F353" s="9" t="str">
        <f ca="1">+WORLDCUP!BD61</f>
        <v>Paraguay</v>
      </c>
      <c r="G353" s="9" t="str">
        <f ca="1">+WORLDCUP!BD58</f>
        <v>República Checa</v>
      </c>
      <c r="H353" s="9" t="str">
        <f ca="1">+WORLDCUP!BD63</f>
        <v>Japón</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Jordania</v>
      </c>
      <c r="E354" s="9" t="str">
        <f ca="1">+WORLDCUP!BD59</f>
        <v>Bosnia y Herzegovina</v>
      </c>
      <c r="F354" s="9" t="str">
        <f ca="1">+WORLDCUP!BD61</f>
        <v>Paraguay</v>
      </c>
      <c r="G354" s="9" t="str">
        <f ca="1">+WORLDCUP!BD58</f>
        <v>República Checa</v>
      </c>
      <c r="H354" s="9" t="str">
        <f ca="1">+WORLDCUP!BD63</f>
        <v>Japón</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España</v>
      </c>
      <c r="D355" s="9" t="str">
        <f ca="1">+WORLDCUP!BD62</f>
        <v>Ecuador</v>
      </c>
      <c r="E355" s="9" t="str">
        <f ca="1">+WORLDCUP!BD59</f>
        <v>Bosnia y Herzegovina</v>
      </c>
      <c r="F355" s="9" t="str">
        <f ca="1">+WORLDCUP!BD61</f>
        <v>Paraguay</v>
      </c>
      <c r="G355" s="9" t="str">
        <f ca="1">+WORLDCUP!BD58</f>
        <v>República Checa</v>
      </c>
      <c r="H355" s="9" t="str">
        <f ca="1">+WORLDCUP!BD63</f>
        <v>Japón</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España</v>
      </c>
      <c r="D356" s="9" t="str">
        <f ca="1">+WORLDCUP!BD67</f>
        <v>Jordania</v>
      </c>
      <c r="E356" s="9" t="str">
        <f ca="1">+WORLDCUP!BD59</f>
        <v>Bosnia y Herzegovina</v>
      </c>
      <c r="F356" s="9" t="str">
        <f ca="1">+WORLDCUP!BD61</f>
        <v>Paraguay</v>
      </c>
      <c r="G356" s="9" t="str">
        <f ca="1">+WORLDCUP!BD58</f>
        <v>República Checa</v>
      </c>
      <c r="H356" s="9" t="str">
        <f ca="1">+WORLDCUP!BD63</f>
        <v>Japón</v>
      </c>
      <c r="I356" s="9" t="str">
        <f ca="1">+WORLDCUP!BD69</f>
        <v>Panamá</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España</v>
      </c>
      <c r="D357" s="9" t="str">
        <f ca="1">+WORLDCUP!BD67</f>
        <v>Jordania</v>
      </c>
      <c r="E357" s="9" t="str">
        <f ca="1">+WORLDCUP!BD59</f>
        <v>Bosnia y Herzegovina</v>
      </c>
      <c r="F357" s="9" t="str">
        <f ca="1">+WORLDCUP!BD61</f>
        <v>Paraguay</v>
      </c>
      <c r="G357" s="9" t="str">
        <f ca="1">+WORLDCUP!BD58</f>
        <v>República Checa</v>
      </c>
      <c r="H357" s="9" t="str">
        <f ca="1">+WORLDCUP!BD63</f>
        <v>Japón</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España</v>
      </c>
      <c r="D358" s="9" t="str">
        <f ca="1">+WORLDCUP!BD62</f>
        <v>Ecuador</v>
      </c>
      <c r="E358" s="9" t="str">
        <f ca="1">+WORLDCUP!BD59</f>
        <v>Bosnia y Herzegovina</v>
      </c>
      <c r="F358" s="9" t="str">
        <f ca="1">+WORLDCUP!BD61</f>
        <v>Paraguay</v>
      </c>
      <c r="G358" s="9" t="str">
        <f ca="1">+WORLDCUP!BD58</f>
        <v>República Checa</v>
      </c>
      <c r="H358" s="9" t="str">
        <f ca="1">+WORLDCUP!BD63</f>
        <v>Japón</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España</v>
      </c>
      <c r="D359" s="9" t="str">
        <f ca="1">+WORLDCUP!BD62</f>
        <v>Ecuador</v>
      </c>
      <c r="E359" s="9" t="str">
        <f ca="1">+WORLDCUP!BD59</f>
        <v>Bosnia y Herzegovina</v>
      </c>
      <c r="F359" s="9" t="str">
        <f ca="1">+WORLDCUP!BD61</f>
        <v>Paraguay</v>
      </c>
      <c r="G359" s="9" t="str">
        <f ca="1">+WORLDCUP!BD58</f>
        <v>República Checa</v>
      </c>
      <c r="H359" s="9" t="str">
        <f ca="1">+WORLDCUP!BD63</f>
        <v>Japón</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España</v>
      </c>
      <c r="D360" s="9" t="str">
        <f ca="1">+WORLDCUP!BD67</f>
        <v>Jordania</v>
      </c>
      <c r="E360" s="9" t="str">
        <f ca="1">+WORLDCUP!BD59</f>
        <v>Bosnia y Herzegovina</v>
      </c>
      <c r="F360" s="9" t="str">
        <f ca="1">+WORLDCUP!BD61</f>
        <v>Paraguay</v>
      </c>
      <c r="G360" s="9" t="str">
        <f ca="1">+WORLDCUP!BD58</f>
        <v>República Checa</v>
      </c>
      <c r="H360" s="9" t="str">
        <f ca="1">+WORLDCUP!BD63</f>
        <v>Japón</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Bélgica</v>
      </c>
      <c r="E361" s="9" t="str">
        <f ca="1">+WORLDCUP!BD59</f>
        <v>Bosnia y Herzegovina</v>
      </c>
      <c r="F361" s="9" t="str">
        <f ca="1">+WORLDCUP!BD61</f>
        <v>Paraguay</v>
      </c>
      <c r="G361" s="9" t="str">
        <f ca="1">+WORLDCUP!BD58</f>
        <v>República Checa</v>
      </c>
      <c r="H361" s="9" t="str">
        <f ca="1">+WORLDCUP!BD63</f>
        <v>Japón</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Bélgica</v>
      </c>
      <c r="E362" s="9" t="str">
        <f ca="1">+WORLDCUP!BD59</f>
        <v>Bosnia y Herzegovina</v>
      </c>
      <c r="F362" s="9" t="str">
        <f ca="1">+WORLDCUP!BD61</f>
        <v>Paraguay</v>
      </c>
      <c r="G362" s="9" t="str">
        <f ca="1">+WORLDCUP!BD58</f>
        <v>República Checa</v>
      </c>
      <c r="H362" s="9" t="str">
        <f ca="1">+WORLDCUP!BD63</f>
        <v>Japón</v>
      </c>
      <c r="I362" s="9" t="str">
        <f ca="1">+WORLDCUP!BD69</f>
        <v>Panamá</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Bélgica</v>
      </c>
      <c r="E363" s="9" t="str">
        <f ca="1">+WORLDCUP!BD59</f>
        <v>Bosnia y Herzegovina</v>
      </c>
      <c r="F363" s="9" t="str">
        <f ca="1">+WORLDCUP!BD61</f>
        <v>Paraguay</v>
      </c>
      <c r="G363" s="9" t="str">
        <f ca="1">+WORLDCUP!BD58</f>
        <v>República Checa</v>
      </c>
      <c r="H363" s="9" t="str">
        <f ca="1">+WORLDCUP!BD63</f>
        <v>Japón</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Bélgica</v>
      </c>
      <c r="E364" s="9" t="str">
        <f ca="1">+WORLDCUP!BD59</f>
        <v>Bosnia y Herzegovina</v>
      </c>
      <c r="F364" s="9" t="str">
        <f ca="1">+WORLDCUP!BD61</f>
        <v>Paraguay</v>
      </c>
      <c r="G364" s="9" t="str">
        <f ca="1">+WORLDCUP!BD58</f>
        <v>República Checa</v>
      </c>
      <c r="H364" s="9" t="str">
        <f ca="1">+WORLDCUP!BD63</f>
        <v>Japón</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Bélgica</v>
      </c>
      <c r="E365" s="9" t="str">
        <f ca="1">+WORLDCUP!BD59</f>
        <v>Bosnia y Herzegovina</v>
      </c>
      <c r="F365" s="9" t="str">
        <f ca="1">+WORLDCUP!BD61</f>
        <v>Paraguay</v>
      </c>
      <c r="G365" s="9" t="str">
        <f ca="1">+WORLDCUP!BD58</f>
        <v>República Checa</v>
      </c>
      <c r="H365" s="9" t="str">
        <f ca="1">+WORLDCUP!BD63</f>
        <v>Japón</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Bélgica</v>
      </c>
      <c r="E366" s="9" t="str">
        <f ca="1">+WORLDCUP!BD59</f>
        <v>Bosnia y Herzegovina</v>
      </c>
      <c r="F366" s="9" t="str">
        <f ca="1">+WORLDCUP!BD61</f>
        <v>Paraguay</v>
      </c>
      <c r="G366" s="9" t="str">
        <f ca="1">+WORLDCUP!BD58</f>
        <v>República Checa</v>
      </c>
      <c r="H366" s="9" t="str">
        <f ca="1">+WORLDCUP!BD63</f>
        <v>Japón</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España</v>
      </c>
      <c r="D367" s="9" t="str">
        <f ca="1">+WORLDCUP!BD64</f>
        <v>Bélgica</v>
      </c>
      <c r="E367" s="9" t="str">
        <f ca="1">+WORLDCUP!BD59</f>
        <v>Bosnia y Herzegovina</v>
      </c>
      <c r="F367" s="9" t="str">
        <f ca="1">+WORLDCUP!BD61</f>
        <v>Paraguay</v>
      </c>
      <c r="G367" s="9" t="str">
        <f ca="1">+WORLDCUP!BD58</f>
        <v>República Checa</v>
      </c>
      <c r="H367" s="9" t="str">
        <f ca="1">+WORLDCUP!BD63</f>
        <v>Japón</v>
      </c>
      <c r="I367" s="9" t="str">
        <f ca="1">+WORLDCUP!BD69</f>
        <v>Panamá</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España</v>
      </c>
      <c r="D368" s="9" t="str">
        <f ca="1">+WORLDCUP!BD64</f>
        <v>Bélgica</v>
      </c>
      <c r="E368" s="9" t="str">
        <f ca="1">+WORLDCUP!BD59</f>
        <v>Bosnia y Herzegovina</v>
      </c>
      <c r="F368" s="9" t="str">
        <f ca="1">+WORLDCUP!BD61</f>
        <v>Paraguay</v>
      </c>
      <c r="G368" s="9" t="str">
        <f ca="1">+WORLDCUP!BD58</f>
        <v>República Checa</v>
      </c>
      <c r="H368" s="9" t="str">
        <f ca="1">+WORLDCUP!BD63</f>
        <v>Japón</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España</v>
      </c>
      <c r="D369" s="9" t="str">
        <f ca="1">+WORLDCUP!BD64</f>
        <v>Bélgica</v>
      </c>
      <c r="E369" s="9" t="str">
        <f ca="1">+WORLDCUP!BD59</f>
        <v>Bosnia y Herzegovina</v>
      </c>
      <c r="F369" s="9" t="str">
        <f ca="1">+WORLDCUP!BD61</f>
        <v>Paraguay</v>
      </c>
      <c r="G369" s="9" t="str">
        <f ca="1">+WORLDCUP!BD58</f>
        <v>República Checa</v>
      </c>
      <c r="H369" s="9" t="str">
        <f ca="1">+WORLDCUP!BD63</f>
        <v>Japón</v>
      </c>
      <c r="I369" s="9" t="str">
        <f ca="1">+WORLDCUP!BD62</f>
        <v>Ecuador</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España</v>
      </c>
      <c r="D370" s="9" t="str">
        <f ca="1">+WORLDCUP!BD64</f>
        <v>Bélgica</v>
      </c>
      <c r="E370" s="9" t="str">
        <f ca="1">+WORLDCUP!BD59</f>
        <v>Bosnia y Herzegovina</v>
      </c>
      <c r="F370" s="9" t="str">
        <f ca="1">+WORLDCUP!BD61</f>
        <v>Paraguay</v>
      </c>
      <c r="G370" s="9" t="str">
        <f ca="1">+WORLDCUP!BD58</f>
        <v>República Checa</v>
      </c>
      <c r="H370" s="9" t="str">
        <f ca="1">+WORLDCUP!BD63</f>
        <v>Japón</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España</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Bélgica</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España</v>
      </c>
      <c r="D373" s="9" t="str">
        <f ca="1">+WORLDCUP!BD67</f>
        <v>Jordania</v>
      </c>
      <c r="E373" s="9" t="str">
        <f ca="1">+WORLDCUP!BD59</f>
        <v>Bosnia y Herzegovina</v>
      </c>
      <c r="F373" s="9" t="str">
        <f ca="1">+WORLDCUP!BD60</f>
        <v>Escocia</v>
      </c>
      <c r="G373" s="9" t="str">
        <f ca="1">+WORLDCUP!BD58</f>
        <v>República Checa</v>
      </c>
      <c r="H373" s="9" t="str">
        <f ca="1">+WORLDCUP!BD64</f>
        <v>Bélgica</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Bélgica</v>
      </c>
      <c r="E374" s="9" t="str">
        <f ca="1">+WORLDCUP!BD59</f>
        <v>Bosnia y Herzegovina</v>
      </c>
      <c r="F374" s="9" t="str">
        <f ca="1">+WORLDCUP!BD60</f>
        <v>Escocia</v>
      </c>
      <c r="G374" s="9" t="str">
        <f ca="1">+WORLDCUP!BD58</f>
        <v>República Checa</v>
      </c>
      <c r="H374" s="9" t="str">
        <f ca="1">+WORLDCUP!BD65</f>
        <v>España</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España</v>
      </c>
      <c r="D375" s="9" t="str">
        <f ca="1">+WORLDCUP!BD67</f>
        <v>Jordania</v>
      </c>
      <c r="E375" s="9" t="str">
        <f ca="1">+WORLDCUP!BD59</f>
        <v>Bosnia y Herzegovina</v>
      </c>
      <c r="F375" s="9" t="str">
        <f ca="1">+WORLDCUP!BD60</f>
        <v>Escocia</v>
      </c>
      <c r="G375" s="9" t="str">
        <f ca="1">+WORLDCUP!BD58</f>
        <v>República Checa</v>
      </c>
      <c r="H375" s="9" t="str">
        <f ca="1">+WORLDCUP!BD64</f>
        <v>Bélgica</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España</v>
      </c>
      <c r="D376" s="9" t="str">
        <f ca="1">+WORLDCUP!BD67</f>
        <v>Jordania</v>
      </c>
      <c r="E376" s="9" t="str">
        <f ca="1">+WORLDCUP!BD59</f>
        <v>Bosnia y Herzegovina</v>
      </c>
      <c r="F376" s="9" t="str">
        <f ca="1">+WORLDCUP!BD60</f>
        <v>Escocia</v>
      </c>
      <c r="G376" s="9" t="str">
        <f ca="1">+WORLDCUP!BD58</f>
        <v>República Checa</v>
      </c>
      <c r="H376" s="9" t="str">
        <f ca="1">+WORLDCUP!BD64</f>
        <v>Bélgica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Japón</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España</v>
      </c>
      <c r="D378" s="9" t="str">
        <f ca="1">+WORLDCUP!BD67</f>
        <v>Jordania</v>
      </c>
      <c r="E378" s="9" t="str">
        <f ca="1">+WORLDCUP!BD59</f>
        <v>Bosnia y Herzegovina</v>
      </c>
      <c r="F378" s="9" t="str">
        <f ca="1">+WORLDCUP!BD60</f>
        <v>Escocia</v>
      </c>
      <c r="G378" s="9" t="str">
        <f ca="1">+WORLDCUP!BD58</f>
        <v>República Checa</v>
      </c>
      <c r="H378" s="9" t="str">
        <f ca="1">+WORLDCUP!BD63</f>
        <v>Japón</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España</v>
      </c>
      <c r="D379" s="9" t="str">
        <f ca="1">+WORLDCUP!BD66</f>
        <v>Senegal</v>
      </c>
      <c r="E379" s="9" t="str">
        <f ca="1">+WORLDCUP!BD59</f>
        <v>Bosnia y Herzegovina</v>
      </c>
      <c r="F379" s="9" t="str">
        <f ca="1">+WORLDCUP!BD60</f>
        <v>Escocia</v>
      </c>
      <c r="G379" s="9" t="str">
        <f ca="1">+WORLDCUP!BD58</f>
        <v>República Checa</v>
      </c>
      <c r="H379" s="9" t="str">
        <f ca="1">+WORLDCUP!BD63</f>
        <v>Japón</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España</v>
      </c>
      <c r="D380" s="9" t="str">
        <f ca="1">+WORLDCUP!BD67</f>
        <v>Jordania</v>
      </c>
      <c r="E380" s="9" t="str">
        <f ca="1">+WORLDCUP!BD59</f>
        <v>Bosnia y Herzegovina</v>
      </c>
      <c r="F380" s="9" t="str">
        <f ca="1">+WORLDCUP!BD60</f>
        <v>Escocia</v>
      </c>
      <c r="G380" s="9" t="str">
        <f ca="1">+WORLDCUP!BD58</f>
        <v>República Checa</v>
      </c>
      <c r="H380" s="9" t="str">
        <f ca="1">+WORLDCUP!BD63</f>
        <v>Japón</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España</v>
      </c>
      <c r="D381" s="9" t="str">
        <f ca="1">+WORLDCUP!BD67</f>
        <v>Jordania</v>
      </c>
      <c r="E381" s="9" t="str">
        <f ca="1">+WORLDCUP!BD59</f>
        <v>Bosnia y Herzegovina</v>
      </c>
      <c r="F381" s="9" t="str">
        <f ca="1">+WORLDCUP!BD60</f>
        <v>Escocia</v>
      </c>
      <c r="G381" s="9" t="str">
        <f ca="1">+WORLDCUP!BD58</f>
        <v>República Checa</v>
      </c>
      <c r="H381" s="9" t="str">
        <f ca="1">+WORLDCUP!BD63</f>
        <v>Japón</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Japón</v>
      </c>
      <c r="G382" s="9" t="str">
        <f ca="1">+WORLDCUP!BD58</f>
        <v>República Checa</v>
      </c>
      <c r="H382" s="9" t="str">
        <f ca="1">+WORLDCUP!BD64</f>
        <v>Bélgica</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Bélgica</v>
      </c>
      <c r="E383" s="9" t="str">
        <f ca="1">+WORLDCUP!BD59</f>
        <v>Bosnia y Herzegovina</v>
      </c>
      <c r="F383" s="9" t="str">
        <f ca="1">+WORLDCUP!BD60</f>
        <v>Escocia</v>
      </c>
      <c r="G383" s="9" t="str">
        <f ca="1">+WORLDCUP!BD58</f>
        <v>República Checa</v>
      </c>
      <c r="H383" s="9" t="str">
        <f ca="1">+WORLDCUP!BD63</f>
        <v>Japón</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Japón</v>
      </c>
      <c r="G384" s="9" t="str">
        <f ca="1">+WORLDCUP!BD58</f>
        <v>República Checa</v>
      </c>
      <c r="H384" s="9" t="str">
        <f ca="1">+WORLDCUP!BD64</f>
        <v>Bélgica</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Japón</v>
      </c>
      <c r="G385" s="9" t="str">
        <f ca="1">+WORLDCUP!BD58</f>
        <v>República Checa</v>
      </c>
      <c r="H385" s="9" t="str">
        <f ca="1">+WORLDCUP!BD64</f>
        <v>Bélgica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España</v>
      </c>
      <c r="D386" s="9" t="str">
        <f ca="1">+WORLDCUP!BD64</f>
        <v>Bélgica</v>
      </c>
      <c r="E386" s="9" t="str">
        <f ca="1">+WORLDCUP!BD59</f>
        <v>Bosnia y Herzegovina</v>
      </c>
      <c r="F386" s="9" t="str">
        <f ca="1">+WORLDCUP!BD60</f>
        <v>Escocia</v>
      </c>
      <c r="G386" s="9" t="str">
        <f ca="1">+WORLDCUP!BD58</f>
        <v>República Checa</v>
      </c>
      <c r="H386" s="9" t="str">
        <f ca="1">+WORLDCUP!BD63</f>
        <v>Japón</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España</v>
      </c>
      <c r="D387" s="9" t="str">
        <f ca="1">+WORLDCUP!BD64</f>
        <v>Bélgica</v>
      </c>
      <c r="E387" s="9" t="str">
        <f ca="1">+WORLDCUP!BD59</f>
        <v>Bosnia y Herzegovina</v>
      </c>
      <c r="F387" s="9" t="str">
        <f ca="1">+WORLDCUP!BD60</f>
        <v>Escocia</v>
      </c>
      <c r="G387" s="9" t="str">
        <f ca="1">+WORLDCUP!BD58</f>
        <v>República Checa</v>
      </c>
      <c r="H387" s="9" t="str">
        <f ca="1">+WORLDCUP!BD63</f>
        <v>Japón</v>
      </c>
      <c r="I387" s="9" t="str">
        <f ca="1">+WORLDCUP!BD69</f>
        <v>Panamá</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España</v>
      </c>
      <c r="D388" s="9" t="str">
        <f ca="1">+WORLDCUP!BD64</f>
        <v>Bélgica</v>
      </c>
      <c r="E388" s="9" t="str">
        <f ca="1">+WORLDCUP!BD59</f>
        <v>Bosnia y Herzegovina</v>
      </c>
      <c r="F388" s="9" t="str">
        <f ca="1">+WORLDCUP!BD60</f>
        <v>Escocia</v>
      </c>
      <c r="G388" s="9" t="str">
        <f ca="1">+WORLDCUP!BD58</f>
        <v>República Checa</v>
      </c>
      <c r="H388" s="9" t="str">
        <f ca="1">+WORLDCUP!BD63</f>
        <v>Japón</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España</v>
      </c>
      <c r="D389" s="9" t="str">
        <f ca="1">+WORLDCUP!BD64</f>
        <v>Bélgica</v>
      </c>
      <c r="E389" s="9" t="str">
        <f ca="1">+WORLDCUP!BD59</f>
        <v>Bosnia y Herzegovina</v>
      </c>
      <c r="F389" s="9" t="str">
        <f ca="1">+WORLDCUP!BD60</f>
        <v>Escocia</v>
      </c>
      <c r="G389" s="9" t="str">
        <f ca="1">+WORLDCUP!BD58</f>
        <v>República Checa</v>
      </c>
      <c r="H389" s="9" t="str">
        <f ca="1">+WORLDCUP!BD63</f>
        <v>Japón</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España</v>
      </c>
      <c r="D390" s="9" t="str">
        <f ca="1">+WORLDCUP!BD64</f>
        <v>Bélgica</v>
      </c>
      <c r="E390" s="9" t="str">
        <f ca="1">+WORLDCUP!BD59</f>
        <v>Bosnia y Herzegovina</v>
      </c>
      <c r="F390" s="9" t="str">
        <f ca="1">+WORLDCUP!BD60</f>
        <v>Escocia</v>
      </c>
      <c r="G390" s="9" t="str">
        <f ca="1">+WORLDCUP!BD58</f>
        <v>República Checa</v>
      </c>
      <c r="H390" s="9" t="str">
        <f ca="1">+WORLDCUP!BD63</f>
        <v>Japón</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España</v>
      </c>
      <c r="D391" s="9" t="str">
        <f ca="1">+WORLDCUP!BD64</f>
        <v>Bélgica</v>
      </c>
      <c r="E391" s="9" t="str">
        <f ca="1">+WORLDCUP!BD59</f>
        <v>Bosnia y Herzegovina</v>
      </c>
      <c r="F391" s="9" t="str">
        <f ca="1">+WORLDCUP!BD60</f>
        <v>Escocia</v>
      </c>
      <c r="G391" s="9" t="str">
        <f ca="1">+WORLDCUP!BD58</f>
        <v>República Checa</v>
      </c>
      <c r="H391" s="9" t="str">
        <f ca="1">+WORLDCUP!BD63</f>
        <v>Japón</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Jordania</v>
      </c>
      <c r="E393" s="9" t="str">
        <f ca="1">+WORLDCUP!BD59</f>
        <v>Bosnia y Herzegovina</v>
      </c>
      <c r="F393" s="9" t="str">
        <f ca="1">+WORLDCUP!BD60</f>
        <v>Escocia</v>
      </c>
      <c r="G393" s="9" t="str">
        <f ca="1">+WORLDCUP!BD58</f>
        <v>República Checa</v>
      </c>
      <c r="H393" s="9" t="str">
        <f ca="1">+WORLDCUP!BD65</f>
        <v>España</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República Checa</v>
      </c>
      <c r="H394" s="9" t="str">
        <f ca="1">+WORLDCUP!BD65</f>
        <v>España</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Jordania</v>
      </c>
      <c r="E395" s="9" t="str">
        <f ca="1">+WORLDCUP!BD59</f>
        <v>Bosnia y Herzegovina</v>
      </c>
      <c r="F395" s="9" t="str">
        <f ca="1">+WORLDCUP!BD60</f>
        <v>Escocia</v>
      </c>
      <c r="G395" s="9" t="str">
        <f ca="1">+WORLDCUP!BD58</f>
        <v>República Checa</v>
      </c>
      <c r="H395" s="9" t="str">
        <f ca="1">+WORLDCUP!BD65</f>
        <v>España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Jordania</v>
      </c>
      <c r="E396" s="9" t="str">
        <f ca="1">+WORLDCUP!BD59</f>
        <v>Bosnia y Herzegovina</v>
      </c>
      <c r="F396" s="9" t="str">
        <f ca="1">+WORLDCUP!BD60</f>
        <v>Escocia</v>
      </c>
      <c r="G396" s="9" t="str">
        <f ca="1">+WORLDCUP!BD58</f>
        <v>República Checa</v>
      </c>
      <c r="H396" s="9" t="str">
        <f ca="1">+WORLDCUP!BD65</f>
        <v>España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Jordania</v>
      </c>
      <c r="E397" s="9" t="str">
        <f ca="1">+WORLDCUP!BD59</f>
        <v>Bosnia y Herzegovina</v>
      </c>
      <c r="F397" s="9" t="str">
        <f ca="1">+WORLDCUP!BD60</f>
        <v>Escocia</v>
      </c>
      <c r="G397" s="9" t="str">
        <f ca="1">+WORLDCUP!BD58</f>
        <v>República Checa</v>
      </c>
      <c r="H397" s="9" t="str">
        <f ca="1">+WORLDCUP!BD64</f>
        <v>Bélgica</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Bélgica</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Jordania</v>
      </c>
      <c r="E399" s="9" t="str">
        <f ca="1">+WORLDCUP!BD59</f>
        <v>Bosnia y Herzegovina</v>
      </c>
      <c r="F399" s="9" t="str">
        <f ca="1">+WORLDCUP!BD60</f>
        <v>Escocia</v>
      </c>
      <c r="G399" s="9" t="str">
        <f ca="1">+WORLDCUP!BD58</f>
        <v>República Checa</v>
      </c>
      <c r="H399" s="9" t="str">
        <f ca="1">+WORLDCUP!BD64</f>
        <v>Bélgica</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Jordania</v>
      </c>
      <c r="E400" s="9" t="str">
        <f ca="1">+WORLDCUP!BD59</f>
        <v>Bosnia y Herzegovina</v>
      </c>
      <c r="F400" s="9" t="str">
        <f ca="1">+WORLDCUP!BD60</f>
        <v>Escocia</v>
      </c>
      <c r="G400" s="9" t="str">
        <f ca="1">+WORLDCUP!BD58</f>
        <v>República Checa</v>
      </c>
      <c r="H400" s="9" t="str">
        <f ca="1">+WORLDCUP!BD64</f>
        <v>Bélgica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Bélgica</v>
      </c>
      <c r="E401" s="9" t="str">
        <f ca="1">+WORLDCUP!BD59</f>
        <v>Bosnia y Herzegovina</v>
      </c>
      <c r="F401" s="9" t="str">
        <f ca="1">+WORLDCUP!BD60</f>
        <v>Escocia</v>
      </c>
      <c r="G401" s="9" t="str">
        <f ca="1">+WORLDCUP!BD58</f>
        <v>República Checa</v>
      </c>
      <c r="H401" s="9" t="str">
        <f ca="1">+WORLDCUP!BD65</f>
        <v>España</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España</v>
      </c>
      <c r="D402" s="9" t="str">
        <f ca="1">+WORLDCUP!BD67</f>
        <v>Jordania</v>
      </c>
      <c r="E402" s="9" t="str">
        <f ca="1">+WORLDCUP!BD59</f>
        <v>Bosnia y Herzegovina</v>
      </c>
      <c r="F402" s="9" t="str">
        <f ca="1">+WORLDCUP!BD60</f>
        <v>Escocia</v>
      </c>
      <c r="G402" s="9" t="str">
        <f ca="1">+WORLDCUP!BD58</f>
        <v>República Checa</v>
      </c>
      <c r="H402" s="9" t="str">
        <f ca="1">+WORLDCUP!BD64</f>
        <v>Bélgica</v>
      </c>
      <c r="I402" s="9" t="str">
        <f ca="1">+WORLDCUP!BD69</f>
        <v>Panamá</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España</v>
      </c>
      <c r="D403" s="9" t="str">
        <f ca="1">+WORLDCUP!BD67</f>
        <v>Jordania</v>
      </c>
      <c r="E403" s="9" t="str">
        <f ca="1">+WORLDCUP!BD59</f>
        <v>Bosnia y Herzegovina</v>
      </c>
      <c r="F403" s="9" t="str">
        <f ca="1">+WORLDCUP!BD60</f>
        <v>Escocia</v>
      </c>
      <c r="G403" s="9" t="str">
        <f ca="1">+WORLDCUP!BD58</f>
        <v>República Checa</v>
      </c>
      <c r="H403" s="9" t="str">
        <f ca="1">+WORLDCUP!BD64</f>
        <v>Bélgica</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Bélgica</v>
      </c>
      <c r="E404" s="9" t="str">
        <f ca="1">+WORLDCUP!BD59</f>
        <v>Bosnia y Herzegovina</v>
      </c>
      <c r="F404" s="9" t="str">
        <f ca="1">+WORLDCUP!BD60</f>
        <v>Escocia</v>
      </c>
      <c r="G404" s="9" t="str">
        <f ca="1">+WORLDCUP!BD58</f>
        <v>República Checa</v>
      </c>
      <c r="H404" s="9" t="str">
        <f ca="1">+WORLDCUP!BD65</f>
        <v>España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Bélgica</v>
      </c>
      <c r="E405" s="9" t="str">
        <f ca="1">+WORLDCUP!BD59</f>
        <v>Bosnia y Herzegovina</v>
      </c>
      <c r="F405" s="9" t="str">
        <f ca="1">+WORLDCUP!BD60</f>
        <v>Escocia</v>
      </c>
      <c r="G405" s="9" t="str">
        <f ca="1">+WORLDCUP!BD58</f>
        <v>República Checa</v>
      </c>
      <c r="H405" s="9" t="str">
        <f ca="1">+WORLDCUP!BD65</f>
        <v>España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España</v>
      </c>
      <c r="D406" s="9" t="str">
        <f ca="1">+WORLDCUP!BD67</f>
        <v>Jordania</v>
      </c>
      <c r="E406" s="9" t="str">
        <f ca="1">+WORLDCUP!BD59</f>
        <v>Bosnia y Herzegovina</v>
      </c>
      <c r="F406" s="9" t="str">
        <f ca="1">+WORLDCUP!BD60</f>
        <v>Escocia</v>
      </c>
      <c r="G406" s="9" t="str">
        <f ca="1">+WORLDCUP!BD58</f>
        <v>República Checa</v>
      </c>
      <c r="H406" s="9" t="str">
        <f ca="1">+WORLDCUP!BD64</f>
        <v>Bélgica</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Jordania</v>
      </c>
      <c r="E407" s="9" t="str">
        <f ca="1">+WORLDCUP!BD59</f>
        <v>Bosnia y Herzegovina</v>
      </c>
      <c r="F407" s="9" t="str">
        <f ca="1">+WORLDCUP!BD60</f>
        <v>Escocia</v>
      </c>
      <c r="G407" s="9" t="str">
        <f ca="1">+WORLDCUP!BD58</f>
        <v>República Checa</v>
      </c>
      <c r="H407" s="9" t="str">
        <f ca="1">+WORLDCUP!BD63</f>
        <v>Japón</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República Checa</v>
      </c>
      <c r="H408" s="9" t="str">
        <f ca="1">+WORLDCUP!BD63</f>
        <v>Japón</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Jordania</v>
      </c>
      <c r="E409" s="9" t="str">
        <f ca="1">+WORLDCUP!BD59</f>
        <v>Bosnia y Herzegovina</v>
      </c>
      <c r="F409" s="9" t="str">
        <f ca="1">+WORLDCUP!BD60</f>
        <v>Escocia</v>
      </c>
      <c r="G409" s="9" t="str">
        <f ca="1">+WORLDCUP!BD58</f>
        <v>República Checa</v>
      </c>
      <c r="H409" s="9" t="str">
        <f ca="1">+WORLDCUP!BD63</f>
        <v>Japón</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Jordania</v>
      </c>
      <c r="E410" s="9" t="str">
        <f ca="1">+WORLDCUP!BD59</f>
        <v>Bosnia y Herzegovina</v>
      </c>
      <c r="F410" s="9" t="str">
        <f ca="1">+WORLDCUP!BD60</f>
        <v>Escocia</v>
      </c>
      <c r="G410" s="9" t="str">
        <f ca="1">+WORLDCUP!BD58</f>
        <v>República Checa</v>
      </c>
      <c r="H410" s="9" t="str">
        <f ca="1">+WORLDCUP!BD63</f>
        <v>Japón</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España</v>
      </c>
      <c r="D411" s="9" t="str">
        <f ca="1">+WORLDCUP!BD62</f>
        <v>Ecuador</v>
      </c>
      <c r="E411" s="9" t="str">
        <f ca="1">+WORLDCUP!BD59</f>
        <v>Bosnia y Herzegovina</v>
      </c>
      <c r="F411" s="9" t="str">
        <f ca="1">+WORLDCUP!BD60</f>
        <v>Escocia</v>
      </c>
      <c r="G411" s="9" t="str">
        <f ca="1">+WORLDCUP!BD58</f>
        <v>República Checa</v>
      </c>
      <c r="H411" s="9" t="str">
        <f ca="1">+WORLDCUP!BD63</f>
        <v>Japón</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España</v>
      </c>
      <c r="D412" s="9" t="str">
        <f ca="1">+WORLDCUP!BD67</f>
        <v>Jordania</v>
      </c>
      <c r="E412" s="9" t="str">
        <f ca="1">+WORLDCUP!BD59</f>
        <v>Bosnia y Herzegovina</v>
      </c>
      <c r="F412" s="9" t="str">
        <f ca="1">+WORLDCUP!BD60</f>
        <v>Escocia</v>
      </c>
      <c r="G412" s="9" t="str">
        <f ca="1">+WORLDCUP!BD58</f>
        <v>República Checa</v>
      </c>
      <c r="H412" s="9" t="str">
        <f ca="1">+WORLDCUP!BD63</f>
        <v>Japón</v>
      </c>
      <c r="I412" s="9" t="str">
        <f ca="1">+WORLDCUP!BD69</f>
        <v>Panamá</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España</v>
      </c>
      <c r="D413" s="9" t="str">
        <f ca="1">+WORLDCUP!BD67</f>
        <v>Jordania</v>
      </c>
      <c r="E413" s="9" t="str">
        <f ca="1">+WORLDCUP!BD59</f>
        <v>Bosnia y Herzegovina</v>
      </c>
      <c r="F413" s="9" t="str">
        <f ca="1">+WORLDCUP!BD60</f>
        <v>Escocia</v>
      </c>
      <c r="G413" s="9" t="str">
        <f ca="1">+WORLDCUP!BD58</f>
        <v>República Checa</v>
      </c>
      <c r="H413" s="9" t="str">
        <f ca="1">+WORLDCUP!BD63</f>
        <v>Japón</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España</v>
      </c>
      <c r="D414" s="9" t="str">
        <f ca="1">+WORLDCUP!BD62</f>
        <v>Ecuador</v>
      </c>
      <c r="E414" s="9" t="str">
        <f ca="1">+WORLDCUP!BD59</f>
        <v>Bosnia y Herzegovina</v>
      </c>
      <c r="F414" s="9" t="str">
        <f ca="1">+WORLDCUP!BD60</f>
        <v>Escocia</v>
      </c>
      <c r="G414" s="9" t="str">
        <f ca="1">+WORLDCUP!BD58</f>
        <v>República Checa</v>
      </c>
      <c r="H414" s="9" t="str">
        <f ca="1">+WORLDCUP!BD63</f>
        <v>Japón</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España</v>
      </c>
      <c r="D415" s="9" t="str">
        <f ca="1">+WORLDCUP!BD62</f>
        <v>Ecuador</v>
      </c>
      <c r="E415" s="9" t="str">
        <f ca="1">+WORLDCUP!BD59</f>
        <v>Bosnia y Herzegovina</v>
      </c>
      <c r="F415" s="9" t="str">
        <f ca="1">+WORLDCUP!BD60</f>
        <v>Escocia</v>
      </c>
      <c r="G415" s="9" t="str">
        <f ca="1">+WORLDCUP!BD58</f>
        <v>República Checa</v>
      </c>
      <c r="H415" s="9" t="str">
        <f ca="1">+WORLDCUP!BD63</f>
        <v>Japón</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España</v>
      </c>
      <c r="D416" s="9" t="str">
        <f ca="1">+WORLDCUP!BD67</f>
        <v>Jordania</v>
      </c>
      <c r="E416" s="9" t="str">
        <f ca="1">+WORLDCUP!BD59</f>
        <v>Bosnia y Herzegovina</v>
      </c>
      <c r="F416" s="9" t="str">
        <f ca="1">+WORLDCUP!BD60</f>
        <v>Escocia</v>
      </c>
      <c r="G416" s="9" t="str">
        <f ca="1">+WORLDCUP!BD58</f>
        <v>República Checa</v>
      </c>
      <c r="H416" s="9" t="str">
        <f ca="1">+WORLDCUP!BD63</f>
        <v>Japón</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Bélgica</v>
      </c>
      <c r="E417" s="9" t="str">
        <f ca="1">+WORLDCUP!BD59</f>
        <v>Bosnia y Herzegovina</v>
      </c>
      <c r="F417" s="9" t="str">
        <f ca="1">+WORLDCUP!BD60</f>
        <v>Escocia</v>
      </c>
      <c r="G417" s="9" t="str">
        <f ca="1">+WORLDCUP!BD58</f>
        <v>República Checa</v>
      </c>
      <c r="H417" s="9" t="str">
        <f ca="1">+WORLDCUP!BD63</f>
        <v>Japón</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Bélgica</v>
      </c>
      <c r="E418" s="9" t="str">
        <f ca="1">+WORLDCUP!BD59</f>
        <v>Bosnia y Herzegovina</v>
      </c>
      <c r="F418" s="9" t="str">
        <f ca="1">+WORLDCUP!BD60</f>
        <v>Escocia</v>
      </c>
      <c r="G418" s="9" t="str">
        <f ca="1">+WORLDCUP!BD58</f>
        <v>República Checa</v>
      </c>
      <c r="H418" s="9" t="str">
        <f ca="1">+WORLDCUP!BD63</f>
        <v>Japón</v>
      </c>
      <c r="I418" s="9" t="str">
        <f ca="1">+WORLDCUP!BD69</f>
        <v>Panamá</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Bélgica</v>
      </c>
      <c r="E419" s="9" t="str">
        <f ca="1">+WORLDCUP!BD59</f>
        <v>Bosnia y Herzegovina</v>
      </c>
      <c r="F419" s="9" t="str">
        <f ca="1">+WORLDCUP!BD60</f>
        <v>Escocia</v>
      </c>
      <c r="G419" s="9" t="str">
        <f ca="1">+WORLDCUP!BD58</f>
        <v>República Checa</v>
      </c>
      <c r="H419" s="9" t="str">
        <f ca="1">+WORLDCUP!BD63</f>
        <v>Japón</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Bélgica</v>
      </c>
      <c r="E420" s="9" t="str">
        <f ca="1">+WORLDCUP!BD59</f>
        <v>Bosnia y Herzegovina</v>
      </c>
      <c r="F420" s="9" t="str">
        <f ca="1">+WORLDCUP!BD60</f>
        <v>Escocia</v>
      </c>
      <c r="G420" s="9" t="str">
        <f ca="1">+WORLDCUP!BD58</f>
        <v>República Checa</v>
      </c>
      <c r="H420" s="9" t="str">
        <f ca="1">+WORLDCUP!BD63</f>
        <v>Japón</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Bélgica</v>
      </c>
      <c r="E421" s="9" t="str">
        <f ca="1">+WORLDCUP!BD59</f>
        <v>Bosnia y Herzegovina</v>
      </c>
      <c r="F421" s="9" t="str">
        <f ca="1">+WORLDCUP!BD60</f>
        <v>Escocia</v>
      </c>
      <c r="G421" s="9" t="str">
        <f ca="1">+WORLDCUP!BD58</f>
        <v>República Checa</v>
      </c>
      <c r="H421" s="9" t="str">
        <f ca="1">+WORLDCUP!BD63</f>
        <v>Japón</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Bélgica</v>
      </c>
      <c r="E422" s="9" t="str">
        <f ca="1">+WORLDCUP!BD59</f>
        <v>Bosnia y Herzegovina</v>
      </c>
      <c r="F422" s="9" t="str">
        <f ca="1">+WORLDCUP!BD60</f>
        <v>Escocia</v>
      </c>
      <c r="G422" s="9" t="str">
        <f ca="1">+WORLDCUP!BD58</f>
        <v>República Checa</v>
      </c>
      <c r="H422" s="9" t="str">
        <f ca="1">+WORLDCUP!BD63</f>
        <v>Japón</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España</v>
      </c>
      <c r="D423" s="9" t="str">
        <f ca="1">+WORLDCUP!BD64</f>
        <v>Bélgica</v>
      </c>
      <c r="E423" s="9" t="str">
        <f ca="1">+WORLDCUP!BD59</f>
        <v>Bosnia y Herzegovina</v>
      </c>
      <c r="F423" s="9" t="str">
        <f ca="1">+WORLDCUP!BD60</f>
        <v>Escocia</v>
      </c>
      <c r="G423" s="9" t="str">
        <f ca="1">+WORLDCUP!BD58</f>
        <v>República Checa</v>
      </c>
      <c r="H423" s="9" t="str">
        <f ca="1">+WORLDCUP!BD63</f>
        <v>Japón</v>
      </c>
      <c r="I423" s="9" t="str">
        <f ca="1">+WORLDCUP!BD69</f>
        <v>Panamá</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España</v>
      </c>
      <c r="D424" s="9" t="str">
        <f ca="1">+WORLDCUP!BD64</f>
        <v>Bélgica</v>
      </c>
      <c r="E424" s="9" t="str">
        <f ca="1">+WORLDCUP!BD59</f>
        <v>Bosnia y Herzegovina</v>
      </c>
      <c r="F424" s="9" t="str">
        <f ca="1">+WORLDCUP!BD60</f>
        <v>Escocia</v>
      </c>
      <c r="G424" s="9" t="str">
        <f ca="1">+WORLDCUP!BD58</f>
        <v>República Checa</v>
      </c>
      <c r="H424" s="9" t="str">
        <f ca="1">+WORLDCUP!BD63</f>
        <v>Japón</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España</v>
      </c>
      <c r="D425" s="9" t="str">
        <f ca="1">+WORLDCUP!BD64</f>
        <v>Bélgica</v>
      </c>
      <c r="E425" s="9" t="str">
        <f ca="1">+WORLDCUP!BD59</f>
        <v>Bosnia y Herzegovina</v>
      </c>
      <c r="F425" s="9" t="str">
        <f ca="1">+WORLDCUP!BD60</f>
        <v>Escocia</v>
      </c>
      <c r="G425" s="9" t="str">
        <f ca="1">+WORLDCUP!BD58</f>
        <v>República Checa</v>
      </c>
      <c r="H425" s="9" t="str">
        <f ca="1">+WORLDCUP!BD63</f>
        <v>Japón</v>
      </c>
      <c r="I425" s="9" t="str">
        <f ca="1">+WORLDCUP!BD62</f>
        <v>Ecuador</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España</v>
      </c>
      <c r="D426" s="9" t="str">
        <f ca="1">+WORLDCUP!BD64</f>
        <v>Bélgica</v>
      </c>
      <c r="E426" s="9" t="str">
        <f ca="1">+WORLDCUP!BD59</f>
        <v>Bosnia y Herzegovina</v>
      </c>
      <c r="F426" s="9" t="str">
        <f ca="1">+WORLDCUP!BD60</f>
        <v>Escocia</v>
      </c>
      <c r="G426" s="9" t="str">
        <f ca="1">+WORLDCUP!BD58</f>
        <v>República Checa</v>
      </c>
      <c r="H426" s="9" t="str">
        <f ca="1">+WORLDCUP!BD63</f>
        <v>Japón</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Paraguay</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España</v>
      </c>
      <c r="D428" s="9" t="str">
        <f ca="1">+WORLDCUP!BD67</f>
        <v>Jordania</v>
      </c>
      <c r="E428" s="9" t="str">
        <f ca="1">+WORLDCUP!BD59</f>
        <v>Bosnia y Herzegovina</v>
      </c>
      <c r="F428" s="9" t="str">
        <f ca="1">+WORLDCUP!BD60</f>
        <v>Escocia</v>
      </c>
      <c r="G428" s="9" t="str">
        <f ca="1">+WORLDCUP!BD58</f>
        <v>República Checa</v>
      </c>
      <c r="H428" s="9" t="str">
        <f ca="1">+WORLDCUP!BD61</f>
        <v>Paraguay</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España</v>
      </c>
      <c r="D429" s="9" t="str">
        <f ca="1">+WORLDCUP!BD66</f>
        <v>Senegal</v>
      </c>
      <c r="E429" s="9" t="str">
        <f ca="1">+WORLDCUP!BD59</f>
        <v>Bosnia y Herzegovina</v>
      </c>
      <c r="F429" s="9" t="str">
        <f ca="1">+WORLDCUP!BD60</f>
        <v>Escocia</v>
      </c>
      <c r="G429" s="9" t="str">
        <f ca="1">+WORLDCUP!BD58</f>
        <v>República Checa</v>
      </c>
      <c r="H429" s="9" t="str">
        <f ca="1">+WORLDCUP!BD61</f>
        <v>Paraguay</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España</v>
      </c>
      <c r="D430" s="9" t="str">
        <f ca="1">+WORLDCUP!BD67</f>
        <v>Jordania</v>
      </c>
      <c r="E430" s="9" t="str">
        <f ca="1">+WORLDCUP!BD59</f>
        <v>Bosnia y Herzegovina</v>
      </c>
      <c r="F430" s="9" t="str">
        <f ca="1">+WORLDCUP!BD60</f>
        <v>Escocia</v>
      </c>
      <c r="G430" s="9" t="str">
        <f ca="1">+WORLDCUP!BD58</f>
        <v>República Checa</v>
      </c>
      <c r="H430" s="9" t="str">
        <f ca="1">+WORLDCUP!BD61</f>
        <v>Paraguay</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España</v>
      </c>
      <c r="D431" s="9" t="str">
        <f ca="1">+WORLDCUP!BD67</f>
        <v>Jordania</v>
      </c>
      <c r="E431" s="9" t="str">
        <f ca="1">+WORLDCUP!BD59</f>
        <v>Bosnia y Herzegovina</v>
      </c>
      <c r="F431" s="9" t="str">
        <f ca="1">+WORLDCUP!BD60</f>
        <v>Escocia</v>
      </c>
      <c r="G431" s="9" t="str">
        <f ca="1">+WORLDCUP!BD58</f>
        <v>República Checa</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Paraguay</v>
      </c>
      <c r="G432" s="9" t="str">
        <f ca="1">+WORLDCUP!BD58</f>
        <v>República Checa</v>
      </c>
      <c r="H432" s="9" t="str">
        <f ca="1">+WORLDCUP!BD64</f>
        <v>Bélgica</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Bélgica</v>
      </c>
      <c r="E433" s="9" t="str">
        <f ca="1">+WORLDCUP!BD59</f>
        <v>Bosnia y Herzegovina</v>
      </c>
      <c r="F433" s="9" t="str">
        <f ca="1">+WORLDCUP!BD60</f>
        <v>Escocia</v>
      </c>
      <c r="G433" s="9" t="str">
        <f ca="1">+WORLDCUP!BD58</f>
        <v>República Checa</v>
      </c>
      <c r="H433" s="9" t="str">
        <f ca="1">+WORLDCUP!BD61</f>
        <v>Paraguay</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Paraguay</v>
      </c>
      <c r="G434" s="9" t="str">
        <f ca="1">+WORLDCUP!BD58</f>
        <v>República Checa</v>
      </c>
      <c r="H434" s="9" t="str">
        <f ca="1">+WORLDCUP!BD64</f>
        <v>Bélgica</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Paraguay</v>
      </c>
      <c r="G435" s="9" t="str">
        <f ca="1">+WORLDCUP!BD58</f>
        <v>República Checa</v>
      </c>
      <c r="H435" s="9" t="str">
        <f ca="1">+WORLDCUP!BD64</f>
        <v>Bélgica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España</v>
      </c>
      <c r="D436" s="9" t="str">
        <f ca="1">+WORLDCUP!BD64</f>
        <v>Bélgica</v>
      </c>
      <c r="E436" s="9" t="str">
        <f ca="1">+WORLDCUP!BD59</f>
        <v>Bosnia y Herzegovina</v>
      </c>
      <c r="F436" s="9" t="str">
        <f ca="1">+WORLDCUP!BD60</f>
        <v>Escocia</v>
      </c>
      <c r="G436" s="9" t="str">
        <f ca="1">+WORLDCUP!BD58</f>
        <v>República Checa</v>
      </c>
      <c r="H436" s="9" t="str">
        <f ca="1">+WORLDCUP!BD61</f>
        <v>Paraguay</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España</v>
      </c>
      <c r="D437" s="9" t="str">
        <f ca="1">+WORLDCUP!BD64</f>
        <v>Bélgica</v>
      </c>
      <c r="E437" s="9" t="str">
        <f ca="1">+WORLDCUP!BD59</f>
        <v>Bosnia y Herzegovina</v>
      </c>
      <c r="F437" s="9" t="str">
        <f ca="1">+WORLDCUP!BD60</f>
        <v>Escocia</v>
      </c>
      <c r="G437" s="9" t="str">
        <f ca="1">+WORLDCUP!BD58</f>
        <v>República Checa</v>
      </c>
      <c r="H437" s="9" t="str">
        <f ca="1">+WORLDCUP!BD61</f>
        <v>Paraguay</v>
      </c>
      <c r="I437" s="9" t="str">
        <f ca="1">+WORLDCUP!BD69</f>
        <v>Panamá</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España</v>
      </c>
      <c r="D438" s="9" t="str">
        <f ca="1">+WORLDCUP!BD64</f>
        <v>Bélgica</v>
      </c>
      <c r="E438" s="9" t="str">
        <f ca="1">+WORLDCUP!BD59</f>
        <v>Bosnia y Herzegovina</v>
      </c>
      <c r="F438" s="9" t="str">
        <f ca="1">+WORLDCUP!BD60</f>
        <v>Escocia</v>
      </c>
      <c r="G438" s="9" t="str">
        <f ca="1">+WORLDCUP!BD58</f>
        <v>República Checa</v>
      </c>
      <c r="H438" s="9" t="str">
        <f ca="1">+WORLDCUP!BD61</f>
        <v>Paraguay</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España</v>
      </c>
      <c r="D439" s="9" t="str">
        <f ca="1">+WORLDCUP!BD64</f>
        <v>Bélgica</v>
      </c>
      <c r="E439" s="9" t="str">
        <f ca="1">+WORLDCUP!BD59</f>
        <v>Bosnia y Herzegovina</v>
      </c>
      <c r="F439" s="9" t="str">
        <f ca="1">+WORLDCUP!BD60</f>
        <v>Escocia</v>
      </c>
      <c r="G439" s="9" t="str">
        <f ca="1">+WORLDCUP!BD58</f>
        <v>República Checa</v>
      </c>
      <c r="H439" s="9" t="str">
        <f ca="1">+WORLDCUP!BD61</f>
        <v>Paraguay</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España</v>
      </c>
      <c r="D440" s="9" t="str">
        <f ca="1">+WORLDCUP!BD64</f>
        <v>Bélgica</v>
      </c>
      <c r="E440" s="9" t="str">
        <f ca="1">+WORLDCUP!BD59</f>
        <v>Bosnia y Herzegovina</v>
      </c>
      <c r="F440" s="9" t="str">
        <f ca="1">+WORLDCUP!BD60</f>
        <v>Escocia</v>
      </c>
      <c r="G440" s="9" t="str">
        <f ca="1">+WORLDCUP!BD58</f>
        <v>República Checa</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España</v>
      </c>
      <c r="D441" s="9" t="str">
        <f ca="1">+WORLDCUP!BD64</f>
        <v>Bélgica</v>
      </c>
      <c r="E441" s="9" t="str">
        <f ca="1">+WORLDCUP!BD59</f>
        <v>Bosnia y Herzegovina</v>
      </c>
      <c r="F441" s="9" t="str">
        <f ca="1">+WORLDCUP!BD60</f>
        <v>Escocia</v>
      </c>
      <c r="G441" s="9" t="str">
        <f ca="1">+WORLDCUP!BD58</f>
        <v>República Checa</v>
      </c>
      <c r="H441" s="9" t="str">
        <f ca="1">+WORLDCUP!BD61</f>
        <v>Paraguay</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Paraguay</v>
      </c>
      <c r="G442" s="9" t="str">
        <f ca="1">+WORLDCUP!BD58</f>
        <v>República Checa</v>
      </c>
      <c r="H442" s="9" t="str">
        <f ca="1">+WORLDCUP!BD63</f>
        <v>Japón</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República Checa</v>
      </c>
      <c r="H443" s="9" t="str">
        <f ca="1">+WORLDCUP!BD63</f>
        <v>Japón</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Paraguay</v>
      </c>
      <c r="G444" s="9" t="str">
        <f ca="1">+WORLDCUP!BD58</f>
        <v>República Checa</v>
      </c>
      <c r="H444" s="9" t="str">
        <f ca="1">+WORLDCUP!BD63</f>
        <v>Japón</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Paraguay</v>
      </c>
      <c r="G445" s="9" t="str">
        <f ca="1">+WORLDCUP!BD58</f>
        <v>República Checa</v>
      </c>
      <c r="H445" s="9" t="str">
        <f ca="1">+WORLDCUP!BD63</f>
        <v>Japón</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España</v>
      </c>
      <c r="D446" s="9" t="str">
        <f ca="1">+WORLDCUP!BD63</f>
        <v>Japón</v>
      </c>
      <c r="E446" s="9" t="str">
        <f ca="1">+WORLDCUP!BD59</f>
        <v>Bosnia y Herzegovina</v>
      </c>
      <c r="F446" s="9" t="str">
        <f ca="1">+WORLDCUP!BD60</f>
        <v>Escocia</v>
      </c>
      <c r="G446" s="9" t="str">
        <f ca="1">+WORLDCUP!BD58</f>
        <v>República Checa</v>
      </c>
      <c r="H446" s="9" t="str">
        <f ca="1">+WORLDCUP!BD61</f>
        <v>Paraguay</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Paraguay</v>
      </c>
      <c r="G447" s="9" t="str">
        <f ca="1">+WORLDCUP!BD58</f>
        <v>República Checa</v>
      </c>
      <c r="H447" s="9" t="str">
        <f ca="1">+WORLDCUP!BD63</f>
        <v>Japón</v>
      </c>
      <c r="I447" s="9" t="str">
        <f ca="1">+WORLDCUP!BD69</f>
        <v>Panamá</v>
      </c>
      <c r="J447" s="9" t="str">
        <f ca="1">+WORLDCUP!BD65</f>
        <v>España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España</v>
      </c>
      <c r="D448" s="9" t="str">
        <f ca="1">+WORLDCUP!BD67</f>
        <v>Jordania</v>
      </c>
      <c r="E448" s="9" t="str">
        <f ca="1">+WORLDCUP!BD59</f>
        <v>Bosnia y Herzegovina</v>
      </c>
      <c r="F448" s="9" t="str">
        <f ca="1">+WORLDCUP!BD60</f>
        <v>Escocia</v>
      </c>
      <c r="G448" s="9" t="str">
        <f ca="1">+WORLDCUP!BD58</f>
        <v>República Checa</v>
      </c>
      <c r="H448" s="9" t="str">
        <f ca="1">+WORLDCUP!BD63</f>
        <v>Japón</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España</v>
      </c>
      <c r="D449" s="9" t="str">
        <f ca="1">+WORLDCUP!BD63</f>
        <v>Japón</v>
      </c>
      <c r="E449" s="9" t="str">
        <f ca="1">+WORLDCUP!BD59</f>
        <v>Bosnia y Herzegovina</v>
      </c>
      <c r="F449" s="9" t="str">
        <f ca="1">+WORLDCUP!BD60</f>
        <v>Escocia</v>
      </c>
      <c r="G449" s="9" t="str">
        <f ca="1">+WORLDCUP!BD58</f>
        <v>República Checa</v>
      </c>
      <c r="H449" s="9" t="str">
        <f ca="1">+WORLDCUP!BD61</f>
        <v>Paraguay</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España</v>
      </c>
      <c r="D450" s="9" t="str">
        <f ca="1">+WORLDCUP!BD63</f>
        <v>Japón</v>
      </c>
      <c r="E450" s="9" t="str">
        <f ca="1">+WORLDCUP!BD59</f>
        <v>Bosnia y Herzegovina</v>
      </c>
      <c r="F450" s="9" t="str">
        <f ca="1">+WORLDCUP!BD60</f>
        <v>Escocia</v>
      </c>
      <c r="G450" s="9" t="str">
        <f ca="1">+WORLDCUP!BD58</f>
        <v>República Checa</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España</v>
      </c>
      <c r="D451" s="9" t="str">
        <f ca="1">+WORLDCUP!BD67</f>
        <v>Jordania</v>
      </c>
      <c r="E451" s="9" t="str">
        <f ca="1">+WORLDCUP!BD59</f>
        <v>Bosnia y Herzegovina</v>
      </c>
      <c r="F451" s="9" t="str">
        <f ca="1">+WORLDCUP!BD60</f>
        <v>Escocia</v>
      </c>
      <c r="G451" s="9" t="str">
        <f ca="1">+WORLDCUP!BD58</f>
        <v>República Checa</v>
      </c>
      <c r="H451" s="9" t="str">
        <f ca="1">+WORLDCUP!BD63</f>
        <v>Japón</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Bélgica</v>
      </c>
      <c r="E452" s="9" t="str">
        <f ca="1">+WORLDCUP!BD59</f>
        <v>Bosnia y Herzegovina</v>
      </c>
      <c r="F452" s="9" t="str">
        <f ca="1">+WORLDCUP!BD61</f>
        <v>Paraguay</v>
      </c>
      <c r="G452" s="9" t="str">
        <f ca="1">+WORLDCUP!BD58</f>
        <v>República Checa</v>
      </c>
      <c r="H452" s="9" t="str">
        <f ca="1">+WORLDCUP!BD63</f>
        <v>Japón</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Bélgica</v>
      </c>
      <c r="E453" s="9" t="str">
        <f ca="1">+WORLDCUP!BD59</f>
        <v>Bosnia y Herzegovina</v>
      </c>
      <c r="F453" s="9" t="str">
        <f ca="1">+WORLDCUP!BD61</f>
        <v>Paraguay</v>
      </c>
      <c r="G453" s="9" t="str">
        <f ca="1">+WORLDCUP!BD58</f>
        <v>República Checa</v>
      </c>
      <c r="H453" s="9" t="str">
        <f ca="1">+WORLDCUP!BD63</f>
        <v>Japón</v>
      </c>
      <c r="I453" s="9" t="str">
        <f ca="1">+WORLDCUP!BD69</f>
        <v>Panamá</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Bélgica</v>
      </c>
      <c r="E454" s="9" t="str">
        <f ca="1">+WORLDCUP!BD59</f>
        <v>Bosnia y Herzegovina</v>
      </c>
      <c r="F454" s="9" t="str">
        <f ca="1">+WORLDCUP!BD61</f>
        <v>Paraguay</v>
      </c>
      <c r="G454" s="9" t="str">
        <f ca="1">+WORLDCUP!BD58</f>
        <v>República Checa</v>
      </c>
      <c r="H454" s="9" t="str">
        <f ca="1">+WORLDCUP!BD63</f>
        <v>Japón</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Bélgica</v>
      </c>
      <c r="E455" s="9" t="str">
        <f ca="1">+WORLDCUP!BD59</f>
        <v>Bosnia y Herzegovina</v>
      </c>
      <c r="F455" s="9" t="str">
        <f ca="1">+WORLDCUP!BD61</f>
        <v>Paraguay</v>
      </c>
      <c r="G455" s="9" t="str">
        <f ca="1">+WORLDCUP!BD58</f>
        <v>República Checa</v>
      </c>
      <c r="H455" s="9" t="str">
        <f ca="1">+WORLDCUP!BD63</f>
        <v>Japón</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Bélgica</v>
      </c>
      <c r="E456" s="9" t="str">
        <f ca="1">+WORLDCUP!BD59</f>
        <v>Bosnia y Herzegovina</v>
      </c>
      <c r="F456" s="9" t="str">
        <f ca="1">+WORLDCUP!BD61</f>
        <v>Paraguay</v>
      </c>
      <c r="G456" s="9" t="str">
        <f ca="1">+WORLDCUP!BD58</f>
        <v>República Checa</v>
      </c>
      <c r="H456" s="9" t="str">
        <f ca="1">+WORLDCUP!BD63</f>
        <v>Japón</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Bélgica</v>
      </c>
      <c r="E457" s="9" t="str">
        <f ca="1">+WORLDCUP!BD59</f>
        <v>Bosnia y Herzegovina</v>
      </c>
      <c r="F457" s="9" t="str">
        <f ca="1">+WORLDCUP!BD61</f>
        <v>Paraguay</v>
      </c>
      <c r="G457" s="9" t="str">
        <f ca="1">+WORLDCUP!BD58</f>
        <v>República Checa</v>
      </c>
      <c r="H457" s="9" t="str">
        <f ca="1">+WORLDCUP!BD63</f>
        <v>Japón</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Bélgica</v>
      </c>
      <c r="E458" s="9" t="str">
        <f ca="1">+WORLDCUP!BD59</f>
        <v>Bosnia y Herzegovina</v>
      </c>
      <c r="F458" s="9" t="str">
        <f ca="1">+WORLDCUP!BD61</f>
        <v>Paraguay</v>
      </c>
      <c r="G458" s="9" t="str">
        <f ca="1">+WORLDCUP!BD58</f>
        <v>República Checa</v>
      </c>
      <c r="H458" s="9" t="str">
        <f ca="1">+WORLDCUP!BD63</f>
        <v>Japón</v>
      </c>
      <c r="I458" s="9" t="str">
        <f ca="1">+WORLDCUP!BD69</f>
        <v>Panamá</v>
      </c>
      <c r="J458" s="9" t="str">
        <f ca="1">+WORLDCUP!BD65</f>
        <v>España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1</v>
      </c>
      <c r="C459" s="9" t="str">
        <f ca="1">+WORLDCUP!BD65</f>
        <v>España</v>
      </c>
      <c r="D459" s="9" t="str">
        <f ca="1">+WORLDCUP!BD64</f>
        <v>Bélgica</v>
      </c>
      <c r="E459" s="9" t="str">
        <f ca="1">+WORLDCUP!BD59</f>
        <v>Bosnia y Herzegovina</v>
      </c>
      <c r="F459" s="9" t="str">
        <f ca="1">+WORLDCUP!BD60</f>
        <v>Escocia</v>
      </c>
      <c r="G459" s="9" t="str">
        <f ca="1">+WORLDCUP!BD58</f>
        <v>República Checa</v>
      </c>
      <c r="H459" s="9" t="str">
        <f ca="1">+WORLDCUP!BD63</f>
        <v>Japón</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España</v>
      </c>
      <c r="D460" s="9" t="str">
        <f ca="1">+WORLDCUP!BD64</f>
        <v>Bélgica</v>
      </c>
      <c r="E460" s="9" t="str">
        <f ca="1">+WORLDCUP!BD59</f>
        <v>Bosnia y Herzegovina</v>
      </c>
      <c r="F460" s="9" t="str">
        <f ca="1">+WORLDCUP!BD60</f>
        <v>Escocia</v>
      </c>
      <c r="G460" s="9" t="str">
        <f ca="1">+WORLDCUP!BD58</f>
        <v>República Checa</v>
      </c>
      <c r="H460" s="9" t="str">
        <f ca="1">+WORLDCUP!BD63</f>
        <v>Japón</v>
      </c>
      <c r="I460" s="9" t="str">
        <f ca="1">+WORLDCUP!BD61</f>
        <v>Paraguay</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España</v>
      </c>
      <c r="D461" s="9" t="str">
        <f ca="1">+WORLDCUP!BD64</f>
        <v>Bélgica</v>
      </c>
      <c r="E461" s="9" t="str">
        <f ca="1">+WORLDCUP!BD59</f>
        <v>Bosnia y Herzegovina</v>
      </c>
      <c r="F461" s="9" t="str">
        <f ca="1">+WORLDCUP!BD60</f>
        <v>Escocia</v>
      </c>
      <c r="G461" s="9" t="str">
        <f ca="1">+WORLDCUP!BD58</f>
        <v>República Checa</v>
      </c>
      <c r="H461" s="9" t="str">
        <f ca="1">+WORLDCUP!BD63</f>
        <v>Japón</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Jordania</v>
      </c>
      <c r="E462" s="9" t="str">
        <f ca="1">+WORLDCUP!BD59</f>
        <v>Bosnia y Herzegovina</v>
      </c>
      <c r="F462" s="9" t="str">
        <f ca="1">+WORLDCUP!BD60</f>
        <v>Escocia</v>
      </c>
      <c r="G462" s="9" t="str">
        <f ca="1">+WORLDCUP!BD58</f>
        <v>República Checa</v>
      </c>
      <c r="H462" s="9" t="str">
        <f ca="1">+WORLDCUP!BD61</f>
        <v>Paraguay</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República Checa</v>
      </c>
      <c r="H463" s="9" t="str">
        <f ca="1">+WORLDCUP!BD61</f>
        <v>Paraguay</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Jordania</v>
      </c>
      <c r="E464" s="9" t="str">
        <f ca="1">+WORLDCUP!BD59</f>
        <v>Bosnia y Herzegovina</v>
      </c>
      <c r="F464" s="9" t="str">
        <f ca="1">+WORLDCUP!BD60</f>
        <v>Escocia</v>
      </c>
      <c r="G464" s="9" t="str">
        <f ca="1">+WORLDCUP!BD58</f>
        <v>República Checa</v>
      </c>
      <c r="H464" s="9" t="str">
        <f ca="1">+WORLDCUP!BD61</f>
        <v>Paraguay</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Jordania</v>
      </c>
      <c r="E465" s="9" t="str">
        <f ca="1">+WORLDCUP!BD59</f>
        <v>Bosnia y Herzegovina</v>
      </c>
      <c r="F465" s="9" t="str">
        <f ca="1">+WORLDCUP!BD60</f>
        <v>Escocia</v>
      </c>
      <c r="G465" s="9" t="str">
        <f ca="1">+WORLDCUP!BD58</f>
        <v>República Checa</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España</v>
      </c>
      <c r="D466" s="9" t="str">
        <f ca="1">+WORLDCUP!BD62</f>
        <v>Ecuador</v>
      </c>
      <c r="E466" s="9" t="str">
        <f ca="1">+WORLDCUP!BD59</f>
        <v>Bosnia y Herzegovina</v>
      </c>
      <c r="F466" s="9" t="str">
        <f ca="1">+WORLDCUP!BD60</f>
        <v>Escocia</v>
      </c>
      <c r="G466" s="9" t="str">
        <f ca="1">+WORLDCUP!BD58</f>
        <v>República Checa</v>
      </c>
      <c r="H466" s="9" t="str">
        <f ca="1">+WORLDCUP!BD61</f>
        <v>Paraguay</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España</v>
      </c>
      <c r="D467" s="9" t="str">
        <f ca="1">+WORLDCUP!BD67</f>
        <v>Jordania</v>
      </c>
      <c r="E467" s="9" t="str">
        <f ca="1">+WORLDCUP!BD59</f>
        <v>Bosnia y Herzegovina</v>
      </c>
      <c r="F467" s="9" t="str">
        <f ca="1">+WORLDCUP!BD60</f>
        <v>Escocia</v>
      </c>
      <c r="G467" s="9" t="str">
        <f ca="1">+WORLDCUP!BD58</f>
        <v>República Checa</v>
      </c>
      <c r="H467" s="9" t="str">
        <f ca="1">+WORLDCUP!BD61</f>
        <v>Paraguay</v>
      </c>
      <c r="I467" s="9" t="str">
        <f ca="1">+WORLDCUP!BD69</f>
        <v>Panamá</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España</v>
      </c>
      <c r="D468" s="9" t="str">
        <f ca="1">+WORLDCUP!BD67</f>
        <v>Jordania</v>
      </c>
      <c r="E468" s="9" t="str">
        <f ca="1">+WORLDCUP!BD59</f>
        <v>Bosnia y Herzegovina</v>
      </c>
      <c r="F468" s="9" t="str">
        <f ca="1">+WORLDCUP!BD60</f>
        <v>Escocia</v>
      </c>
      <c r="G468" s="9" t="str">
        <f ca="1">+WORLDCUP!BD58</f>
        <v>República Checa</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España</v>
      </c>
      <c r="D469" s="9" t="str">
        <f ca="1">+WORLDCUP!BD62</f>
        <v>Ecuador</v>
      </c>
      <c r="E469" s="9" t="str">
        <f ca="1">+WORLDCUP!BD59</f>
        <v>Bosnia y Herzegovina</v>
      </c>
      <c r="F469" s="9" t="str">
        <f ca="1">+WORLDCUP!BD60</f>
        <v>Escocia</v>
      </c>
      <c r="G469" s="9" t="str">
        <f ca="1">+WORLDCUP!BD58</f>
        <v>República Checa</v>
      </c>
      <c r="H469" s="9" t="str">
        <f ca="1">+WORLDCUP!BD61</f>
        <v>Paraguay</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España</v>
      </c>
      <c r="D470" s="9" t="str">
        <f ca="1">+WORLDCUP!BD62</f>
        <v>Ecuador</v>
      </c>
      <c r="E470" s="9" t="str">
        <f ca="1">+WORLDCUP!BD59</f>
        <v>Bosnia y Herzegovina</v>
      </c>
      <c r="F470" s="9" t="str">
        <f ca="1">+WORLDCUP!BD60</f>
        <v>Escocia</v>
      </c>
      <c r="G470" s="9" t="str">
        <f ca="1">+WORLDCUP!BD58</f>
        <v>República Checa</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España</v>
      </c>
      <c r="D471" s="9" t="str">
        <f ca="1">+WORLDCUP!BD67</f>
        <v>Jordania</v>
      </c>
      <c r="E471" s="9" t="str">
        <f ca="1">+WORLDCUP!BD59</f>
        <v>Bosnia y Herzegovina</v>
      </c>
      <c r="F471" s="9" t="str">
        <f ca="1">+WORLDCUP!BD60</f>
        <v>Escocia</v>
      </c>
      <c r="G471" s="9" t="str">
        <f ca="1">+WORLDCUP!BD58</f>
        <v>República Checa</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Bélgica</v>
      </c>
      <c r="E472" s="9" t="str">
        <f ca="1">+WORLDCUP!BD59</f>
        <v>Bosnia y Herzegovina</v>
      </c>
      <c r="F472" s="9" t="str">
        <f ca="1">+WORLDCUP!BD60</f>
        <v>Escocia</v>
      </c>
      <c r="G472" s="9" t="str">
        <f ca="1">+WORLDCUP!BD58</f>
        <v>República Checa</v>
      </c>
      <c r="H472" s="9" t="str">
        <f ca="1">+WORLDCUP!BD61</f>
        <v>Paraguay</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Bélgica</v>
      </c>
      <c r="E473" s="9" t="str">
        <f ca="1">+WORLDCUP!BD59</f>
        <v>Bosnia y Herzegovina</v>
      </c>
      <c r="F473" s="9" t="str">
        <f ca="1">+WORLDCUP!BD60</f>
        <v>Escocia</v>
      </c>
      <c r="G473" s="9" t="str">
        <f ca="1">+WORLDCUP!BD58</f>
        <v>República Checa</v>
      </c>
      <c r="H473" s="9" t="str">
        <f ca="1">+WORLDCUP!BD61</f>
        <v>Paraguay</v>
      </c>
      <c r="I473" s="9" t="str">
        <f ca="1">+WORLDCUP!BD69</f>
        <v>Panamá</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Bélgica</v>
      </c>
      <c r="E474" s="9" t="str">
        <f ca="1">+WORLDCUP!BD59</f>
        <v>Bosnia y Herzegovina</v>
      </c>
      <c r="F474" s="9" t="str">
        <f ca="1">+WORLDCUP!BD60</f>
        <v>Escocia</v>
      </c>
      <c r="G474" s="9" t="str">
        <f ca="1">+WORLDCUP!BD58</f>
        <v>República Checa</v>
      </c>
      <c r="H474" s="9" t="str">
        <f ca="1">+WORLDCUP!BD61</f>
        <v>Paraguay</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Bélgica</v>
      </c>
      <c r="E475" s="9" t="str">
        <f ca="1">+WORLDCUP!BD59</f>
        <v>Bosnia y Herzegovina</v>
      </c>
      <c r="F475" s="9" t="str">
        <f ca="1">+WORLDCUP!BD60</f>
        <v>Escocia</v>
      </c>
      <c r="G475" s="9" t="str">
        <f ca="1">+WORLDCUP!BD58</f>
        <v>República Checa</v>
      </c>
      <c r="H475" s="9" t="str">
        <f ca="1">+WORLDCUP!BD61</f>
        <v>Paraguay</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Bélgica</v>
      </c>
      <c r="E476" s="9" t="str">
        <f ca="1">+WORLDCUP!BD59</f>
        <v>Bosnia y Herzegovina</v>
      </c>
      <c r="F476" s="9" t="str">
        <f ca="1">+WORLDCUP!BD60</f>
        <v>Escocia</v>
      </c>
      <c r="G476" s="9" t="str">
        <f ca="1">+WORLDCUP!BD58</f>
        <v>República Checa</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Bélgica</v>
      </c>
      <c r="E477" s="9" t="str">
        <f ca="1">+WORLDCUP!BD59</f>
        <v>Bosnia y Herzegovina</v>
      </c>
      <c r="F477" s="9" t="str">
        <f ca="1">+WORLDCUP!BD60</f>
        <v>Escocia</v>
      </c>
      <c r="G477" s="9" t="str">
        <f ca="1">+WORLDCUP!BD58</f>
        <v>República Checa</v>
      </c>
      <c r="H477" s="9" t="str">
        <f ca="1">+WORLDCUP!BD61</f>
        <v>Paraguay</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España</v>
      </c>
      <c r="D478" s="9" t="str">
        <f ca="1">+WORLDCUP!BD64</f>
        <v>Bélgica</v>
      </c>
      <c r="E478" s="9" t="str">
        <f ca="1">+WORLDCUP!BD59</f>
        <v>Bosnia y Herzegovina</v>
      </c>
      <c r="F478" s="9" t="str">
        <f ca="1">+WORLDCUP!BD60</f>
        <v>Escocia</v>
      </c>
      <c r="G478" s="9" t="str">
        <f ca="1">+WORLDCUP!BD58</f>
        <v>República Checa</v>
      </c>
      <c r="H478" s="9" t="str">
        <f ca="1">+WORLDCUP!BD61</f>
        <v>Paraguay</v>
      </c>
      <c r="I478" s="9" t="str">
        <f ca="1">+WORLDCUP!BD69</f>
        <v>Panamá</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España</v>
      </c>
      <c r="D479" s="9" t="str">
        <f ca="1">+WORLDCUP!BD64</f>
        <v>Bélgica</v>
      </c>
      <c r="E479" s="9" t="str">
        <f ca="1">+WORLDCUP!BD59</f>
        <v>Bosnia y Herzegovina</v>
      </c>
      <c r="F479" s="9" t="str">
        <f ca="1">+WORLDCUP!BD60</f>
        <v>Escocia</v>
      </c>
      <c r="G479" s="9" t="str">
        <f ca="1">+WORLDCUP!BD58</f>
        <v>República Checa</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España</v>
      </c>
      <c r="D480" s="9" t="str">
        <f ca="1">+WORLDCUP!BD64</f>
        <v>Bélgica</v>
      </c>
      <c r="E480" s="9" t="str">
        <f ca="1">+WORLDCUP!BD59</f>
        <v>Bosnia y Herzegovina</v>
      </c>
      <c r="F480" s="9" t="str">
        <f ca="1">+WORLDCUP!BD60</f>
        <v>Escocia</v>
      </c>
      <c r="G480" s="9" t="str">
        <f ca="1">+WORLDCUP!BD58</f>
        <v>República Checa</v>
      </c>
      <c r="H480" s="9" t="str">
        <f ca="1">+WORLDCUP!BD61</f>
        <v>Paraguay</v>
      </c>
      <c r="I480" s="9" t="str">
        <f ca="1">+WORLDCUP!BD62</f>
        <v>Ecuador</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España</v>
      </c>
      <c r="D481" s="9" t="str">
        <f ca="1">+WORLDCUP!BD64</f>
        <v>Bélgica</v>
      </c>
      <c r="E481" s="9" t="str">
        <f ca="1">+WORLDCUP!BD59</f>
        <v>Bosnia y Herzegovina</v>
      </c>
      <c r="F481" s="9" t="str">
        <f ca="1">+WORLDCUP!BD60</f>
        <v>Escocia</v>
      </c>
      <c r="G481" s="9" t="str">
        <f ca="1">+WORLDCUP!BD58</f>
        <v>República Checa</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República Checa</v>
      </c>
      <c r="H482" s="9" t="str">
        <f ca="1">+WORLDCUP!BD63</f>
        <v>Japón</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Paraguay</v>
      </c>
      <c r="G483" s="9" t="str">
        <f ca="1">+WORLDCUP!BD58</f>
        <v>República Checa</v>
      </c>
      <c r="H483" s="9" t="str">
        <f ca="1">+WORLDCUP!BD63</f>
        <v>Japón</v>
      </c>
      <c r="I483" s="9" t="str">
        <f ca="1">+WORLDCUP!BD69</f>
        <v>Panamá</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Paraguay</v>
      </c>
      <c r="G484" s="9" t="str">
        <f ca="1">+WORLDCUP!BD58</f>
        <v>República Checa</v>
      </c>
      <c r="H484" s="9" t="str">
        <f ca="1">+WORLDCUP!BD63</f>
        <v>Japón</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República Checa</v>
      </c>
      <c r="H485" s="9" t="str">
        <f ca="1">+WORLDCUP!BD63</f>
        <v>Japón</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República Checa</v>
      </c>
      <c r="H486" s="9" t="str">
        <f ca="1">+WORLDCUP!BD63</f>
        <v>Japón</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Paraguay</v>
      </c>
      <c r="G487" s="9" t="str">
        <f ca="1">+WORLDCUP!BD58</f>
        <v>República Checa</v>
      </c>
      <c r="H487" s="9" t="str">
        <f ca="1">+WORLDCUP!BD63</f>
        <v>Japón</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España</v>
      </c>
      <c r="D488" s="9" t="str">
        <f ca="1">+WORLDCUP!BD63</f>
        <v>Japón</v>
      </c>
      <c r="E488" s="9" t="str">
        <f ca="1">+WORLDCUP!BD59</f>
        <v>Bosnia y Herzegovina</v>
      </c>
      <c r="F488" s="9" t="str">
        <f ca="1">+WORLDCUP!BD60</f>
        <v>Escocia</v>
      </c>
      <c r="G488" s="9" t="str">
        <f ca="1">+WORLDCUP!BD58</f>
        <v>República Checa</v>
      </c>
      <c r="H488" s="9" t="str">
        <f ca="1">+WORLDCUP!BD61</f>
        <v>Paraguay</v>
      </c>
      <c r="I488" s="9" t="str">
        <f ca="1">+WORLDCUP!BD69</f>
        <v>Panamá</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España</v>
      </c>
      <c r="D489" s="9" t="str">
        <f ca="1">+WORLDCUP!BD62</f>
        <v>Ecuador</v>
      </c>
      <c r="E489" s="9" t="str">
        <f ca="1">+WORLDCUP!BD59</f>
        <v>Bosnia y Herzegovina</v>
      </c>
      <c r="F489" s="9" t="str">
        <f ca="1">+WORLDCUP!BD60</f>
        <v>Escocia</v>
      </c>
      <c r="G489" s="9" t="str">
        <f ca="1">+WORLDCUP!BD58</f>
        <v>República Checa</v>
      </c>
      <c r="H489" s="9" t="str">
        <f ca="1">+WORLDCUP!BD63</f>
        <v>Japón</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España</v>
      </c>
      <c r="D490" s="9" t="str">
        <f ca="1">+WORLDCUP!BD67</f>
        <v>Jordania</v>
      </c>
      <c r="E490" s="9" t="str">
        <f ca="1">+WORLDCUP!BD59</f>
        <v>Bosnia y Herzegovina</v>
      </c>
      <c r="F490" s="9" t="str">
        <f ca="1">+WORLDCUP!BD60</f>
        <v>Escocia</v>
      </c>
      <c r="G490" s="9" t="str">
        <f ca="1">+WORLDCUP!BD58</f>
        <v>República Checa</v>
      </c>
      <c r="H490" s="9" t="str">
        <f ca="1">+WORLDCUP!BD63</f>
        <v>Japón</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España</v>
      </c>
      <c r="D491" s="9" t="str">
        <f ca="1">+WORLDCUP!BD62</f>
        <v>Ecuador</v>
      </c>
      <c r="E491" s="9" t="str">
        <f ca="1">+WORLDCUP!BD59</f>
        <v>Bosnia y Herzegovina</v>
      </c>
      <c r="F491" s="9" t="str">
        <f ca="1">+WORLDCUP!BD60</f>
        <v>Escocia</v>
      </c>
      <c r="G491" s="9" t="str">
        <f ca="1">+WORLDCUP!BD58</f>
        <v>República Checa</v>
      </c>
      <c r="H491" s="9" t="str">
        <f ca="1">+WORLDCUP!BD63</f>
        <v>Japón</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Bélgica</v>
      </c>
      <c r="E492" s="9" t="str">
        <f ca="1">+WORLDCUP!BD59</f>
        <v>Bosnia y Herzegovina</v>
      </c>
      <c r="F492" s="9" t="str">
        <f ca="1">+WORLDCUP!BD61</f>
        <v>Paraguay</v>
      </c>
      <c r="G492" s="9" t="str">
        <f ca="1">+WORLDCUP!BD58</f>
        <v>República Checa</v>
      </c>
      <c r="H492" s="9" t="str">
        <f ca="1">+WORLDCUP!BD63</f>
        <v>Japón</v>
      </c>
      <c r="I492" s="9" t="str">
        <f ca="1">+WORLDCUP!BD69</f>
        <v>Panamá</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Bélgica</v>
      </c>
      <c r="E493" s="9" t="str">
        <f ca="1">+WORLDCUP!BD59</f>
        <v>Bosnia y Herzegovina</v>
      </c>
      <c r="F493" s="9" t="str">
        <f ca="1">+WORLDCUP!BD61</f>
        <v>Paraguay</v>
      </c>
      <c r="G493" s="9" t="str">
        <f ca="1">+WORLDCUP!BD58</f>
        <v>República Checa</v>
      </c>
      <c r="H493" s="9" t="str">
        <f ca="1">+WORLDCUP!BD63</f>
        <v>Japón</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Bélgica</v>
      </c>
      <c r="E494" s="9" t="str">
        <f ca="1">+WORLDCUP!BD59</f>
        <v>Bosnia y Herzegovina</v>
      </c>
      <c r="F494" s="9" t="str">
        <f ca="1">+WORLDCUP!BD61</f>
        <v>Paraguay</v>
      </c>
      <c r="G494" s="9" t="str">
        <f ca="1">+WORLDCUP!BD58</f>
        <v>República Checa</v>
      </c>
      <c r="H494" s="9" t="str">
        <f ca="1">+WORLDCUP!BD63</f>
        <v>Japón</v>
      </c>
      <c r="I494" s="9" t="str">
        <f ca="1">+WORLDCUP!BD62</f>
        <v>Ecuador</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Bélgica</v>
      </c>
      <c r="E495" s="9" t="str">
        <f ca="1">+WORLDCUP!BD59</f>
        <v>Bosnia y Herzegovina</v>
      </c>
      <c r="F495" s="9" t="str">
        <f ca="1">+WORLDCUP!BD61</f>
        <v>Paraguay</v>
      </c>
      <c r="G495" s="9" t="str">
        <f ca="1">+WORLDCUP!BD58</f>
        <v>República Checa</v>
      </c>
      <c r="H495" s="9" t="str">
        <f ca="1">+WORLDCUP!BD63</f>
        <v>Japón</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España</v>
      </c>
      <c r="D496" s="9" t="str">
        <f ca="1">+WORLDCUP!BD64</f>
        <v>Bélgica</v>
      </c>
      <c r="E496" s="9" t="str">
        <f ca="1">+WORLDCUP!BD59</f>
        <v>Bosnia y Herzegovina</v>
      </c>
      <c r="F496" s="9" t="str">
        <f ca="1">+WORLDCUP!BD60</f>
        <v>Escocia</v>
      </c>
      <c r="G496" s="9" t="str">
        <f ca="1">+WORLDCUP!BD58</f>
        <v>República Checa</v>
      </c>
      <c r="H496" s="9" t="str">
        <f ca="1">+WORLDCUP!BD63</f>
        <v>Japón</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Error2</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2026-06-20T05:05:58Z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
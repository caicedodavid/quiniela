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BCA0BEB-6647-0041-9136-7BDD4AECC8C8}"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8" i="2"/>
  <c r="I49" i="2"/>
  <c r="U56" i="2"/>
  <c r="E57"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13" i="4" l="1"/>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5" i="4" l="1"/>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BT39" i="2"/>
  <c r="F68" i="2" s="1"/>
  <c r="BT52" i="2"/>
  <c r="E93" i="2" s="1"/>
  <c r="BT16" i="2"/>
  <c r="BT32" i="2"/>
  <c r="BT17" i="2"/>
  <c r="BT35" i="2"/>
  <c r="F60" i="2" s="1"/>
  <c r="BT26" i="2"/>
  <c r="BT50" i="2"/>
  <c r="E92" i="2" s="1"/>
  <c r="BT30" i="2"/>
  <c r="BT34" i="2"/>
  <c r="BT7" i="2"/>
  <c r="E9" i="2" s="1"/>
  <c r="BT27" i="2"/>
  <c r="BT28" i="2"/>
  <c r="BT48" i="2"/>
  <c r="E85" i="2" s="1"/>
  <c r="BT20" i="2"/>
  <c r="BT24" i="2"/>
  <c r="BT13" i="2"/>
  <c r="BT23" i="2"/>
  <c r="BT22" i="2"/>
  <c r="BT31" i="2"/>
  <c r="F52" i="2" s="1"/>
  <c r="BT49" i="2"/>
  <c r="F85" i="2" s="1"/>
  <c r="BT21" i="2"/>
  <c r="BT15" i="2"/>
  <c r="BT45" i="2"/>
  <c r="F77" i="2" s="1"/>
  <c r="BT33" i="2"/>
  <c r="F53" i="2" s="1"/>
  <c r="BT12" i="2"/>
  <c r="BT6" i="2"/>
  <c r="F8" i="2" s="1"/>
  <c r="BT10" i="2"/>
  <c r="BT46" i="2"/>
  <c r="E84" i="2" s="1"/>
  <c r="BT19" i="2"/>
  <c r="BT29" i="2"/>
  <c r="BT53" i="2"/>
  <c r="F93" i="2" s="1"/>
  <c r="BT36" i="2"/>
  <c r="E52" i="2" l="1"/>
  <c r="E54" i="2"/>
  <c r="E53" i="2"/>
  <c r="F54" i="2"/>
  <c r="E61" i="2"/>
  <c r="F62" i="2"/>
  <c r="E60" i="2"/>
  <c r="E62" i="2"/>
  <c r="F45" i="2"/>
  <c r="E47" i="2"/>
  <c r="F44" i="2"/>
  <c r="F47" i="2"/>
  <c r="F37" i="2"/>
  <c r="E39" i="2"/>
  <c r="F36" i="2"/>
  <c r="F39" i="2"/>
  <c r="E36" i="2"/>
  <c r="E38" i="2"/>
  <c r="E37" i="2"/>
  <c r="F38" i="2"/>
  <c r="E45" i="2"/>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I62" i="2" s="1"/>
  <c r="BZ39" i="2"/>
  <c r="BZ31" i="2"/>
  <c r="BZ22" i="2"/>
  <c r="H38" i="2" s="1"/>
  <c r="BZ23" i="2"/>
  <c r="I39" i="2" s="1"/>
  <c r="BZ33" i="2"/>
  <c r="BZ21" i="2"/>
  <c r="H31" i="2" s="1"/>
  <c r="BZ27" i="2"/>
  <c r="I47" i="2" s="1"/>
  <c r="BZ12" i="2"/>
  <c r="BZ53" i="2"/>
  <c r="BZ25" i="2"/>
  <c r="H39" i="2" s="1"/>
  <c r="BZ51" i="2"/>
  <c r="BZ16" i="2"/>
  <c r="I23" i="2" s="1"/>
  <c r="BZ50" i="2"/>
  <c r="BZ34" i="2"/>
  <c r="H62" i="2" s="1"/>
  <c r="BZ41" i="2"/>
  <c r="BZ30" i="2"/>
  <c r="H54" i="2" s="1"/>
  <c r="BZ9" i="2"/>
  <c r="H8" i="2" s="1"/>
  <c r="BZ32" i="2"/>
  <c r="I54" i="2" s="1"/>
  <c r="BZ17" i="2"/>
  <c r="H22" i="2" s="1"/>
  <c r="BZ47" i="2"/>
  <c r="BZ6" i="2"/>
  <c r="BZ38" i="2"/>
  <c r="BZ46" i="2"/>
  <c r="BZ15" i="2"/>
  <c r="I22" i="2" s="1"/>
  <c r="BZ44" i="2"/>
  <c r="BZ48" i="2"/>
  <c r="BZ26" i="2"/>
  <c r="H46" i="2" s="1"/>
  <c r="BZ19" i="2"/>
  <c r="I31" i="2" s="1"/>
  <c r="BZ20" i="2"/>
  <c r="I30" i="2" s="1"/>
  <c r="BZ29" i="2"/>
  <c r="H47" i="2" s="1"/>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CE52" i="2"/>
  <c r="CE24" i="2"/>
  <c r="L38" i="2" s="1"/>
  <c r="CE50" i="2"/>
  <c r="CE27" i="2"/>
  <c r="L47" i="2" s="1"/>
  <c r="CE39" i="2"/>
  <c r="CE36" i="2"/>
  <c r="L62" i="2" s="1"/>
  <c r="CE42" i="2"/>
  <c r="CE7" i="2"/>
  <c r="CE25" i="2"/>
  <c r="K39" i="2" s="1"/>
  <c r="CE20" i="2"/>
  <c r="L30" i="2" s="1"/>
  <c r="CE47" i="2"/>
  <c r="CE34" i="2"/>
  <c r="K62" i="2" s="1"/>
  <c r="CE6" i="2"/>
  <c r="L8" i="2" s="1"/>
  <c r="CE33" i="2"/>
  <c r="CE11" i="2"/>
  <c r="L14" i="2" s="1"/>
  <c r="CE15" i="2"/>
  <c r="L22" i="2" s="1"/>
  <c r="CE32" i="2"/>
  <c r="L54" i="2" s="1"/>
  <c r="CE8" i="2"/>
  <c r="L9" i="2" s="1"/>
  <c r="CE31" i="2"/>
  <c r="CE45" i="2"/>
  <c r="CE12" i="2"/>
  <c r="L15" i="2" s="1"/>
  <c r="CE22" i="2"/>
  <c r="K38" i="2" s="1"/>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CH25" i="2"/>
  <c r="N39" i="2" s="1"/>
  <c r="CH8" i="2"/>
  <c r="O9" i="2" s="1"/>
  <c r="CH45" i="2"/>
  <c r="CH18" i="2"/>
  <c r="CH23" i="2"/>
  <c r="CH47" i="2"/>
  <c r="CH32" i="2"/>
  <c r="O54" i="2" s="1"/>
  <c r="CH43" i="2"/>
  <c r="CH49" i="2"/>
  <c r="CH14" i="2"/>
  <c r="N23" i="2" s="1"/>
  <c r="CH38" i="2"/>
  <c r="N68" i="2" s="1"/>
  <c r="CH36" i="2"/>
  <c r="O62" i="2" s="1"/>
  <c r="CH46" i="2"/>
  <c r="CH48" i="2"/>
  <c r="CH24" i="2"/>
  <c r="O38" i="2" s="1"/>
  <c r="CH31" i="2"/>
  <c r="CH12" i="2"/>
  <c r="O15" i="2" s="1"/>
  <c r="CH37" i="2"/>
  <c r="CH35" i="2"/>
  <c r="CH53" i="2"/>
  <c r="CK41" i="2"/>
  <c r="CH17" i="2"/>
  <c r="N22" i="2" s="1"/>
  <c r="CH19" i="2"/>
  <c r="O31" i="2" s="1"/>
  <c r="CH52" i="2"/>
  <c r="N93" i="2" s="1"/>
  <c r="CH51" i="2"/>
  <c r="CH9" i="2"/>
  <c r="O5" i="2" s="1"/>
  <c r="CH30" i="2"/>
  <c r="N54" i="2" s="1"/>
  <c r="CH13" i="2"/>
  <c r="N14" i="2" s="1"/>
  <c r="CH42" i="2"/>
  <c r="CH27" i="2"/>
  <c r="O47" i="2" s="1"/>
  <c r="CH40" i="2"/>
  <c r="N69" i="2" s="1"/>
  <c r="N9" i="2"/>
  <c r="CH26" i="2"/>
  <c r="CH11" i="2"/>
  <c r="CH33" i="2"/>
  <c r="O53" i="2" s="1"/>
  <c r="CH22" i="2"/>
  <c r="CH21" i="2"/>
  <c r="CH15" i="2"/>
  <c r="O22" i="2" s="1"/>
  <c r="CH10" i="2"/>
  <c r="CH39" i="2"/>
  <c r="O68" i="2" s="1"/>
  <c r="CH29" i="2"/>
  <c r="CH20" i="2"/>
  <c r="O30" i="2" s="1"/>
  <c r="CH50" i="2"/>
  <c r="N92" i="2" s="1"/>
  <c r="O8" i="2"/>
  <c r="CJ28" i="2"/>
  <c r="O45" i="2" l="1"/>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CN37" i="2"/>
  <c r="R61" i="2" s="1"/>
  <c r="CN32" i="2"/>
  <c r="CN45" i="2"/>
  <c r="R77" i="2" s="1"/>
  <c r="CN53" i="2"/>
  <c r="R93" i="2" s="1"/>
  <c r="CN18" i="2"/>
  <c r="CN33" i="2"/>
  <c r="R53" i="2" s="1"/>
  <c r="CN30" i="2"/>
  <c r="CN28" i="2"/>
  <c r="CN36" i="2"/>
  <c r="CN24" i="2"/>
  <c r="CN48" i="2"/>
  <c r="Q85" i="2" s="1"/>
  <c r="CN34" i="2"/>
  <c r="CN13" i="2"/>
  <c r="CN51" i="2"/>
  <c r="R92" i="2" s="1"/>
  <c r="CN43" i="2"/>
  <c r="R76" i="2" s="1"/>
  <c r="CN15" i="2"/>
  <c r="CN14" i="2"/>
  <c r="CN40" i="2"/>
  <c r="Q69" i="2" s="1"/>
  <c r="CN26" i="2"/>
  <c r="CN31" i="2"/>
  <c r="R52" i="2" s="1"/>
  <c r="CN38" i="2"/>
  <c r="Q68" i="2" s="1"/>
  <c r="CN21" i="2"/>
  <c r="CN23" i="2"/>
  <c r="CN17" i="2"/>
  <c r="CN20" i="2"/>
  <c r="CN35" i="2"/>
  <c r="R60" i="2" s="1"/>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Q53" i="2" l="1"/>
  <c r="R54" i="2"/>
  <c r="Q52" i="2"/>
  <c r="Q54" i="2"/>
  <c r="Q61" i="2"/>
  <c r="R62" i="2"/>
  <c r="Q60" i="2"/>
  <c r="Q62" i="2"/>
  <c r="R37" i="2"/>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CS39" i="2"/>
  <c r="CS28" i="2"/>
  <c r="U46" i="2" s="1"/>
  <c r="CS44" i="2"/>
  <c r="CS20" i="2"/>
  <c r="U30" i="2" s="1"/>
  <c r="CS21" i="2"/>
  <c r="T31" i="2" s="1"/>
  <c r="CS38" i="2"/>
  <c r="CS30" i="2"/>
  <c r="T54" i="2" s="1"/>
  <c r="CS32" i="2"/>
  <c r="U54" i="2" s="1"/>
  <c r="CS17" i="2"/>
  <c r="T22" i="2" s="1"/>
  <c r="CS7" i="2"/>
  <c r="U4" i="2" s="1"/>
  <c r="CS23" i="2"/>
  <c r="U39" i="2" s="1"/>
  <c r="CS48" i="2"/>
  <c r="CS12" i="2"/>
  <c r="U15" i="2" s="1"/>
  <c r="CS34" i="2"/>
  <c r="T62" i="2" s="1"/>
  <c r="CS16" i="2"/>
  <c r="U23" i="2" s="1"/>
  <c r="CS10" i="2"/>
  <c r="T15" i="2" s="1"/>
  <c r="CS9" i="2"/>
  <c r="T6" i="2" s="1"/>
  <c r="CS40" i="2"/>
  <c r="CS6" i="2"/>
  <c r="T7" i="2" s="1"/>
  <c r="CS11" i="2"/>
  <c r="U14" i="2" s="1"/>
  <c r="CS27" i="2"/>
  <c r="U47" i="2" s="1"/>
  <c r="CS46" i="2"/>
  <c r="CS42" i="2"/>
  <c r="CS25" i="2"/>
  <c r="T39" i="2" s="1"/>
  <c r="CS19" i="2"/>
  <c r="U31" i="2" s="1"/>
  <c r="CS33" i="2"/>
  <c r="CS13" i="2"/>
  <c r="T14" i="2" s="1"/>
  <c r="CS37" i="2"/>
  <c r="CS36" i="2"/>
  <c r="U62" i="2" s="1"/>
  <c r="CS51" i="2"/>
  <c r="CS50" i="2"/>
  <c r="CS45" i="2"/>
  <c r="CS24" i="2"/>
  <c r="U38" i="2" s="1"/>
  <c r="CS47" i="2"/>
  <c r="CS43" i="2"/>
  <c r="CS35" i="2"/>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<sst xmlns="http://schemas.openxmlformats.org/spreadsheetml/2006/main" count="6754" uniqueCount="1516">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</sst>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54" sqref="AD5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60" spans="1:31" x14ac:dyDescent="0.2">
      <c r="AC60" s="292">
        <v>0</v>
      </c>
      <c r="AD60" s="292">
        <v>0</v>
      </c>
    </row>
    <row r="61" spans="1:31" x14ac:dyDescent="0.2">
      <c r="AC61" s="292">
        <v>1</v>
      </c>
      <c r="AD61" s="292">
        <v>1</v>
      </c>
    </row>
    <row r="62" spans="1:31" x14ac:dyDescent="0.2">
      <c r="AC62" s="292">
        <v>4</v>
      </c>
      <c r="AD62" s="292">
        <v>0</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9" zoomScaleNormal="100" workbookViewId="0">
      <selection activeCell="AD54" sqref="AD5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1</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6</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P.3 (2)</v>
      </c>
      <c r="BU31" s="16">
        <f t="shared" ca="1" si="28"/>
        <v>0</v>
      </c>
      <c r="BV31" s="16">
        <f t="shared" ca="1" si="29"/>
        <v>0</v>
      </c>
      <c r="BW31" s="16">
        <f t="shared" ca="1" si="30"/>
        <v>0</v>
      </c>
      <c r="BX31" s="16">
        <f t="shared" ca="1" si="31"/>
        <v>0</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P.3 (2)</v>
      </c>
      <c r="CA31" s="16">
        <f t="shared" ca="1" si="32"/>
        <v>0</v>
      </c>
      <c r="CB31" s="16">
        <f t="shared" ca="1" si="33"/>
        <v>0</v>
      </c>
      <c r="CC31" s="16">
        <f t="shared" ca="1" si="34"/>
        <v>0</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P.3 (2)</v>
      </c>
      <c r="CF31" s="16">
        <f t="shared" ca="1" si="35"/>
        <v>0</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0</v>
      </c>
      <c r="CK31" s="16">
        <f t="shared" ca="1" si="38"/>
        <v>0</v>
      </c>
      <c r="CL31" s="16">
        <f t="shared" ca="1" si="39"/>
        <v>0</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0</v>
      </c>
      <c r="CP31" s="16">
        <f t="shared" ca="1" si="41"/>
        <v>0</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0</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4</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4</v>
      </c>
      <c r="DE31" s="16"/>
      <c r="DF31" s="16">
        <f t="shared" ca="1" si="46"/>
        <v>4</v>
      </c>
      <c r="DG31" s="16" t="str">
        <f ca="1">IF(DB31="-","-",COUNTIFS(DF$6:DF$53,"&lt;"&amp;DF31,$BC$6:$BC$53,INDEX(T_Equipos[Grupo],MATCH(BD31,T_Equipos[NombreEquipo],0))))</f>
        <v>-</v>
      </c>
      <c r="DH31" s="16">
        <f ca="1">DA31+COUNTIFS(DB$6:DB$53,DB31,DG$6:DG$53,"&lt;"&amp;DG31,$BC$6:$BC$53,INDEX(T_Equipos[Grupo],MATCH(BD31,T_Equipos[NombreEquipo],0)))</f>
        <v>4</v>
      </c>
      <c r="DI31" s="16"/>
      <c r="DJ31" s="16">
        <f t="shared" ca="1" si="47"/>
        <v>2</v>
      </c>
      <c r="DK31" s="16">
        <f t="shared" ca="1" si="48"/>
        <v>6</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(2)</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(2)</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(2)</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1</v>
      </c>
      <c r="DE32" s="16"/>
      <c r="DF32" s="16">
        <f t="shared" ca="1" si="46"/>
        <v>1</v>
      </c>
      <c r="DG32" s="16" t="str">
        <f ca="1">IF(DB32="-","-",COUNTIFS(DF$6:DF$53,"&lt;"&amp;DF32,$BC$6:$BC$53,INDEX(T_Equipos[Grupo],MATCH(BD32,T_Equipos[NombreEquipo],0))))</f>
        <v>-</v>
      </c>
      <c r="DH32" s="16">
        <f ca="1">DA32+COUNTIFS(DB$6:DB$53,DB32,DG$6:DG$53,"&lt;"&amp;DG32,$BC$6:$BC$53,INDEX(T_Equipos[Grupo],MATCH(BD32,T_Equipos[NombreEquipo],0)))</f>
        <v>1</v>
      </c>
      <c r="DI32" s="16"/>
      <c r="DJ32" s="16">
        <f t="shared" ca="1" si="47"/>
        <v>3</v>
      </c>
      <c r="DK32" s="16">
        <f t="shared" ca="1" si="48"/>
        <v>6</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0</v>
      </c>
      <c r="BW33" s="16">
        <f t="shared" ca="1" si="30"/>
        <v>0</v>
      </c>
      <c r="BX33" s="16">
        <f t="shared" ca="1" si="31"/>
        <v>0</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0</v>
      </c>
      <c r="CK33" s="16">
        <f t="shared" ca="1" si="38"/>
        <v>0</v>
      </c>
      <c r="CL33" s="16">
        <f t="shared" ca="1" si="39"/>
        <v>0</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0</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45"/>
        <v>2</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6</v>
      </c>
      <c r="DL33" s="16">
        <f t="shared" ca="1" si="49"/>
        <v>1</v>
      </c>
      <c r="DM33" s="16" t="str">
        <f t="shared" ca="1" si="50"/>
        <v>4.1</v>
      </c>
      <c r="DN33" s="16">
        <f t="array" aca="1" ref="DN33" ca="1">OFFSET(Horarios!$P$3,DJ33-1,0,DL33,1)</f>
        <v>4</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6</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(3)</v>
      </c>
      <c r="BU35" s="16">
        <f t="shared" ca="1" si="28"/>
        <v>0</v>
      </c>
      <c r="BV35" s="16">
        <f t="shared" ca="1" si="29"/>
        <v>0</v>
      </c>
      <c r="BW35" s="16">
        <f t="shared" ca="1" si="30"/>
        <v>0</v>
      </c>
      <c r="BX35" s="16">
        <f t="shared" ca="1" si="31"/>
        <v>0</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6</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2</v>
      </c>
      <c r="BT36" s="16" t="str">
        <f ca="1">IF(COUNTIFS($BS$6:$BS$53,BS36,$BC$6:$BC$53,INDEX(T_Equipos[Grupo],MATCH(BD36,T_Equipos[NombreEquipo],0)))=1,"-","P."&amp;BS36&amp;" ("&amp;COUNTIFS($BS$6:$BS$53,BS36,$BC$6:$BC$53,INDEX(T_Equipos[Grupo],MATCH(BD36,T_Equipos[NombreEquipo],0)))&amp;")")</f>
        <v>P.2 (3)</v>
      </c>
      <c r="BU36" s="16">
        <f t="shared" ca="1" si="28"/>
        <v>0</v>
      </c>
      <c r="BV36" s="16">
        <f t="shared" ca="1" si="29"/>
        <v>1</v>
      </c>
      <c r="BW36" s="16">
        <f t="shared" ca="1" si="30"/>
        <v>0</v>
      </c>
      <c r="BX36" s="16">
        <f t="shared" ca="1" si="31"/>
        <v>1</v>
      </c>
      <c r="BY36" s="16">
        <f ca="1">BS36+COUNTIFS($BT$6:$BT$53,BT36,$BX$6:BX$53,"&gt;"&amp;BX36,$BC$6:$BC$53,INDEX(T_Equipos[Grupo],MATCH(BD36,T_Equipos[NombreEquipo],0)))</f>
        <v>2</v>
      </c>
      <c r="BZ36" s="16" t="str">
        <f ca="1">IF(COUNTIFS($BY$6:$BY$53,BY36,$BC$6:$BC$53,INDEX(T_Equipos[Grupo],MATCH(BD36,T_Equipos[NombreEquipo],0)))=1,"-","P."&amp;BY36&amp;" ("&amp;COUNTIFS($BY$6:$BY$53,BY36,$BC$6:$BC$53,INDEX(T_Equipos[Grupo],MATCH(BD36,T_Equipos[NombreEquipo],0)))&amp;")")</f>
        <v>P.2 (2)</v>
      </c>
      <c r="CA36" s="16">
        <f t="shared" ca="1" si="32"/>
        <v>1</v>
      </c>
      <c r="CB36" s="16">
        <f t="shared" ca="1" si="33"/>
        <v>1</v>
      </c>
      <c r="CC36" s="16">
        <f t="shared" ca="1" si="34"/>
        <v>0</v>
      </c>
      <c r="CD36" s="16">
        <f ca="1">BY36+COUNTIFS($BZ$6:$BZ$53,BZ36,$CC$6:CC$53,"&gt;"&amp;CC36,$BC$6:$BC$53,INDEX(T_Equipos[Grupo],MATCH(BD36,T_Equipos[NombreEquipo],0)))</f>
        <v>2</v>
      </c>
      <c r="CE36" s="16" t="str">
        <f ca="1">IF(COUNTIFS($CD$6:$CD$53,CD36,$BC$6:$BC$53,INDEX(T_Equipos[Grupo],MATCH(BD36,T_Equipos[NombreEquipo],0)))=1,"-","P."&amp;CD36&amp;" ("&amp;COUNTIFS($CD$6:$CD$53,CD36,$BC$6:$BC$53,INDEX(T_Equipos[Grupo],MATCH(BD36,T_Equipos[NombreEquipo],0)))&amp;")")</f>
        <v>P.2 (2)</v>
      </c>
      <c r="CF36" s="16">
        <f t="shared" ca="1" si="35"/>
        <v>1</v>
      </c>
      <c r="CG36" s="16">
        <f ca="1">CD36+COUNTIFS($CE$6:$CE$53,CE36,$CF$6:CF$53,"&gt;"&amp;CF36,$BC$6:$BC$53,INDEX(T_Equipos[Grupo],MATCH(BD36,T_Equipos[NombreEquipo],0)))</f>
        <v>2</v>
      </c>
      <c r="CH36" s="16" t="str">
        <f ca="1">IF(COUNTIFS($CG$6:$CG$53,CG36,$BC$6:$BC$53,INDEX(T_Equipos[Grupo],MATCH(BD36,T_Equipos[NombreEquipo],0)))=1,"-","P."&amp;CG36&amp;" ("&amp;COUNTIFS($CG$6:$CG$53,CG36,$BC$6:$BC$53,INDEX(T_Equipos[Grupo],MATCH(BD36,T_Equipos[NombreEquipo],0)))&amp;")")</f>
        <v>P.2 (2)</v>
      </c>
      <c r="CI36" s="16">
        <f t="shared" ca="1" si="36"/>
        <v>0</v>
      </c>
      <c r="CJ36" s="16">
        <f t="shared" ca="1" si="37"/>
        <v>1</v>
      </c>
      <c r="CK36" s="16">
        <f t="shared" ca="1" si="38"/>
        <v>0</v>
      </c>
      <c r="CL36" s="16">
        <f t="shared" ca="1" si="39"/>
        <v>1</v>
      </c>
      <c r="CM36" s="16">
        <f ca="1">CG36+COUNTIFS($CH$6:$CH$53,CH36,$CL$6:CL$53,"&gt;"&amp;CL36,$BC$6:$BC$53,INDEX(T_Equipos[Grupo],MATCH(BD36,T_Equipos[NombreEquipo],0)))</f>
        <v>2</v>
      </c>
      <c r="CN36" s="16" t="str">
        <f ca="1">IF(COUNTIFS($CM$6:$CM$53,CM36,$BC$6:$BC$53,INDEX(T_Equipos[Grupo],MATCH(BD36,T_Equipos[NombreEquipo],0)))=1,"-","P."&amp;CM36&amp;" ("&amp;COUNTIFS($CM$6:$CM$53,CM36,$BC$6:$BC$53,INDEX(T_Equipos[Grupo],MATCH(BD36,T_Equipos[NombreEquipo],0)))&amp;")")</f>
        <v>P.2 (2)</v>
      </c>
      <c r="CO36" s="16">
        <f t="shared" ca="1" si="40"/>
        <v>1</v>
      </c>
      <c r="CP36" s="16">
        <f t="shared" ca="1" si="41"/>
        <v>1</v>
      </c>
      <c r="CQ36" s="16">
        <f t="shared" ca="1" si="42"/>
        <v>0</v>
      </c>
      <c r="CR36" s="16">
        <f ca="1">CM36+COUNTIFS($CN$6:$CN$53,CN36,$CQ$6:CQ$53,"&gt;"&amp;CQ36,$BC$6:$BC$53,INDEX(T_Equipos[Grupo],MATCH(BD36,T_Equipos[NombreEquipo],0)))</f>
        <v>2</v>
      </c>
      <c r="CS36" s="16" t="str">
        <f ca="1">IF(COUNTIFS($CR$6:$CR$53,CR36,$BC$6:$BC$53,INDEX(T_Equipos[Grupo],MATCH(BD36,T_Equipos[NombreEquipo],0)))=1,"-","P."&amp;CR36&amp;" ("&amp;COUNTIFS($CR$6:$CR$53,CR36,$BC$6:$BC$53,INDEX(T_Equipos[Grupo],MATCH(BD36,T_Equipos[NombreEquipo],0)))&amp;")")</f>
        <v>P.2 (2)</v>
      </c>
      <c r="CT36" s="16">
        <f t="shared" ca="1" si="43"/>
        <v>1</v>
      </c>
      <c r="CU36" s="16">
        <f ca="1">CR36+COUNTIFS($CS$6:$CS$53,CS36,$CT$6:CT$53,"&gt;"&amp;CT36,$BC$6:$BC$53,INDEX(T_Equipos[Grupo],MATCH(BD36,T_Equipos[NombreEquipo],0)))</f>
        <v>2</v>
      </c>
      <c r="CV36" s="16" t="str">
        <f ca="1">IF(COUNTIFS($CU$6:$CU$53,CU36,$BC$6:$BC$53,INDEX(T_Equipos[Grupo],MATCH(BD36,T_Equipos[NombreEquipo],0)))=1,"-","P."&amp;CU36&amp;" ("&amp;COUNTIFS($CU$6:$CU$53,CU36,$BC$6:$BC$53,INDEX(T_Equipos[Grupo],MATCH(BD36,T_Equipos[NombreEquipo],0)))&amp;")")</f>
        <v>P.2 (2)</v>
      </c>
      <c r="CW36" s="16">
        <f t="shared" ca="1" si="44"/>
        <v>-4</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6</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(3)</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1</v>
      </c>
      <c r="CB37" s="16">
        <f t="shared" ca="1" si="33"/>
        <v>1</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1</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1</v>
      </c>
      <c r="CP37" s="16">
        <f t="shared" ca="1" si="41"/>
        <v>1</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1</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6</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P.3 (2)</v>
      </c>
      <c r="G52" s="16"/>
      <c r="H52" s="16" t="str">
        <f t="shared" ref="H52:H57" ca="1" si="135">IF(D52="Pendiente","-",INDEX($BZ$6:$BZ$53,MATCH($AA52,$BD$6:$BD$53,0)))</f>
        <v>P.1 (2)</v>
      </c>
      <c r="I52" s="16" t="str">
        <f t="shared" ref="I52:I57" ca="1" si="136">IF(D52="Pendiente","-",INDEX($BZ$6:$BZ$53,MATCH($AF52,$BD$6:$BD$53,0)))</f>
        <v>P.3 (2)</v>
      </c>
      <c r="J52" s="16"/>
      <c r="K52" s="16" t="str">
        <f t="shared" ref="K52:K57" ca="1" si="137">IF(D52="Pendiente","-",INDEX($CE$6:$CE$53,MATCH($AA52,$BD$6:$BD$53,0)))</f>
        <v>P.1 (2)</v>
      </c>
      <c r="L52" s="16" t="str">
        <f t="shared" ref="L52:L57" ca="1" si="138">IF(D52="Pendiente","-",INDEX($CE$6:$CE$53,MATCH($AF52,$BD$6:$BD$53,0)))</f>
        <v>P.3 (2)</v>
      </c>
      <c r="M52" s="16"/>
      <c r="N52" s="16" t="str">
        <f t="shared" ref="N52:N57" ca="1" si="139">IF(D52="Pendiente","-",INDEX($CH$6:$CH$53,MATCH($AA52,$BD$6:$BD$53,0)))</f>
        <v>P.1 (2)</v>
      </c>
      <c r="O52" s="16" t="str">
        <f t="shared" ref="O52:O57" ca="1" si="140">IF(D52="Pendiente","-",INDEX($CH$6:$CH$53,MATCH($AF52,$BD$6:$BD$53,0)))</f>
        <v>P.3 (2)</v>
      </c>
      <c r="P52" s="16"/>
      <c r="Q52" s="16" t="str">
        <f t="shared" ref="Q52:Q57" ca="1" si="141">IF(D52="Pendiente","-",INDEX($CN$6:$CN$53,MATCH($AA52,$BD$6:$BD$53,0)))</f>
        <v>P.1 (2)</v>
      </c>
      <c r="R52" s="16" t="str">
        <f t="shared" ref="R52:R57" ca="1" si="142">IF(D52="Pendiente","-",INDEX($CN$6:$CN$53,MATCH($AF52,$BD$6:$BD$53,0)))</f>
        <v>P.3 (2)</v>
      </c>
      <c r="S52" s="16"/>
      <c r="T52" s="16" t="str">
        <f t="shared" ref="T52:T57" ca="1" si="143">IF(D52="Pendiente","-",INDEX($CS$6:$CS$53,MATCH($AA52,$BD$6:$BD$53,0)))</f>
        <v>P.1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(2)</v>
      </c>
      <c r="F53" s="16" t="str">
        <f t="shared" ca="1" si="134"/>
        <v>P.3 (2)</v>
      </c>
      <c r="G53" s="16"/>
      <c r="H53" s="16" t="str">
        <f t="shared" ca="1" si="135"/>
        <v>P.1 (2)</v>
      </c>
      <c r="I53" s="16" t="str">
        <f t="shared" ca="1" si="136"/>
        <v>P.3 (2)</v>
      </c>
      <c r="J53" s="16"/>
      <c r="K53" s="16" t="str">
        <f t="shared" ca="1" si="137"/>
        <v>P.1 (2)</v>
      </c>
      <c r="L53" s="16" t="str">
        <f t="shared" ca="1" si="138"/>
        <v>P.3 (2)</v>
      </c>
      <c r="M53" s="16"/>
      <c r="N53" s="16" t="str">
        <f t="shared" ca="1" si="139"/>
        <v>P.1 (2)</v>
      </c>
      <c r="O53" s="16" t="str">
        <f t="shared" ca="1" si="140"/>
        <v>P.3 (2)</v>
      </c>
      <c r="P53" s="16"/>
      <c r="Q53" s="16" t="str">
        <f t="shared" ca="1" si="141"/>
        <v>P.1 (2)</v>
      </c>
      <c r="R53" s="16" t="str">
        <f t="shared" ca="1" si="142"/>
        <v>P.3 (2)</v>
      </c>
      <c r="S53" s="16"/>
      <c r="T53" s="16" t="str">
        <f t="shared" ca="1" si="143"/>
        <v>P.1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P.1 (2)</v>
      </c>
      <c r="F54" s="16" t="str">
        <f t="shared" ca="1" si="134"/>
        <v>P.1 (2)</v>
      </c>
      <c r="G54" s="16"/>
      <c r="H54" s="16" t="str">
        <f t="shared" ca="1" si="135"/>
        <v>P.1 (2)</v>
      </c>
      <c r="I54" s="16" t="str">
        <f t="shared" ca="1" si="136"/>
        <v>P.1 (2)</v>
      </c>
      <c r="J54" s="16"/>
      <c r="K54" s="16" t="str">
        <f t="shared" ca="1" si="137"/>
        <v>P.1 (2)</v>
      </c>
      <c r="L54" s="16" t="str">
        <f t="shared" ca="1" si="138"/>
        <v>P.1 (2)</v>
      </c>
      <c r="M54" s="16"/>
      <c r="N54" s="16" t="str">
        <f t="shared" ca="1" si="139"/>
        <v>P.1 (2)</v>
      </c>
      <c r="O54" s="16" t="str">
        <f t="shared" ca="1" si="140"/>
        <v>P.1 (2)</v>
      </c>
      <c r="P54" s="16"/>
      <c r="Q54" s="16" t="str">
        <f t="shared" ca="1" si="141"/>
        <v>P.1 (2)</v>
      </c>
      <c r="R54" s="16" t="str">
        <f t="shared" ca="1" si="142"/>
        <v>P.1 (2)</v>
      </c>
      <c r="S54" s="16"/>
      <c r="T54" s="16" t="str">
        <f t="shared" ca="1" si="143"/>
        <v>P.1 (2)</v>
      </c>
      <c r="U54" s="16" t="str">
        <f t="shared" ca="1" si="144"/>
        <v>P.1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2</v>
      </c>
      <c r="AN54" s="36">
        <f t="shared" ca="1" si="147"/>
        <v>2</v>
      </c>
      <c r="AO54" s="36">
        <f t="shared" ca="1" si="147"/>
        <v>0</v>
      </c>
      <c r="AP54" s="36">
        <f t="shared" ca="1" si="147"/>
        <v>2</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Bélgica</v>
      </c>
      <c r="AM55" s="38">
        <f t="shared" ca="1" si="147"/>
        <v>2</v>
      </c>
      <c r="AN55" s="39">
        <f t="shared" ca="1" si="147"/>
        <v>2</v>
      </c>
      <c r="AO55" s="39">
        <f t="shared" ca="1" si="147"/>
        <v>0</v>
      </c>
      <c r="AP55" s="39">
        <f t="shared" ca="1" si="147"/>
        <v>2</v>
      </c>
      <c r="AQ55" s="39">
        <f t="shared" ca="1" si="147"/>
        <v>0</v>
      </c>
      <c r="AR55" s="39">
        <f t="shared" ca="1" si="147"/>
        <v>1</v>
      </c>
      <c r="AS55" s="39">
        <f t="shared" ca="1" si="147"/>
        <v>1</v>
      </c>
      <c r="AT55" s="43">
        <f t="shared" ca="1" si="147"/>
        <v>0</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1</v>
      </c>
      <c r="AO56" s="39">
        <f t="shared" ca="1" si="147"/>
        <v>0</v>
      </c>
      <c r="AP56" s="39">
        <f t="shared" ca="1" si="147"/>
        <v>1</v>
      </c>
      <c r="AQ56" s="39">
        <f t="shared" ca="1" si="147"/>
        <v>0</v>
      </c>
      <c r="AR56" s="39">
        <f t="shared" ca="1" si="147"/>
        <v>2</v>
      </c>
      <c r="AS56" s="39">
        <f t="shared" ca="1" si="147"/>
        <v>2</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4</v>
      </c>
      <c r="BT58" s="16" t="str">
        <f t="shared" ref="BT58:BT69" ca="1" si="157">IF(COUNTIF(BS$58:BS$69,BS58)=1,"-","Pos. "&amp;BS58&amp;" ("&amp;COUNTIF(BS$58:BS$69,BS58)&amp;")")</f>
        <v>Pos. 4 (6)</v>
      </c>
      <c r="BU58" s="16">
        <f t="shared" ref="BU58:BU69" ca="1" si="158">IF(BT58="-","-",BL58)</f>
        <v>-1</v>
      </c>
      <c r="BV58" s="16">
        <f t="shared" ref="BV58:BV69" ca="1" si="159">BS58+COUNTIFS(BT$58:BT$69,BT58,BU$58:BU$69,"&gt;"&amp;BU58)</f>
        <v>6</v>
      </c>
      <c r="BW58" s="16" t="str">
        <f t="shared" ref="BW58:BW69" ca="1" si="160">IF(COUNTIF(BV$58:BV$69,BV58)=1,"-","Pos. "&amp;BV58&amp;" ("&amp;COUNTIF(BV$58:BV$69,BV58)&amp;")")</f>
        <v>Pos. 6 (2)</v>
      </c>
      <c r="BX58" s="16">
        <f t="shared" ref="BX58:BX69" ca="1" si="161">IF(BW58="-","-",BJ58)</f>
        <v>2</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8</v>
      </c>
      <c r="BN59" s="16">
        <f t="shared" ca="1" si="153"/>
        <v>8</v>
      </c>
      <c r="BO59" s="16" t="str">
        <f t="shared" si="154"/>
        <v>4B</v>
      </c>
      <c r="BP59" s="16"/>
      <c r="BQ59" s="16"/>
      <c r="BR59" s="16">
        <f t="shared" ca="1" si="155"/>
        <v>1</v>
      </c>
      <c r="BS59" s="16">
        <f t="shared" ca="1" si="156"/>
        <v>4</v>
      </c>
      <c r="BT59" s="16" t="str">
        <f t="shared" ca="1" si="157"/>
        <v>Pos. 4 (6)</v>
      </c>
      <c r="BU59" s="16">
        <f t="shared" ca="1" si="158"/>
        <v>-3</v>
      </c>
      <c r="BV59" s="16">
        <f t="shared" ca="1" si="159"/>
        <v>8</v>
      </c>
      <c r="BW59" s="16" t="str">
        <f t="shared" ca="1" si="160"/>
        <v>-</v>
      </c>
      <c r="BX59" s="16" t="str">
        <f t="shared" ca="1" si="161"/>
        <v>-</v>
      </c>
      <c r="BY59" s="16">
        <f t="shared" ca="1" si="162"/>
        <v>8</v>
      </c>
      <c r="BZ59" s="16" t="str">
        <f t="shared" ca="1" si="163"/>
        <v>-</v>
      </c>
      <c r="CA59" s="16" t="str">
        <f t="shared" ca="1" si="164"/>
        <v>-</v>
      </c>
      <c r="CB59" s="16">
        <f t="shared" ca="1" si="165"/>
        <v>8</v>
      </c>
      <c r="CC59" s="16"/>
      <c r="CD59" s="16">
        <f t="shared" ca="1" si="166"/>
        <v>8</v>
      </c>
      <c r="CE59" s="16" t="str">
        <f t="shared" ca="1" si="167"/>
        <v>-</v>
      </c>
      <c r="CF59" s="16">
        <f t="shared" ca="1" si="168"/>
        <v>8</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(3)</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P.2 (3)</v>
      </c>
      <c r="F61" s="16" t="str">
        <f t="shared" ca="1" si="181"/>
        <v>P.2 (3)</v>
      </c>
      <c r="G61" s="16"/>
      <c r="H61" s="16" t="str">
        <f t="shared" ca="1" si="182"/>
        <v>P.2 (2)</v>
      </c>
      <c r="I61" s="16" t="str">
        <f t="shared" ca="1" si="183"/>
        <v>P.2 (2)</v>
      </c>
      <c r="J61" s="16"/>
      <c r="K61" s="16" t="str">
        <f t="shared" ca="1" si="184"/>
        <v>P.2 (2)</v>
      </c>
      <c r="L61" s="16" t="str">
        <f t="shared" ca="1" si="185"/>
        <v>P.2 (2)</v>
      </c>
      <c r="M61" s="16"/>
      <c r="N61" s="16" t="str">
        <f t="shared" ca="1" si="186"/>
        <v>P.2 (2)</v>
      </c>
      <c r="O61" s="16" t="str">
        <f t="shared" ca="1" si="187"/>
        <v>P.2 (2)</v>
      </c>
      <c r="P61" s="16"/>
      <c r="Q61" s="16" t="str">
        <f t="shared" ca="1" si="188"/>
        <v>P.2 (2)</v>
      </c>
      <c r="R61" s="16" t="str">
        <f t="shared" ca="1" si="189"/>
        <v>P.2 (2)</v>
      </c>
      <c r="S61" s="16"/>
      <c r="T61" s="16" t="str">
        <f t="shared" ca="1" si="190"/>
        <v>P.2 (2)</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Nueva Zelanda</v>
      </c>
    </row>
    <row r="62" spans="1:121" ht="16" customHeight="1" x14ac:dyDescent="0.2">
      <c r="A62" s="16" t="str">
        <f ca="1">+Equipos!B31</f>
        <v>Cabo Verde</v>
      </c>
      <c r="B62" s="16"/>
      <c r="C62" s="16"/>
      <c r="D62" s="16" t="str">
        <f t="shared" si="179"/>
        <v>Local</v>
      </c>
      <c r="E62" s="16" t="str">
        <f t="shared" ca="1" si="180"/>
        <v>-</v>
      </c>
      <c r="F62" s="16" t="str">
        <f t="shared" ca="1" si="181"/>
        <v>P.2 (3)</v>
      </c>
      <c r="G62" s="16"/>
      <c r="H62" s="16" t="str">
        <f t="shared" ca="1" si="182"/>
        <v>-</v>
      </c>
      <c r="I62" s="16" t="str">
        <f t="shared" ca="1" si="183"/>
        <v>P.2 (2)</v>
      </c>
      <c r="J62" s="16"/>
      <c r="K62" s="16" t="str">
        <f t="shared" ca="1" si="184"/>
        <v>-</v>
      </c>
      <c r="L62" s="16" t="str">
        <f t="shared" ca="1" si="185"/>
        <v>P.2 (2)</v>
      </c>
      <c r="M62" s="16"/>
      <c r="N62" s="16" t="str">
        <f t="shared" ca="1" si="186"/>
        <v>-</v>
      </c>
      <c r="O62" s="16" t="str">
        <f t="shared" ca="1" si="187"/>
        <v>P.2 (2)</v>
      </c>
      <c r="P62" s="16"/>
      <c r="Q62" s="16" t="str">
        <f t="shared" ca="1" si="188"/>
        <v>-</v>
      </c>
      <c r="R62" s="16" t="str">
        <f t="shared" ca="1" si="189"/>
        <v>P.2 (2)</v>
      </c>
      <c r="S62" s="16"/>
      <c r="T62" s="16" t="str">
        <f t="shared" ca="1" si="190"/>
        <v>-</v>
      </c>
      <c r="U62" s="16" t="str">
        <f t="shared" ca="1" si="191"/>
        <v>P.2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7</v>
      </c>
      <c r="BN62" s="16">
        <f t="shared" ca="1" si="153"/>
        <v>7</v>
      </c>
      <c r="BO62" s="16" t="str">
        <f t="shared" si="154"/>
        <v>4E</v>
      </c>
      <c r="BP62" s="16"/>
      <c r="BQ62" s="16"/>
      <c r="BR62" s="16">
        <f t="shared" ca="1" si="155"/>
        <v>1</v>
      </c>
      <c r="BS62" s="16">
        <f t="shared" ca="1" si="156"/>
        <v>4</v>
      </c>
      <c r="BT62" s="16" t="str">
        <f t="shared" ca="1" si="157"/>
        <v>Pos. 4 (6)</v>
      </c>
      <c r="BU62" s="16">
        <f t="shared" ca="1" si="158"/>
        <v>-1</v>
      </c>
      <c r="BV62" s="16">
        <f t="shared" ca="1" si="159"/>
        <v>6</v>
      </c>
      <c r="BW62" s="16" t="str">
        <f t="shared" ca="1" si="160"/>
        <v>Pos. 6 (2)</v>
      </c>
      <c r="BX62" s="16">
        <f t="shared" ca="1" si="161"/>
        <v>0</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2</v>
      </c>
      <c r="AO64" s="39">
        <f t="shared" ca="1" si="195"/>
        <v>0</v>
      </c>
      <c r="AP64" s="39">
        <f t="shared" ca="1" si="195"/>
        <v>1</v>
      </c>
      <c r="AQ64" s="39">
        <f t="shared" ca="1" si="195"/>
        <v>1</v>
      </c>
      <c r="AR64" s="39">
        <f t="shared" ca="1" si="195"/>
        <v>1</v>
      </c>
      <c r="AS64" s="39">
        <f t="shared" ca="1" si="195"/>
        <v>5</v>
      </c>
      <c r="AT64" s="43">
        <f t="shared" ca="1" si="195"/>
        <v>-4</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1</v>
      </c>
      <c r="BG64" s="16">
        <f t="shared" ca="1" si="174"/>
        <v>0</v>
      </c>
      <c r="BH64" s="16">
        <f t="shared" ca="1" si="175"/>
        <v>1</v>
      </c>
      <c r="BI64" s="16">
        <f t="shared" ca="1" si="176"/>
        <v>0</v>
      </c>
      <c r="BJ64" s="16">
        <f t="shared" ca="1" si="177"/>
        <v>2</v>
      </c>
      <c r="BK64" s="16">
        <f t="shared" ca="1" si="178"/>
        <v>2</v>
      </c>
      <c r="BL64" s="16">
        <f t="shared" ca="1" si="151"/>
        <v>0</v>
      </c>
      <c r="BM64" s="16">
        <f t="shared" ca="1" si="152"/>
        <v>4</v>
      </c>
      <c r="BN64" s="16">
        <f t="shared" ca="1" si="153"/>
        <v>4</v>
      </c>
      <c r="BO64" s="16" t="str">
        <f t="shared" si="154"/>
        <v>4G</v>
      </c>
      <c r="BP64" s="16"/>
      <c r="BQ64" s="16"/>
      <c r="BR64" s="16">
        <f t="shared" ca="1" si="155"/>
        <v>1</v>
      </c>
      <c r="BS64" s="16">
        <f t="shared" ca="1" si="156"/>
        <v>4</v>
      </c>
      <c r="BT64" s="16" t="str">
        <f t="shared" ca="1" si="157"/>
        <v>Pos. 4 (6)</v>
      </c>
      <c r="BU64" s="16">
        <f t="shared" ca="1" si="158"/>
        <v>0</v>
      </c>
      <c r="BV64" s="16">
        <f t="shared" ca="1" si="159"/>
        <v>4</v>
      </c>
      <c r="BW64" s="16" t="str">
        <f t="shared" ca="1" si="160"/>
        <v>Pos. 4 (2)</v>
      </c>
      <c r="BX64" s="16">
        <f t="shared" ca="1" si="161"/>
        <v>2</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Ecuador</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2</v>
      </c>
      <c r="BG65" s="16">
        <f t="shared" ca="1" si="174"/>
        <v>0</v>
      </c>
      <c r="BH65" s="16">
        <f t="shared" ca="1" si="175"/>
        <v>1</v>
      </c>
      <c r="BI65" s="16">
        <f t="shared" ca="1" si="176"/>
        <v>1</v>
      </c>
      <c r="BJ65" s="16">
        <f t="shared" ca="1" si="177"/>
        <v>1</v>
      </c>
      <c r="BK65" s="16">
        <f t="shared" ca="1" si="178"/>
        <v>5</v>
      </c>
      <c r="BL65" s="16">
        <f t="shared" ca="1" si="151"/>
        <v>-4</v>
      </c>
      <c r="BM65" s="16">
        <f t="shared" ca="1" si="152"/>
        <v>9</v>
      </c>
      <c r="BN65" s="16">
        <f t="shared" ca="1" si="153"/>
        <v>9</v>
      </c>
      <c r="BO65" s="16" t="str">
        <f t="shared" si="154"/>
        <v>4H</v>
      </c>
      <c r="BP65" s="16"/>
      <c r="BQ65" s="16"/>
      <c r="BR65" s="16">
        <f t="shared" ca="1" si="155"/>
        <v>1</v>
      </c>
      <c r="BS65" s="16">
        <f t="shared" ca="1" si="156"/>
        <v>4</v>
      </c>
      <c r="BT65" s="16" t="str">
        <f t="shared" ca="1" si="157"/>
        <v>Pos. 4 (6)</v>
      </c>
      <c r="BU65" s="16">
        <f t="shared" ca="1" si="158"/>
        <v>-4</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Bosnia y Herzegovina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7</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4</v>
      </c>
      <c r="BT68" s="16" t="str">
        <f t="shared" ca="1" si="157"/>
        <v>Pos. 4 (6)</v>
      </c>
      <c r="BU68" s="16">
        <f t="shared" ca="1" si="158"/>
        <v>0</v>
      </c>
      <c r="BV68" s="16">
        <f t="shared" ca="1" si="159"/>
        <v>4</v>
      </c>
      <c r="BW68" s="16" t="str">
        <f t="shared" ca="1" si="160"/>
        <v>Pos. 4 (2)</v>
      </c>
      <c r="BX68" s="16">
        <f t="shared" ca="1" si="161"/>
        <v>1</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ABCDEFGK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- 3C</v>
      </c>
      <c r="BA103" s="176"/>
      <c r="BF103" t="str">
        <f t="shared" ref="BF103:BF110" ca="1" si="273">IFERROR(INDEX($BC$6:$BC$53,MATCH(AL102,$BD$6:$BD$53,0)),"")</f>
        <v>F</v>
      </c>
      <c r="BG103">
        <f t="shared" ref="BG103:BG110" ca="1" si="274">COUNTIF($BF$103:$BF$110,"&lt;="&amp;BF103)</f>
        <v>6</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3</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Nueva Zelanda</v>
      </c>
      <c r="AM105" s="576">
        <f t="shared" ca="1" si="269"/>
        <v>1</v>
      </c>
      <c r="AN105" s="86">
        <f t="shared" ca="1" si="269"/>
        <v>1</v>
      </c>
      <c r="AO105" s="86">
        <f t="shared" ca="1" si="269"/>
        <v>0</v>
      </c>
      <c r="AP105" s="86">
        <f t="shared" ca="1" si="269"/>
        <v>1</v>
      </c>
      <c r="AQ105" s="86">
        <f t="shared" ca="1" si="269"/>
        <v>0</v>
      </c>
      <c r="AR105" s="86">
        <f t="shared" ca="1" si="269"/>
        <v>2</v>
      </c>
      <c r="AS105" s="86">
        <f t="shared" ca="1" si="269"/>
        <v>2</v>
      </c>
      <c r="AT105" s="87">
        <f t="shared" ca="1" si="269"/>
        <v>0</v>
      </c>
      <c r="AU105" s="323" t="str">
        <f t="shared" ca="1" si="270"/>
        <v/>
      </c>
      <c r="AV105" s="182" t="str">
        <f t="shared" ca="1" si="271"/>
        <v>Nueva Zelanda</v>
      </c>
      <c r="AW105" s="215"/>
      <c r="AX105" s="170"/>
      <c r="AY105" s="270"/>
      <c r="AZ105" s="273" t="str">
        <f t="shared" ca="1" si="272"/>
        <v>1D - 3B</v>
      </c>
      <c r="BA105" s="176"/>
      <c r="BF105" t="str">
        <f t="shared" ca="1" si="273"/>
        <v>D</v>
      </c>
      <c r="BG105">
        <f t="shared" ca="1" si="274"/>
        <v>4</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- 3D</v>
      </c>
      <c r="BA106" s="176"/>
      <c r="BF106" t="str">
        <f t="shared" ca="1" si="273"/>
        <v>G</v>
      </c>
      <c r="BG106">
        <f t="shared" ca="1" si="274"/>
        <v>7</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6</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K</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6</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Ecuador</v>
      </c>
      <c r="AM108" s="576">
        <f t="shared" ca="1" si="269"/>
        <v>1</v>
      </c>
      <c r="AN108" s="86">
        <f t="shared" ca="1" si="269"/>
        <v>2</v>
      </c>
      <c r="AO108" s="86">
        <f t="shared" ca="1" si="269"/>
        <v>0</v>
      </c>
      <c r="AP108" s="86">
        <f t="shared" ca="1" si="269"/>
        <v>1</v>
      </c>
      <c r="AQ108" s="86">
        <f t="shared" ca="1" si="269"/>
        <v>1</v>
      </c>
      <c r="AR108" s="86">
        <f t="shared" ca="1" si="269"/>
        <v>0</v>
      </c>
      <c r="AS108" s="86">
        <f t="shared" ca="1" si="269"/>
        <v>1</v>
      </c>
      <c r="AT108" s="87">
        <f t="shared" ca="1" si="269"/>
        <v>-1</v>
      </c>
      <c r="AU108" s="323" t="str">
        <f t="shared" ca="1" si="270"/>
        <v/>
      </c>
      <c r="AV108" s="182" t="str">
        <f t="shared" ca="1" si="271"/>
        <v>Ecuador</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Bosnia y Herzegovina</v>
      </c>
      <c r="AM109" s="576">
        <f t="shared" ca="1" si="269"/>
        <v>1</v>
      </c>
      <c r="AN109" s="86">
        <f t="shared" ca="1" si="269"/>
        <v>2</v>
      </c>
      <c r="AO109" s="86">
        <f t="shared" ca="1" si="269"/>
        <v>0</v>
      </c>
      <c r="AP109" s="86">
        <f t="shared" ca="1" si="269"/>
        <v>1</v>
      </c>
      <c r="AQ109" s="86">
        <f t="shared" ca="1" si="269"/>
        <v>1</v>
      </c>
      <c r="AR109" s="86">
        <f t="shared" ca="1" si="269"/>
        <v>2</v>
      </c>
      <c r="AS109" s="86">
        <f t="shared" ca="1" si="269"/>
        <v>5</v>
      </c>
      <c r="AT109" s="87">
        <f t="shared" ca="1" si="269"/>
        <v>-3</v>
      </c>
      <c r="AU109" s="323" t="str">
        <f t="shared" ca="1" si="270"/>
        <v/>
      </c>
      <c r="AV109" s="182" t="str">
        <f t="shared" ca="1" si="271"/>
        <v>Bosnia y Herzegovina</v>
      </c>
      <c r="AW109" s="215"/>
      <c r="AX109" s="170"/>
      <c r="AY109" s="270"/>
      <c r="AZ109" s="273" t="str">
        <f t="shared" ca="1" si="272"/>
        <v>1K - 3E</v>
      </c>
      <c r="BA109" s="176"/>
      <c r="BF109" t="str">
        <f t="shared" ca="1" si="273"/>
        <v>E</v>
      </c>
      <c r="BG109">
        <f t="shared" ca="1" si="274"/>
        <v>5</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Arabia Saudita</v>
      </c>
      <c r="AM110" s="576">
        <f t="shared" ca="1" si="269"/>
        <v>1</v>
      </c>
      <c r="AN110" s="86">
        <f t="shared" ca="1" si="269"/>
        <v>2</v>
      </c>
      <c r="AO110" s="86">
        <f t="shared" ca="1" si="269"/>
        <v>0</v>
      </c>
      <c r="AP110" s="86">
        <f t="shared" ca="1" si="269"/>
        <v>1</v>
      </c>
      <c r="AQ110" s="86">
        <f t="shared" ca="1" si="269"/>
        <v>1</v>
      </c>
      <c r="AR110" s="86">
        <f t="shared" ca="1" si="269"/>
        <v>1</v>
      </c>
      <c r="AS110" s="86">
        <f t="shared" ca="1" si="269"/>
        <v>5</v>
      </c>
      <c r="AT110" s="87">
        <f t="shared" ca="1" si="269"/>
        <v>-4</v>
      </c>
      <c r="AU110" s="323" t="str">
        <f t="shared" ca="1" si="270"/>
        <v/>
      </c>
      <c r="AV110" s="182" t="str">
        <f t="shared" ca="1" si="271"/>
        <v>Arabia Saudita</v>
      </c>
      <c r="AW110" s="215"/>
      <c r="AX110" s="170"/>
      <c r="AY110" s="270"/>
      <c r="AZ110" s="273" t="str">
        <f t="shared" ca="1" si="272"/>
        <v>1L - 3K</v>
      </c>
      <c r="BA110" s="176"/>
      <c r="BF110" t="str">
        <f t="shared" ca="1" si="273"/>
        <v>B</v>
      </c>
      <c r="BG110">
        <f t="shared" ca="1" si="274"/>
        <v>2</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ABCDEFGK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76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2</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2</v>
      </c>
      <c r="V5" s="39">
        <f ca="1">+INDEX(WORLDCUP!$AT$6:$AT$97,MATCH(X5,WORLDCUP!$AI$6:$AI$97,0))</f>
        <v>0</v>
      </c>
      <c r="W5" s="43" t="str">
        <f ca="1">+INDEX(WORLDCUP!$AR$6:$AR$97,MATCH(X5,WORLDCUP!$AI$6:$AI$97,0))&amp;"-"&amp;INDEX(WORLDCUP!$AS$6:$AS$97,MATCH(X5,WORLDCUP!$AI$6:$AI$97,0))</f>
        <v>1-1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0</v>
      </c>
      <c r="W6" s="43" t="str">
        <f ca="1">+INDEX(WORLDCUP!$AR$6:$AR$97,MATCH(X6,WORLDCUP!$AI$6:$AI$97,0))&amp;"-"&amp;INDEX(WORLDCUP!$AS$6:$AS$97,MATCH(X6,WORLDCUP!$AI$6:$AI$97,0))</f>
        <v>2-2</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-4</v>
      </c>
      <c r="W14" s="43" t="str">
        <f ca="1">+INDEX(WORLDCUP!$AR$6:$AR$97,MATCH(X14,WORLDCUP!$AI$6:$AI$97,0))&amp;"-"&amp;INDEX(WORLDCUP!$AS$6:$AS$97,MATCH(X14,WORLDCUP!$AI$6:$AI$97,0))</f>
        <v>1-5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Arabia Saudita</v>
      </c>
      <c r="H2" s="9" t="str">
        <f ca="1">+WORLDCUP!BD64</f>
        <v>Nueva Zelanda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Arabia Saudita</v>
      </c>
      <c r="H4" s="9" t="str">
        <f ca="1">+WORLDCUP!BD64</f>
        <v>Nueva Zelanda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Nueva Zelanda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Nueva Zelanda</v>
      </c>
      <c r="E7" s="9" t="str">
        <f ca="1">+WORLDCUP!BD67</f>
        <v>Jordania</v>
      </c>
      <c r="F7" s="9" t="str">
        <f ca="1">+WORLDCUP!BD61</f>
        <v>Paraguay</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Nueva Zelanda</v>
      </c>
      <c r="E8" s="9" t="str">
        <f ca="1">+WORLDCUP!BD66</f>
        <v>Senegal</v>
      </c>
      <c r="F8" s="9" t="str">
        <f ca="1">+WORLDCUP!BD61</f>
        <v>Paraguay</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Nueva Zelanda</v>
      </c>
      <c r="E9" s="9" t="str">
        <f ca="1">+WORLDCUP!BD67</f>
        <v>Jordania</v>
      </c>
      <c r="F9" s="9" t="str">
        <f ca="1">+WORLDCUP!BD61</f>
        <v>Paraguay</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Nueva Zelanda</v>
      </c>
      <c r="E10" s="9" t="str">
        <f ca="1">+WORLDCUP!BD67</f>
        <v>Jordania</v>
      </c>
      <c r="F10" s="9" t="str">
        <f ca="1">+WORLDCUP!BD61</f>
        <v>Paraguay</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Nueva Zelanda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Paraguay</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Paraguay</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Paraguay</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Paraguay</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Arabia Saudita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Nueva Zelanda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Nueva Zelanda</v>
      </c>
      <c r="E28" s="9" t="str">
        <f ca="1">+WORLDCUP!BD67</f>
        <v>Jordania</v>
      </c>
      <c r="F28" s="9" t="str">
        <f ca="1">+WORLDCUP!BD60</f>
        <v>Escocia</v>
      </c>
      <c r="G28" s="9" t="str">
        <f ca="1">+WORLDCUP!BD65</f>
        <v>Arabia Saudita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Nueva Zelanda</v>
      </c>
      <c r="E29" s="9" t="str">
        <f ca="1">+WORLDCUP!BD66</f>
        <v>Senegal</v>
      </c>
      <c r="F29" s="9" t="str">
        <f ca="1">+WORLDCUP!BD60</f>
        <v>Escocia</v>
      </c>
      <c r="G29" s="9" t="str">
        <f ca="1">+WORLDCUP!BD65</f>
        <v>Arabia Saudita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Nueva Zelanda</v>
      </c>
      <c r="E30" s="9" t="str">
        <f ca="1">+WORLDCUP!BD67</f>
        <v>Jordania</v>
      </c>
      <c r="F30" s="9" t="str">
        <f ca="1">+WORLDCUP!BD60</f>
        <v>Escocia</v>
      </c>
      <c r="G30" s="9" t="str">
        <f ca="1">+WORLDCUP!BD65</f>
        <v>Arabia Saudita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Nueva Zelanda</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Ecuador</v>
      </c>
      <c r="F41" s="9" t="str">
        <f ca="1">+WORLDCUP!BD61</f>
        <v>Paraguay</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Paraguay</v>
      </c>
      <c r="G42" s="9" t="str">
        <f ca="1">+WORLDCUP!BD65</f>
        <v>Arabia Saudita</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Paraguay</v>
      </c>
      <c r="G43" s="9" t="str">
        <f ca="1">+WORLDCUP!BD65</f>
        <v>Arabia Saudita</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Ecuador</v>
      </c>
      <c r="F44" s="9" t="str">
        <f ca="1">+WORLDCUP!BD61</f>
        <v>Paraguay</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Ecuador</v>
      </c>
      <c r="F45" s="9" t="str">
        <f ca="1">+WORLDCUP!BD61</f>
        <v>Paraguay</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Nueva Zelanda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Nueva Zelanda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Arabia Saudita</v>
      </c>
      <c r="H64" s="9" t="str">
        <f ca="1">+WORLDCUP!BD64</f>
        <v>Nueva Zelanda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Nueva Zelanda</v>
      </c>
      <c r="E65" s="9" t="str">
        <f ca="1">+WORLDCUP!BD59</f>
        <v>Bosnia y Herzegovina</v>
      </c>
      <c r="F65" s="9" t="str">
        <f ca="1">+WORLDCUP!BD61</f>
        <v>Paraguay</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Nueva Zelanda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Nueva Zelanda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Nueva Zelanda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Nueva Zelanda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Nueva Zelanda</v>
      </c>
      <c r="E77" s="9" t="str">
        <f ca="1">+WORLDCUP!BD59</f>
        <v>Bosnia y Herzegovina</v>
      </c>
      <c r="F77" s="9" t="str">
        <f ca="1">+WORLDCUP!BD61</f>
        <v>Paraguay</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Nueva Zelanda</v>
      </c>
      <c r="E80" s="9" t="str">
        <f ca="1">+WORLDCUP!BD59</f>
        <v>Bosnia y Herzegovina</v>
      </c>
      <c r="F80" s="9" t="str">
        <f ca="1">+WORLDCUP!BD61</f>
        <v>Paraguay</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Nueva Zelanda</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Paraguay</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Paraguay</v>
      </c>
      <c r="G127" s="9" t="str">
        <f ca="1">+WORLDCUP!BD65</f>
        <v>Arabia Saudita</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Paraguay</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Nueva Zelanda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Nueva Zelanda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Nueva Zelanda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Nueva Zelanda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Nueva Zelanda</v>
      </c>
      <c r="E141" s="9" t="str">
        <f ca="1">+WORLDCUP!BD59</f>
        <v>Bosnia y Herzegovina</v>
      </c>
      <c r="F141" s="9" t="str">
        <f ca="1">+WORLDCUP!BD60</f>
        <v>Escocia</v>
      </c>
      <c r="G141" s="9" t="str">
        <f ca="1">+WORLDCUP!BD65</f>
        <v>Arabia Saudita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Nueva Zelanda</v>
      </c>
      <c r="E144" s="9" t="str">
        <f ca="1">+WORLDCUP!BD59</f>
        <v>Bosnia y Herzegovina</v>
      </c>
      <c r="F144" s="9" t="str">
        <f ca="1">+WORLDCUP!BD60</f>
        <v>Escocia</v>
      </c>
      <c r="G144" s="9" t="str">
        <f ca="1">+WORLDCUP!BD65</f>
        <v>Arabia Saudita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Nueva Zelanda</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Paraguay</v>
      </c>
      <c r="G163" s="9" t="str">
        <f ca="1">+WORLDCUP!BD65</f>
        <v>Arabia Saudita</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Nueva Zelanda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Nueva Zelanda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Nueva Zelanda</v>
      </c>
      <c r="E184" s="9" t="str">
        <f ca="1">+WORLDCUP!BD67</f>
        <v>Jordania</v>
      </c>
      <c r="F184" s="9" t="str">
        <f ca="1">+WORLDCUP!BD61</f>
        <v>Paraguay</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Nueva Zelanda</v>
      </c>
      <c r="E185" s="9" t="str">
        <f ca="1">+WORLDCUP!BD66</f>
        <v>Senegal</v>
      </c>
      <c r="F185" s="9" t="str">
        <f ca="1">+WORLDCUP!BD61</f>
        <v>Paraguay</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Nueva Zelanda</v>
      </c>
      <c r="E186" s="9" t="str">
        <f ca="1">+WORLDCUP!BD67</f>
        <v>Jordania</v>
      </c>
      <c r="F186" s="9" t="str">
        <f ca="1">+WORLDCUP!BD61</f>
        <v>Paraguay</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Nueva Zelanda</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Nueva Zelanda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Nueva Zelanda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Nueva Zelanda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Nueva Zelanda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Nueva Zelanda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Nueva Zelanda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Nueva Zelanda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Nueva Zelanda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Nueva Zelanda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Nueva Zelanda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Paraguay</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Nueva Zelanda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Nueva Zelanda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Nueva Zelanda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Nueva Zelanda</v>
      </c>
      <c r="E345" s="9" t="str">
        <f ca="1">+WORLDCUP!BD59</f>
        <v>Bosnia y Herzegovina</v>
      </c>
      <c r="F345" s="9" t="str">
        <f ca="1">+WORLDCUP!BD61</f>
        <v>Paraguay</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Nueva Zelanda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Nueva Zelanda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Nueva Zelanda</v>
      </c>
      <c r="E348" s="9" t="str">
        <f ca="1">+WORLDCUP!BD59</f>
        <v>Bosnia y Herzegovina</v>
      </c>
      <c r="F348" s="9" t="str">
        <f ca="1">+WORLDCUP!BD61</f>
        <v>Paraguay</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Nueva Zelanda</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Nueva Zelanda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Nueva Zelanda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Nueva Zelanda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Nueva Zelanda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Nueva Zelanda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Nueva Zelanda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Nueva Zelanda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Nueva Zelanda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Nueva Zelanda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Nueva Zelanda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Nueva Zelanda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Nueva Zelanda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Nueva Zelanda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Nueva Zelanda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1</v>
      </c>
      <c r="C493" s="9" t="str">
        <f ca="1">+WORLDCUP!BD60</f>
        <v>Escocia</v>
      </c>
      <c r="D493" s="9" t="str">
        <f ca="1">+WORLDCUP!BD64</f>
        <v>Nueva Zelanda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2026-06-21T23:30:58Z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
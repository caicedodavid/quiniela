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4F2A354A-DAF2-FB4C-A36F-902BE45CEB9A}"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T22" i="2"/>
  <c r="L22" i="2"/>
  <c r="K22" i="2"/>
  <c r="I22" i="2"/>
  <c r="H22" i="2"/>
  <c r="F22" i="2"/>
  <c r="O22" i="2"/>
  <c r="N22" i="2"/>
  <c r="Q24" i="2"/>
  <c r="O24" i="2"/>
  <c r="N24" i="2"/>
  <c r="L24" i="2"/>
  <c r="K24" i="2"/>
  <c r="I24" i="2"/>
  <c r="H24" i="2"/>
  <c r="F24" i="2"/>
  <c r="E24" i="2"/>
  <c r="T24" i="2"/>
  <c r="R24"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U17" i="2"/>
  <c r="Q22" i="2"/>
  <c r="R23" i="2"/>
  <c r="X146" i="2"/>
  <c r="X130" i="2"/>
  <c r="X119" i="2"/>
  <c r="X83" i="2"/>
  <c r="X51" i="2"/>
  <c r="X137" i="2"/>
  <c r="X100" i="2"/>
  <c r="X59" i="2"/>
  <c r="X142" i="2"/>
  <c r="X75" i="2"/>
  <c r="X67" i="2"/>
  <c r="X91" i="2"/>
  <c r="X11" i="2"/>
  <c r="X27" i="2" s="1"/>
  <c r="X43" i="2" s="1"/>
  <c r="R22" i="2"/>
  <c r="T23" i="2"/>
  <c r="AJ53" i="2"/>
  <c r="AC11" i="2"/>
  <c r="N25" i="2"/>
  <c r="O39" i="2"/>
  <c r="N39" i="2"/>
  <c r="L39" i="2"/>
  <c r="U39" i="2"/>
  <c r="T39" i="2"/>
  <c r="R39" i="2"/>
  <c r="Q39" i="2"/>
  <c r="K39" i="2"/>
  <c r="I39" i="2"/>
  <c r="AC142" i="2"/>
  <c r="AC119" i="2"/>
  <c r="AC130" i="2"/>
  <c r="AC75" i="2"/>
  <c r="AC91" i="2"/>
  <c r="AC83" i="2"/>
  <c r="AC59" i="2"/>
  <c r="AC100" i="2"/>
  <c r="AC43" i="2"/>
  <c r="AC35" i="2"/>
  <c r="O25" i="2"/>
  <c r="AR29" i="2"/>
  <c r="E39" i="2"/>
  <c r="AD142" i="2"/>
  <c r="AD59" i="2"/>
  <c r="AD91" i="2"/>
  <c r="AD130" i="2"/>
  <c r="AD119" i="2"/>
  <c r="AD43" i="2"/>
  <c r="AD83" i="2"/>
  <c r="AD100" i="2"/>
  <c r="AD75" i="2"/>
  <c r="AD35" i="2"/>
  <c r="AD27" i="2"/>
  <c r="AD67" i="2"/>
  <c r="AD51" i="2"/>
  <c r="Q25" i="2"/>
  <c r="F39" i="2"/>
  <c r="AF137" i="2"/>
  <c r="AF142" i="2"/>
  <c r="AF146" i="2"/>
  <c r="AF59" i="2"/>
  <c r="AF91" i="2"/>
  <c r="AF67" i="2"/>
  <c r="AF100" i="2"/>
  <c r="AF119" i="2"/>
  <c r="AF83" i="2"/>
  <c r="AF75" i="2"/>
  <c r="AF51" i="2"/>
  <c r="AR85" i="2"/>
  <c r="AR53" i="2"/>
  <c r="AR101" i="2"/>
  <c r="AR77" i="2"/>
  <c r="AR37" i="2"/>
  <c r="AR69" i="2"/>
  <c r="AR93" i="2"/>
  <c r="AR61" i="2"/>
  <c r="AR45"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C213" i="3"/>
  <c r="L32" i="2"/>
  <c r="K32" i="2"/>
  <c r="K38"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4" i="4" l="1"/>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F21" i="4" s="1"/>
  <c r="AY23" i="2"/>
  <c r="AF20" i="2"/>
  <c r="C12" i="4"/>
  <c r="BC20" i="2"/>
  <c r="O44" i="4"/>
  <c r="AF85" i="2"/>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29" i="4" l="1"/>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BS41" i="2" s="1"/>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E20" i="2" s="1"/>
  <c r="BT42" i="2"/>
  <c r="E76" i="2" s="1"/>
  <c r="BT9" i="2"/>
  <c r="E8" i="2" s="1"/>
  <c r="BT37" i="2"/>
  <c r="F61" i="2" s="1"/>
  <c r="BT8" i="2"/>
  <c r="F9" i="2" s="1"/>
  <c r="BT18" i="2"/>
  <c r="BT11" i="2"/>
  <c r="BT25" i="2"/>
  <c r="F37" i="2" s="1"/>
  <c r="BT39" i="2"/>
  <c r="F68" i="2" s="1"/>
  <c r="BT52" i="2"/>
  <c r="E93" i="2" s="1"/>
  <c r="BT16" i="2"/>
  <c r="E21" i="2" s="1"/>
  <c r="BT32" i="2"/>
  <c r="E53" i="2" s="1"/>
  <c r="BT17" i="2"/>
  <c r="F21" i="2" s="1"/>
  <c r="BT35" i="2"/>
  <c r="F60" i="2" s="1"/>
  <c r="BT26" i="2"/>
  <c r="E44" i="2" s="1"/>
  <c r="BT50" i="2"/>
  <c r="E92" i="2" s="1"/>
  <c r="BT30" i="2"/>
  <c r="E52" i="2" s="1"/>
  <c r="BT34" i="2"/>
  <c r="E60" i="2" s="1"/>
  <c r="BT7" i="2"/>
  <c r="E9" i="2" s="1"/>
  <c r="BT27" i="2"/>
  <c r="F44" i="2" s="1"/>
  <c r="BT28" i="2"/>
  <c r="E45" i="2" s="1"/>
  <c r="BT48" i="2"/>
  <c r="E85" i="2" s="1"/>
  <c r="BT20" i="2"/>
  <c r="BT24" i="2"/>
  <c r="E37" i="2" s="1"/>
  <c r="BT13" i="2"/>
  <c r="BT23" i="2"/>
  <c r="F36" i="2" s="1"/>
  <c r="BT22" i="2"/>
  <c r="E36" i="2" s="1"/>
  <c r="BT31" i="2"/>
  <c r="F52" i="2" s="1"/>
  <c r="BT49" i="2"/>
  <c r="F85" i="2" s="1"/>
  <c r="BT21" i="2"/>
  <c r="F29" i="2" s="1"/>
  <c r="BT15" i="2"/>
  <c r="F20" i="2" s="1"/>
  <c r="BT45" i="2"/>
  <c r="F77" i="2" s="1"/>
  <c r="BT33" i="2"/>
  <c r="F53" i="2" s="1"/>
  <c r="BT12" i="2"/>
  <c r="BT6" i="2"/>
  <c r="F8" i="2" s="1"/>
  <c r="BT10" i="2"/>
  <c r="BT46" i="2"/>
  <c r="E84" i="2" s="1"/>
  <c r="BT19" i="2"/>
  <c r="F28" i="2" s="1"/>
  <c r="BT29" i="2"/>
  <c r="F45" i="2" s="1"/>
  <c r="BT53" i="2"/>
  <c r="F93" i="2" s="1"/>
  <c r="BT36" i="2"/>
  <c r="E61" i="2" s="1"/>
  <c r="E29" i="2" l="1"/>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I30" i="2" s="1"/>
  <c r="BZ29" i="2"/>
  <c r="BZ10" i="2"/>
  <c r="H15" i="2" s="1"/>
  <c r="BZ8" i="2"/>
  <c r="BZ28" i="2"/>
  <c r="BZ37" i="2"/>
  <c r="BZ52" i="2"/>
  <c r="BZ13" i="2"/>
  <c r="H14" i="2" s="1"/>
  <c r="BZ35" i="2"/>
  <c r="BZ18" i="2"/>
  <c r="H30" i="2" s="1"/>
  <c r="BZ43" i="2"/>
  <c r="BZ11" i="2"/>
  <c r="I14" i="2" s="1"/>
  <c r="BZ14" i="2"/>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L30" i="2" s="1"/>
  <c r="CE47" i="2"/>
  <c r="CE34" i="2"/>
  <c r="CE6" i="2"/>
  <c r="L8" i="2" s="1"/>
  <c r="CE33" i="2"/>
  <c r="CE11" i="2"/>
  <c r="L14" i="2" s="1"/>
  <c r="CE15" i="2"/>
  <c r="CE32" i="2"/>
  <c r="CE8" i="2"/>
  <c r="L9" i="2" s="1"/>
  <c r="CE31" i="2"/>
  <c r="CE45" i="2"/>
  <c r="CE12" i="2"/>
  <c r="L15" i="2" s="1"/>
  <c r="CE22" i="2"/>
  <c r="CE37" i="2"/>
  <c r="CE9" i="2"/>
  <c r="CE49" i="2"/>
  <c r="CE28" i="2"/>
  <c r="CE21" i="2"/>
  <c r="CE48" i="2"/>
  <c r="CE10" i="2"/>
  <c r="K15" i="2" s="1"/>
  <c r="CE13" i="2"/>
  <c r="K14" i="2" s="1"/>
  <c r="CE40" i="2"/>
  <c r="CE38" i="2"/>
  <c r="CE35" i="2"/>
  <c r="CE16" i="2"/>
  <c r="CE26" i="2"/>
  <c r="CE19" i="2"/>
  <c r="CE18" i="2"/>
  <c r="K30" i="2" s="1"/>
  <c r="CE41" i="2"/>
  <c r="CE43" i="2"/>
  <c r="CE14" i="2"/>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H34" i="2"/>
  <c r="CH16" i="2"/>
  <c r="CI16" i="2" s="1"/>
  <c r="CH44" i="2"/>
  <c r="CH25" i="2"/>
  <c r="CH8" i="2"/>
  <c r="O9" i="2" s="1"/>
  <c r="CH45" i="2"/>
  <c r="CH18" i="2"/>
  <c r="CH23" i="2"/>
  <c r="O36" i="2" s="1"/>
  <c r="CH47" i="2"/>
  <c r="CH32" i="2"/>
  <c r="CH43" i="2"/>
  <c r="CH49" i="2"/>
  <c r="CH14" i="2"/>
  <c r="CH38" i="2"/>
  <c r="N68" i="2" s="1"/>
  <c r="CH36" i="2"/>
  <c r="CH46" i="2"/>
  <c r="CH48" i="2"/>
  <c r="CH24" i="2"/>
  <c r="CH31" i="2"/>
  <c r="CH12" i="2"/>
  <c r="O15" i="2" s="1"/>
  <c r="CH37" i="2"/>
  <c r="CH35" i="2"/>
  <c r="CH53" i="2"/>
  <c r="CK41" i="2"/>
  <c r="CH17" i="2"/>
  <c r="CH19" i="2"/>
  <c r="CH52" i="2"/>
  <c r="N93" i="2" s="1"/>
  <c r="CH51" i="2"/>
  <c r="CH9" i="2"/>
  <c r="O5" i="2" s="1"/>
  <c r="CH30" i="2"/>
  <c r="CH13" i="2"/>
  <c r="N14" i="2" s="1"/>
  <c r="CH42" i="2"/>
  <c r="CH27" i="2"/>
  <c r="CH40" i="2"/>
  <c r="N69" i="2" s="1"/>
  <c r="N9" i="2"/>
  <c r="CH26" i="2"/>
  <c r="N44" i="2" s="1"/>
  <c r="CH11" i="2"/>
  <c r="CH33" i="2"/>
  <c r="O53" i="2" s="1"/>
  <c r="CH22" i="2"/>
  <c r="N36" i="2" s="1"/>
  <c r="CH21" i="2"/>
  <c r="O29" i="2" s="1"/>
  <c r="CH15" i="2"/>
  <c r="CH10" i="2"/>
  <c r="CH39" i="2"/>
  <c r="O68" i="2" s="1"/>
  <c r="CH29" i="2"/>
  <c r="O45" i="2" s="1"/>
  <c r="CH20" i="2"/>
  <c r="O30" i="2" s="1"/>
  <c r="CH50" i="2"/>
  <c r="N92" i="2" s="1"/>
  <c r="N7" i="2"/>
  <c r="O8" i="2"/>
  <c r="CJ28" i="2"/>
  <c r="CK18" i="2" l="1"/>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1" i="2" l="1"/>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CN33" i="2"/>
  <c r="R53" i="2" s="1"/>
  <c r="CN30" i="2"/>
  <c r="Q52" i="2" s="1"/>
  <c r="CN28" i="2"/>
  <c r="Q45" i="2" s="1"/>
  <c r="CN36" i="2"/>
  <c r="Q61" i="2" s="1"/>
  <c r="CN24" i="2"/>
  <c r="Q37" i="2" s="1"/>
  <c r="CN48" i="2"/>
  <c r="Q85" i="2" s="1"/>
  <c r="CN34" i="2"/>
  <c r="Q60" i="2" s="1"/>
  <c r="CN13" i="2"/>
  <c r="CN51" i="2"/>
  <c r="R92" i="2" s="1"/>
  <c r="CN43" i="2"/>
  <c r="R76" i="2" s="1"/>
  <c r="CN15" i="2"/>
  <c r="R20" i="2" s="1"/>
  <c r="CN14" i="2"/>
  <c r="Q20" i="2" s="1"/>
  <c r="CN40" i="2"/>
  <c r="Q69" i="2" s="1"/>
  <c r="CN26" i="2"/>
  <c r="Q44" i="2" s="1"/>
  <c r="CN31" i="2"/>
  <c r="R52" i="2" s="1"/>
  <c r="CN38" i="2"/>
  <c r="Q68" i="2" s="1"/>
  <c r="CN21" i="2"/>
  <c r="R29" i="2" s="1"/>
  <c r="CN23" i="2"/>
  <c r="R36" i="2" s="1"/>
  <c r="CN17" i="2"/>
  <c r="R21" i="2" s="1"/>
  <c r="CN20" i="2"/>
  <c r="CN35" i="2"/>
  <c r="R60" i="2" s="1"/>
  <c r="CN44" i="2"/>
  <c r="Q77" i="2" s="1"/>
  <c r="CN25" i="2"/>
  <c r="R37" i="2" s="1"/>
  <c r="CN39" i="2"/>
  <c r="R68" i="2" s="1"/>
  <c r="CN52" i="2"/>
  <c r="Q93" i="2" s="1"/>
  <c r="CN47" i="2"/>
  <c r="R84" i="2" s="1"/>
  <c r="CN50" i="2"/>
  <c r="Q92" i="2" s="1"/>
  <c r="CN16" i="2"/>
  <c r="Q21" i="2" s="1"/>
  <c r="CN12" i="2"/>
  <c r="CN22" i="2"/>
  <c r="Q36" i="2" s="1"/>
  <c r="CN19" i="2"/>
  <c r="R28" i="2" s="1"/>
  <c r="CN49" i="2"/>
  <c r="R85" i="2" s="1"/>
  <c r="CN41" i="2"/>
  <c r="R69" i="2" s="1"/>
  <c r="CN8" i="2"/>
  <c r="CN9" i="2"/>
  <c r="CN10" i="2"/>
  <c r="CN6" i="2"/>
  <c r="Q4" i="2" s="1"/>
  <c r="CN7" i="2"/>
  <c r="R4" i="2" s="1"/>
  <c r="CN46" i="2"/>
  <c r="Q84" i="2" s="1"/>
  <c r="CN11" i="2"/>
  <c r="Q28" i="2" l="1"/>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10" i="2"/>
  <c r="CO10" i="2"/>
  <c r="CP40" i="2"/>
  <c r="CO40" i="2"/>
  <c r="Q8" i="2"/>
  <c r="R5" i="2"/>
  <c r="CO8" i="2" s="1"/>
  <c r="Q6" i="2"/>
  <c r="CP7" i="2" s="1"/>
  <c r="CP39" i="2"/>
  <c r="CO39" i="2"/>
  <c r="CP14" i="2"/>
  <c r="CO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O7" i="2" l="1"/>
  <c r="CQ7" i="2" s="1"/>
  <c r="CO26" i="2"/>
  <c r="CQ26" i="2" s="1"/>
  <c r="CQ42" i="2"/>
  <c r="CQ27" i="2"/>
  <c r="CP8" i="2"/>
  <c r="CQ8" i="2" s="1"/>
  <c r="CP6" i="2"/>
  <c r="CQ6" i="2" s="1"/>
  <c r="CQ16" i="2"/>
  <c r="CQ30" i="2"/>
  <c r="CQ36" i="2"/>
  <c r="CQ31" i="2"/>
  <c r="CQ37" i="2"/>
  <c r="CQ11" i="2"/>
  <c r="CQ10" i="2"/>
  <c r="CQ49" i="2"/>
  <c r="CQ53" i="2"/>
  <c r="CQ48" i="2"/>
  <c r="CQ17" i="2"/>
  <c r="CQ52"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T30" i="2" s="1"/>
  <c r="CS49" i="2"/>
  <c r="CS26" i="2"/>
  <c r="CS52" i="2"/>
  <c r="CS53" i="2"/>
  <c r="CS41" i="2"/>
  <c r="CS29" i="2"/>
  <c r="CS8" i="2"/>
  <c r="U7" i="2" s="1"/>
  <c r="CS31" i="2"/>
  <c r="CS39" i="2"/>
  <c r="CS28" i="2"/>
  <c r="CS44" i="2"/>
  <c r="CS20" i="2"/>
  <c r="U30" i="2" s="1"/>
  <c r="CS21" i="2"/>
  <c r="CS38" i="2"/>
  <c r="CS30" i="2"/>
  <c r="CS32" i="2"/>
  <c r="CS17" i="2"/>
  <c r="CS7" i="2"/>
  <c r="U4" i="2" s="1"/>
  <c r="CS23" i="2"/>
  <c r="CS48" i="2"/>
  <c r="CS12" i="2"/>
  <c r="U15" i="2" s="1"/>
  <c r="CS34" i="2"/>
  <c r="CS16" i="2"/>
  <c r="CS10" i="2"/>
  <c r="T15" i="2" s="1"/>
  <c r="CS9" i="2"/>
  <c r="T6" i="2" s="1"/>
  <c r="CS40" i="2"/>
  <c r="CS6" i="2"/>
  <c r="T7" i="2" s="1"/>
  <c r="CS11" i="2"/>
  <c r="U14" i="2" s="1"/>
  <c r="CS27" i="2"/>
  <c r="CS46" i="2"/>
  <c r="CS42" i="2"/>
  <c r="CS25" i="2"/>
  <c r="CS19" i="2"/>
  <c r="CS33" i="2"/>
  <c r="CS13" i="2"/>
  <c r="T14" i="2" s="1"/>
  <c r="CS37" i="2"/>
  <c r="CS36" i="2"/>
  <c r="CS51" i="2"/>
  <c r="CS50" i="2"/>
  <c r="CS45" i="2"/>
  <c r="CS24" i="2"/>
  <c r="CS47" i="2"/>
  <c r="CS43" i="2"/>
  <c r="CS35" i="2"/>
  <c r="CS22" i="2"/>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<sst xmlns="http://schemas.openxmlformats.org/spreadsheetml/2006/main" count="6754" uniqueCount="1516">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</sst>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D30" sqref="AD3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D30" sqref="AD3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5"/>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6"/>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6</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6</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6</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6</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5"/>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5"/>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P.3 (2)</v>
      </c>
      <c r="G28" s="16"/>
      <c r="H28" s="16" t="str">
        <f t="shared" ref="H28:H33" ca="1" si="87">IF(D28="Pendiente","-",INDEX($BZ$6:$BZ$53,MATCH($AA28,$BD$6:$BD$53,0)))</f>
        <v>-</v>
      </c>
      <c r="I28" s="16" t="str">
        <f t="shared" ref="I28:I33" ca="1" si="88">IF(D28="Pendiente","-",INDEX($BZ$6:$BZ$53,MATCH($AF28,$BD$6:$BD$53,0)))</f>
        <v>P.3 (2)</v>
      </c>
      <c r="J28" s="16"/>
      <c r="K28" s="16" t="str">
        <f t="shared" ref="K28:K33" ca="1" si="89">IF(D28="Pendiente","-",INDEX($CE$6:$CE$53,MATCH($AA28,$BD$6:$BD$53,0)))</f>
        <v>-</v>
      </c>
      <c r="L28" s="16" t="str">
        <f t="shared" ref="L28:L33" ca="1" si="90">IF(D28="Pendiente","-",INDEX($CE$6:$CE$53,MATCH($AF28,$BD$6:$BD$53,0)))</f>
        <v>P.3 (2)</v>
      </c>
      <c r="M28" s="16"/>
      <c r="N28" s="16" t="str">
        <f t="shared" ref="N28:N33" ca="1" si="91">IF(D28="Pendiente","-",INDEX($CH$6:$CH$53,MATCH($AA28,$BD$6:$BD$53,0)))</f>
        <v>-</v>
      </c>
      <c r="O28" s="16" t="str">
        <f t="shared" ref="O28:O33" ca="1" si="92">IF(D28="Pendiente","-",INDEX($CH$6:$CH$53,MATCH($AF28,$BD$6:$BD$53,0)))</f>
        <v>P.3 (2)</v>
      </c>
      <c r="P28" s="16"/>
      <c r="Q28" s="16" t="str">
        <f t="shared" ref="Q28:Q33" ca="1" si="93">IF(D28="Pendiente","-",INDEX($CN$6:$CN$53,MATCH($AA28,$BD$6:$BD$53,0)))</f>
        <v>-</v>
      </c>
      <c r="R28" s="16" t="str">
        <f t="shared" ref="R28:R33" ca="1" si="94">IF(D28="Pendiente","-",INDEX($CN$6:$CN$53,MATCH($AF28,$BD$6:$BD$53,0)))</f>
        <v>P.3 (2)</v>
      </c>
      <c r="S28" s="16"/>
      <c r="T28" s="16" t="str">
        <f t="shared" ref="T28:T33" ca="1" si="95">IF(D28="Pendiente","-",INDEX($CS$6:$CS$53,MATCH($AA28,$BD$6:$BD$53,0)))</f>
        <v>-</v>
      </c>
      <c r="U28" s="16" t="str">
        <f t="shared" ref="U28:U33" ca="1" si="96">IF(D28="Pendiente","-",INDEX($CS$6:$CS$53,MATCH($AF28,$BD$6:$BD$53,0)))</f>
        <v>P.3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v>
      </c>
      <c r="F29" s="16" t="str">
        <f t="shared" ca="1" si="86"/>
        <v>P.3 (2)</v>
      </c>
      <c r="G29" s="16"/>
      <c r="H29" s="16" t="str">
        <f t="shared" ca="1" si="87"/>
        <v>-</v>
      </c>
      <c r="I29" s="16" t="str">
        <f t="shared" ca="1" si="88"/>
        <v>P.3 (2)</v>
      </c>
      <c r="J29" s="16"/>
      <c r="K29" s="16" t="str">
        <f t="shared" ca="1" si="89"/>
        <v>-</v>
      </c>
      <c r="L29" s="16" t="str">
        <f t="shared" ca="1" si="90"/>
        <v>P.3 (2)</v>
      </c>
      <c r="M29" s="16"/>
      <c r="N29" s="16" t="str">
        <f t="shared" ca="1" si="91"/>
        <v>-</v>
      </c>
      <c r="O29" s="16" t="str">
        <f t="shared" ca="1" si="92"/>
        <v>P.3 (2)</v>
      </c>
      <c r="P29" s="16"/>
      <c r="Q29" s="16" t="str">
        <f t="shared" ca="1" si="93"/>
        <v>-</v>
      </c>
      <c r="R29" s="16" t="str">
        <f t="shared" ca="1" si="94"/>
        <v>P.3 (2)</v>
      </c>
      <c r="S29" s="16"/>
      <c r="T29" s="16" t="str">
        <f t="shared" ca="1" si="95"/>
        <v>-</v>
      </c>
      <c r="U29" s="16" t="str">
        <f t="shared" ca="1" si="96"/>
        <v>P.3 (2)</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5"/>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1</v>
      </c>
      <c r="BS58" s="16">
        <f t="shared" ref="BS58:BS69" ca="1" si="156">COUNTIFS(BR$58:BR$69,"&gt;"&amp;BR58)+1</f>
        <v>1</v>
      </c>
      <c r="BT58" s="16" t="str">
        <f t="shared" ref="BT58:BT69" ca="1" si="157">IF(COUNTIF(BS$58:BS$69,BS58)=1,"-","Pos. "&amp;BS58&amp;" ("&amp;COUNTIF(BS$58:BS$69,BS58)&amp;")")</f>
        <v>Pos. 1 (7)</v>
      </c>
      <c r="BU58" s="16">
        <f t="shared" ref="BU58:BU69" ca="1" si="158">IF(BT58="-","-",BL58)</f>
        <v>-1</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7</v>
      </c>
      <c r="BN59" s="16">
        <f t="shared" ca="1" si="153"/>
        <v>7</v>
      </c>
      <c r="BO59" s="16" t="str">
        <f t="shared" si="154"/>
        <v>4B</v>
      </c>
      <c r="BP59" s="16"/>
      <c r="BQ59" s="16"/>
      <c r="BR59" s="16">
        <f t="shared" ca="1" si="155"/>
        <v>1</v>
      </c>
      <c r="BS59" s="16">
        <f t="shared" ca="1" si="156"/>
        <v>1</v>
      </c>
      <c r="BT59" s="16" t="str">
        <f t="shared" ca="1" si="157"/>
        <v>Pos. 1 (7)</v>
      </c>
      <c r="BU59" s="16">
        <f t="shared" ca="1" si="158"/>
        <v>-3</v>
      </c>
      <c r="BV59" s="16">
        <f t="shared" ca="1" si="159"/>
        <v>7</v>
      </c>
      <c r="BW59" s="16" t="str">
        <f t="shared" ca="1" si="160"/>
        <v>-</v>
      </c>
      <c r="BX59" s="16" t="str">
        <f t="shared" ca="1" si="161"/>
        <v>-</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1</v>
      </c>
      <c r="BS60" s="16">
        <f t="shared" ca="1" si="156"/>
        <v>1</v>
      </c>
      <c r="BT60" s="16" t="str">
        <f t="shared" ca="1" si="157"/>
        <v>Pos. 1 (7)</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5</v>
      </c>
      <c r="CB60" s="16">
        <f t="shared" ca="1" si="165"/>
        <v>3</v>
      </c>
      <c r="CC60" s="16"/>
      <c r="CD60" s="16">
        <f t="shared" ca="1" si="166"/>
        <v>3</v>
      </c>
      <c r="CE60" s="16">
        <f t="shared" ca="1" si="167"/>
        <v>2</v>
      </c>
      <c r="CF60" s="16">
        <f t="shared" ca="1" si="168"/>
        <v>3</v>
      </c>
      <c r="DJ60" s="16">
        <f t="shared" ca="1" si="169"/>
        <v>2</v>
      </c>
      <c r="DK60" s="16"/>
      <c r="DL60" s="16">
        <f t="shared" ca="1" si="170"/>
        <v>1</v>
      </c>
      <c r="DM60" s="16" t="str">
        <f t="shared" ca="1" si="171"/>
        <v>2.1</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8</v>
      </c>
      <c r="BT61" s="16" t="str">
        <f t="shared" ca="1" si="157"/>
        <v>Pos. 8 (5)</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RD Congo</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0</v>
      </c>
      <c r="BS62" s="16">
        <f t="shared" ca="1" si="156"/>
        <v>8</v>
      </c>
      <c r="BT62" s="16" t="str">
        <f t="shared" ca="1" si="157"/>
        <v>Pos. 8 (5)</v>
      </c>
      <c r="BU62" s="16">
        <f t="shared" ca="1" si="158"/>
        <v>-1</v>
      </c>
      <c r="BV62" s="16">
        <f t="shared" ca="1" si="159"/>
        <v>8</v>
      </c>
      <c r="BW62" s="16" t="str">
        <f t="shared" ca="1" si="160"/>
        <v>Pos. 8 (2)</v>
      </c>
      <c r="BX62" s="16">
        <f t="shared" ca="1" si="161"/>
        <v>0</v>
      </c>
      <c r="BY62" s="16">
        <f t="shared" ca="1" si="162"/>
        <v>8</v>
      </c>
      <c r="BZ62" s="16" t="str">
        <f t="shared" ca="1" si="163"/>
        <v>Pos. 8 (2)</v>
      </c>
      <c r="CA62" s="16">
        <f t="shared" ca="1" si="164"/>
        <v>9</v>
      </c>
      <c r="CB62" s="16">
        <f t="shared" ca="1" si="165"/>
        <v>8</v>
      </c>
      <c r="CC62" s="16"/>
      <c r="CD62" s="16">
        <f t="shared" ca="1" si="166"/>
        <v>8</v>
      </c>
      <c r="CE62" s="16">
        <f t="shared" ca="1" si="167"/>
        <v>7</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(7)</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República Checa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(7)</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(7)</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8</v>
      </c>
      <c r="BT66" s="16" t="str">
        <f t="shared" ca="1" si="157"/>
        <v>Pos. 8 (5)</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1</v>
      </c>
      <c r="CB66" s="16">
        <f t="shared" ca="1" si="165"/>
        <v>11</v>
      </c>
      <c r="CC66" s="16"/>
      <c r="CD66" s="16">
        <f t="shared" ca="1" si="166"/>
        <v>11</v>
      </c>
      <c r="CE66" s="16">
        <f t="shared" ca="1" si="167"/>
        <v>10</v>
      </c>
      <c r="CF66" s="16">
        <f t="shared" ca="1" si="168"/>
        <v>11</v>
      </c>
      <c r="DJ66" s="16">
        <f t="shared" ca="1" si="169"/>
        <v>8</v>
      </c>
      <c r="DK66" s="16"/>
      <c r="DL66" s="16">
        <f t="shared" ca="1" si="170"/>
        <v>1</v>
      </c>
      <c r="DM66" s="16" t="str">
        <f t="shared" ca="1" si="171"/>
        <v>8.1</v>
      </c>
      <c r="DN66" s="16">
        <f t="array" aca="1" ref="DN66" ca="1">OFFSET(Horarios!$P$3,DJ66-1,0,DL66,1)</f>
        <v>8</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8</v>
      </c>
      <c r="BT67" s="16" t="str">
        <f t="shared" ca="1" si="157"/>
        <v>Pos. 8 (5)</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6</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4</v>
      </c>
      <c r="BN68" s="16">
        <f t="shared" ca="1" si="153"/>
        <v>4</v>
      </c>
      <c r="BO68" s="16" t="str">
        <f t="shared" si="154"/>
        <v>4K</v>
      </c>
      <c r="BP68" s="16"/>
      <c r="BQ68" s="16"/>
      <c r="BR68" s="16">
        <f t="shared" ca="1" si="155"/>
        <v>1</v>
      </c>
      <c r="BS68" s="16">
        <f t="shared" ca="1" si="156"/>
        <v>1</v>
      </c>
      <c r="BT68" s="16" t="str">
        <f t="shared" ca="1" si="157"/>
        <v>Pos. 1 (7)</v>
      </c>
      <c r="BU68" s="16">
        <f t="shared" ca="1" si="158"/>
        <v>0</v>
      </c>
      <c r="BV68" s="16">
        <f t="shared" ca="1" si="159"/>
        <v>1</v>
      </c>
      <c r="BW68" s="16" t="str">
        <f t="shared" ca="1" si="160"/>
        <v>Pos. 1 (5)</v>
      </c>
      <c r="BX68" s="16">
        <f t="shared" ca="1" si="161"/>
        <v>1</v>
      </c>
      <c r="BY68" s="16">
        <f t="shared" ca="1" si="162"/>
        <v>2</v>
      </c>
      <c r="BZ68" s="16" t="str">
        <f t="shared" ca="1" si="163"/>
        <v>Pos. 2 (3)</v>
      </c>
      <c r="CA68" s="16">
        <f t="shared" ca="1" si="164"/>
        <v>3</v>
      </c>
      <c r="CB68" s="16">
        <f t="shared" ca="1" si="165"/>
        <v>4</v>
      </c>
      <c r="CC68" s="16"/>
      <c r="CD68" s="16">
        <f t="shared" ca="1" si="166"/>
        <v>4</v>
      </c>
      <c r="CE68" s="16">
        <f t="shared" ca="1" si="167"/>
        <v>3</v>
      </c>
      <c r="CF68" s="16">
        <f t="shared" ca="1" si="168"/>
        <v>4</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9</v>
      </c>
      <c r="BN69" s="16">
        <f t="shared" ca="1" si="153"/>
        <v>9</v>
      </c>
      <c r="BO69" s="16" t="str">
        <f t="shared" si="154"/>
        <v>4L</v>
      </c>
      <c r="BP69" s="16"/>
      <c r="BQ69" s="16"/>
      <c r="BR69" s="16">
        <f t="shared" ca="1" si="155"/>
        <v>0</v>
      </c>
      <c r="BS69" s="16">
        <f t="shared" ca="1" si="156"/>
        <v>8</v>
      </c>
      <c r="BT69" s="16" t="str">
        <f t="shared" ca="1" si="157"/>
        <v>Pos. 8 (5)</v>
      </c>
      <c r="BU69" s="16">
        <f t="shared" ca="1" si="158"/>
        <v>-1</v>
      </c>
      <c r="BV69" s="16">
        <f t="shared" ca="1" si="159"/>
        <v>8</v>
      </c>
      <c r="BW69" s="16" t="str">
        <f t="shared" ca="1" si="160"/>
        <v>Pos. 8 (2)</v>
      </c>
      <c r="BX69" s="16">
        <f t="shared" ca="1" si="161"/>
        <v>0</v>
      </c>
      <c r="BY69" s="16">
        <f t="shared" ca="1" si="162"/>
        <v>8</v>
      </c>
      <c r="BZ69" s="16" t="str">
        <f t="shared" ca="1" si="163"/>
        <v>Pos. 8 (2)</v>
      </c>
      <c r="CA69" s="16">
        <f t="shared" ca="1" si="164"/>
        <v>4</v>
      </c>
      <c r="CB69" s="16">
        <f t="shared" ca="1" si="165"/>
        <v>9</v>
      </c>
      <c r="CC69" s="16"/>
      <c r="CD69" s="16">
        <f t="shared" ca="1" si="166"/>
        <v>9</v>
      </c>
      <c r="CE69" s="16">
        <f t="shared" ca="1" si="167"/>
        <v>8</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Japón</v>
      </c>
      <c r="AM102" s="575">
        <f t="shared" ref="AM102:AT113" ca="1" si="269">+IF($H$113&gt;=48,INDEX($BE$58:$BN$69,MATCH($AL102,$BD$58:$BD$69,0),MATCH(AM$5,$BE$57:$BN$57,0)),$BB58)</f>
        <v>1</v>
      </c>
      <c r="AN102" s="82">
        <f t="shared" ca="1" si="269"/>
        <v>1</v>
      </c>
      <c r="AO102" s="82">
        <f t="shared" ca="1" si="269"/>
        <v>0</v>
      </c>
      <c r="AP102" s="82">
        <f t="shared" ca="1" si="269"/>
        <v>1</v>
      </c>
      <c r="AQ102" s="83">
        <f t="shared" ca="1" si="269"/>
        <v>0</v>
      </c>
      <c r="AR102" s="83">
        <f t="shared" ca="1" si="269"/>
        <v>2</v>
      </c>
      <c r="AS102" s="83">
        <f t="shared" ca="1" si="269"/>
        <v>2</v>
      </c>
      <c r="AT102" s="84">
        <f t="shared" ca="1" si="269"/>
        <v>0</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Bélgica</v>
      </c>
      <c r="AM103" s="576">
        <f t="shared" ca="1" si="269"/>
        <v>1</v>
      </c>
      <c r="AN103" s="86">
        <f t="shared" ca="1" si="269"/>
        <v>1</v>
      </c>
      <c r="AO103" s="86">
        <f t="shared" ca="1" si="269"/>
        <v>0</v>
      </c>
      <c r="AP103" s="86">
        <f t="shared" ca="1" si="269"/>
        <v>1</v>
      </c>
      <c r="AQ103" s="86">
        <f t="shared" ca="1" si="269"/>
        <v>0</v>
      </c>
      <c r="AR103" s="86">
        <f t="shared" ca="1" si="269"/>
        <v>1</v>
      </c>
      <c r="AS103" s="86">
        <f t="shared" ca="1" si="269"/>
        <v>1</v>
      </c>
      <c r="AT103" s="87">
        <f t="shared" ca="1" si="269"/>
        <v>0</v>
      </c>
      <c r="AU103" s="323" t="str">
        <f t="shared" ca="1" si="270"/>
        <v/>
      </c>
      <c r="AV103" s="182" t="str">
        <f t="shared" ca="1" si="271"/>
        <v>Bélgica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6</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Marruecos</v>
      </c>
      <c r="AM104" s="576">
        <f t="shared" ca="1" si="269"/>
        <v>1</v>
      </c>
      <c r="AN104" s="86">
        <f t="shared" ca="1" si="269"/>
        <v>1</v>
      </c>
      <c r="AO104" s="86">
        <f t="shared" ca="1" si="269"/>
        <v>0</v>
      </c>
      <c r="AP104" s="86">
        <f t="shared" ca="1" si="269"/>
        <v>1</v>
      </c>
      <c r="AQ104" s="86">
        <f t="shared" ca="1" si="269"/>
        <v>0</v>
      </c>
      <c r="AR104" s="86">
        <f t="shared" ca="1" si="269"/>
        <v>1</v>
      </c>
      <c r="AS104" s="86">
        <f t="shared" ca="1" si="269"/>
        <v>1</v>
      </c>
      <c r="AT104" s="87">
        <f t="shared" ca="1" si="269"/>
        <v>0</v>
      </c>
      <c r="AU104" s="323" t="str">
        <f t="shared" ca="1" si="270"/>
        <v/>
      </c>
      <c r="AV104" s="182" t="str">
        <f t="shared" ca="1" si="271"/>
        <v>Marruecos</v>
      </c>
      <c r="AW104" s="215"/>
      <c r="AX104" s="170"/>
      <c r="AY104" s="270"/>
      <c r="AZ104" s="273" t="str">
        <f t="shared" ca="1" si="272"/>
        <v>1B - 3G</v>
      </c>
      <c r="BA104" s="176"/>
      <c r="BF104" t="str">
        <f t="shared" ca="1" si="273"/>
        <v>G</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RD Congo</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RD Congo</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España</v>
      </c>
      <c r="AM106" s="576">
        <f t="shared" ca="1" si="269"/>
        <v>1</v>
      </c>
      <c r="AN106" s="86">
        <f t="shared" ca="1" si="269"/>
        <v>1</v>
      </c>
      <c r="AO106" s="86">
        <f t="shared" ca="1" si="269"/>
        <v>0</v>
      </c>
      <c r="AP106" s="86">
        <f t="shared" ca="1" si="269"/>
        <v>1</v>
      </c>
      <c r="AQ106" s="86">
        <f t="shared" ca="1" si="269"/>
        <v>0</v>
      </c>
      <c r="AR106" s="86">
        <f t="shared" ca="1" si="269"/>
        <v>0</v>
      </c>
      <c r="AS106" s="86">
        <f t="shared" ca="1" si="269"/>
        <v>0</v>
      </c>
      <c r="AT106" s="87">
        <f t="shared" ca="1" si="269"/>
        <v>0</v>
      </c>
      <c r="AU106" s="323" t="str">
        <f t="shared" ca="1" si="270"/>
        <v/>
      </c>
      <c r="AV106" s="182" t="str">
        <f t="shared" ca="1" si="271"/>
        <v>España</v>
      </c>
      <c r="AW106" s="215"/>
      <c r="AX106" s="170"/>
      <c r="AY106" s="270"/>
      <c r="AZ106" s="273" t="str">
        <f t="shared" ca="1" si="272"/>
        <v>1E - 3C</v>
      </c>
      <c r="BA106" s="176"/>
      <c r="BF106" t="str">
        <f t="shared" ca="1" si="273"/>
        <v>K</v>
      </c>
      <c r="BG106">
        <f t="shared" ca="1" si="274"/>
        <v>8</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República Checa</v>
      </c>
      <c r="AM107" s="576">
        <f t="shared" ca="1" si="269"/>
        <v>1</v>
      </c>
      <c r="AN107" s="86">
        <f t="shared" ca="1" si="269"/>
        <v>2</v>
      </c>
      <c r="AO107" s="86">
        <f t="shared" ca="1" si="269"/>
        <v>0</v>
      </c>
      <c r="AP107" s="86">
        <f t="shared" ca="1" si="269"/>
        <v>1</v>
      </c>
      <c r="AQ107" s="86">
        <f t="shared" ca="1" si="269"/>
        <v>1</v>
      </c>
      <c r="AR107" s="86">
        <f t="shared" ca="1" si="269"/>
        <v>2</v>
      </c>
      <c r="AS107" s="86">
        <f t="shared" ca="1" si="269"/>
        <v>3</v>
      </c>
      <c r="AT107" s="87">
        <f t="shared" ca="1" si="269"/>
        <v>-1</v>
      </c>
      <c r="AU107" s="323" t="str">
        <f t="shared" ca="1" si="270"/>
        <v/>
      </c>
      <c r="AV107" s="182" t="str">
        <f t="shared" ca="1" si="271"/>
        <v>República Checa</v>
      </c>
      <c r="AW107" s="215"/>
      <c r="AX107" s="170"/>
      <c r="AY107" s="270"/>
      <c r="AZ107" s="273" t="str">
        <f t="shared" ca="1" si="272"/>
        <v>1G - 3A</v>
      </c>
      <c r="BA107" s="176"/>
      <c r="BF107" t="str">
        <f t="shared" ca="1" si="273"/>
        <v>H</v>
      </c>
      <c r="BG107">
        <f t="shared" ca="1" si="274"/>
        <v>7</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Bosnia y Herzegovina</v>
      </c>
      <c r="AM108" s="576">
        <f t="shared" ca="1" si="269"/>
        <v>1</v>
      </c>
      <c r="AN108" s="86">
        <f t="shared" ca="1" si="269"/>
        <v>2</v>
      </c>
      <c r="AO108" s="86">
        <f t="shared" ca="1" si="269"/>
        <v>0</v>
      </c>
      <c r="AP108" s="86">
        <f t="shared" ca="1" si="269"/>
        <v>1</v>
      </c>
      <c r="AQ108" s="86">
        <f t="shared" ca="1" si="269"/>
        <v>1</v>
      </c>
      <c r="AR108" s="86">
        <f t="shared" ca="1" si="269"/>
        <v>2</v>
      </c>
      <c r="AS108" s="86">
        <f t="shared" ca="1" si="269"/>
        <v>5</v>
      </c>
      <c r="AT108" s="87">
        <f t="shared" ca="1" si="269"/>
        <v>-3</v>
      </c>
      <c r="AU108" s="323" t="str">
        <f t="shared" ca="1" si="270"/>
        <v/>
      </c>
      <c r="AV108" s="182" t="str">
        <f t="shared" ca="1" si="271"/>
        <v>Bosnia y Herzegovina</v>
      </c>
      <c r="AW108" s="215"/>
      <c r="AX108" s="170"/>
      <c r="AY108" s="270"/>
      <c r="AZ108" s="273" t="str">
        <f t="shared" ca="1" si="272"/>
        <v>1I - 3F</v>
      </c>
      <c r="BA108" s="176"/>
      <c r="BF108" t="str">
        <f t="shared" ca="1" si="273"/>
        <v>A</v>
      </c>
      <c r="BG108">
        <f t="shared" ca="1" si="274"/>
        <v>1</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0</v>
      </c>
      <c r="AN109" s="86">
        <f t="shared" ca="1" si="269"/>
        <v>1</v>
      </c>
      <c r="AO109" s="86">
        <f t="shared" ca="1" si="269"/>
        <v>0</v>
      </c>
      <c r="AP109" s="86">
        <f t="shared" ca="1" si="269"/>
        <v>0</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- 3E</v>
      </c>
      <c r="BA109" s="176"/>
      <c r="BF109" t="str">
        <f t="shared" ca="1" si="273"/>
        <v>B</v>
      </c>
      <c r="BG109">
        <f t="shared" ca="1" si="274"/>
        <v>2</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Panamá</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Panamá</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Jordania</v>
      </c>
      <c r="AM111" s="576">
        <f t="shared" ca="1" si="269"/>
        <v>0</v>
      </c>
      <c r="AN111" s="86">
        <f t="shared" ca="1" si="269"/>
        <v>1</v>
      </c>
      <c r="AO111" s="86">
        <f t="shared" ca="1" si="269"/>
        <v>0</v>
      </c>
      <c r="AP111" s="86">
        <f t="shared" ca="1" si="269"/>
        <v>0</v>
      </c>
      <c r="AQ111" s="86">
        <f t="shared" ca="1" si="269"/>
        <v>1</v>
      </c>
      <c r="AR111" s="86">
        <f t="shared" ca="1" si="269"/>
        <v>1</v>
      </c>
      <c r="AS111" s="86">
        <f t="shared" ca="1" si="269"/>
        <v>3</v>
      </c>
      <c r="AT111" s="87">
        <f t="shared" ca="1" si="269"/>
        <v>-2</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Senegal</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Senegal</v>
      </c>
      <c r="AW112" s="215"/>
      <c r="AX112" s="170"/>
      <c r="AY112" s="269"/>
      <c r="AZ112" s="269"/>
      <c r="BA112" s="176"/>
      <c r="BI112" t="str">
        <f ca="1">IFERROR(CONCATENATE(BJ103,BJ104,BJ105,BJ106,BJ107,BJ108,BJ109,BJ110),"¿A/B/C/D/E/F/G/H/I/J/K/L?")</f>
        <v>ABCEFGHK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58</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Turquía</v>
      </c>
      <c r="AM113" s="577">
        <f t="shared" ca="1" si="269"/>
        <v>0</v>
      </c>
      <c r="AN113" s="47">
        <f t="shared" ca="1" si="269"/>
        <v>1</v>
      </c>
      <c r="AO113" s="47">
        <f t="shared" ca="1" si="269"/>
        <v>0</v>
      </c>
      <c r="AP113" s="47">
        <f t="shared" ca="1" si="269"/>
        <v>0</v>
      </c>
      <c r="AQ113" s="47">
        <f t="shared" ca="1" si="269"/>
        <v>1</v>
      </c>
      <c r="AR113" s="47">
        <f t="shared" ca="1" si="269"/>
        <v>0</v>
      </c>
      <c r="AS113" s="47">
        <f t="shared" ca="1" si="269"/>
        <v>2</v>
      </c>
      <c r="AT113" s="48">
        <f t="shared" ca="1" si="269"/>
        <v>-2</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Turquía</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Turquía</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Turquía</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Turquía</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Turquía</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Turquía</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Turquía</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Turquía</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Turquía</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Turquía</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Turquía</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Turquía</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Turquía</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Turquía</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Turquía</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Turquía</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Turquía</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Turquía</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Turquía</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Turquía</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Turquía</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Turquía</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Turquía</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Turquía</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Turquía</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Turquía</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Marruecos</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Marruecos</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Marruecos</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Marruecos</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Marruecos</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Marruecos</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Marruecos</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Marruecos</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Marruecos</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Marruecos</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Marruecos</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Marruecos</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Marruecos</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Marruecos</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Marruecos</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Marruecos</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Marruecos</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Marruecos</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Marruecos</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Marruecos</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Marruecos</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Marruecos</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Marruecos</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Marruecos</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Marruecos</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Marruecos</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Marruecos</v>
      </c>
      <c r="G111" s="9" t="str">
        <f ca="1">+WORLDCUP!BD66</f>
        <v>Senegal</v>
      </c>
      <c r="H111" s="9" t="str">
        <f ca="1">+WORLDCUP!BD61</f>
        <v>Turquía</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Marruecos</v>
      </c>
      <c r="G112" s="9" t="str">
        <f ca="1">+WORLDCUP!BD67</f>
        <v>Jordania</v>
      </c>
      <c r="H112" s="9" t="str">
        <f ca="1">+WORLDCUP!BD61</f>
        <v>Turquía</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Marruecos</v>
      </c>
      <c r="G113" s="9" t="str">
        <f ca="1">+WORLDCUP!BD67</f>
        <v>Jordania</v>
      </c>
      <c r="H113" s="9" t="str">
        <f ca="1">+WORLDCUP!BD61</f>
        <v>Turquía</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Marruecos</v>
      </c>
      <c r="G114" s="9" t="str">
        <f ca="1">+WORLDCUP!BD66</f>
        <v>Senegal</v>
      </c>
      <c r="H114" s="9" t="str">
        <f ca="1">+WORLDCUP!BD61</f>
        <v>Turquía</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Marruecos</v>
      </c>
      <c r="G115" s="9" t="str">
        <f ca="1">+WORLDCUP!BD67</f>
        <v>Jordania</v>
      </c>
      <c r="H115" s="9" t="str">
        <f ca="1">+WORLDCUP!BD61</f>
        <v>Turquía</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Marruecos</v>
      </c>
      <c r="G116" s="9" t="str">
        <f ca="1">+WORLDCUP!BD67</f>
        <v>Jordania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Jordania</v>
      </c>
      <c r="E117" s="9" t="str">
        <f ca="1">+WORLDCUP!BD59</f>
        <v>Bosnia y Herzegovina</v>
      </c>
      <c r="F117" s="9" t="str">
        <f ca="1">+WORLDCUP!BD61</f>
        <v>Turquía</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Jordania</v>
      </c>
      <c r="E118" s="9" t="str">
        <f ca="1">+WORLDCUP!BD59</f>
        <v>Bosnia y Herzegovina</v>
      </c>
      <c r="F118" s="9" t="str">
        <f ca="1">+WORLDCUP!BD61</f>
        <v>Turquía</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Turquía</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Jordania</v>
      </c>
      <c r="E120" s="9" t="str">
        <f ca="1">+WORLDCUP!BD59</f>
        <v>Bosnia y Herzegovina</v>
      </c>
      <c r="F120" s="9" t="str">
        <f ca="1">+WORLDCUP!BD61</f>
        <v>Turquía</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Jordania</v>
      </c>
      <c r="E121" s="9" t="str">
        <f ca="1">+WORLDCUP!BD59</f>
        <v>Bosnia y Herzegovina</v>
      </c>
      <c r="F121" s="9" t="str">
        <f ca="1">+WORLDCUP!BD61</f>
        <v>Turquía</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Bosnia y Herzegovina</v>
      </c>
      <c r="F122" s="9" t="str">
        <f ca="1">+WORLDCUP!BD61</f>
        <v>Turquía</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Bosnia y Herzegovina</v>
      </c>
      <c r="F123" s="9" t="str">
        <f ca="1">+WORLDCUP!BD61</f>
        <v>Turquía</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Bosnia y Herzegovina</v>
      </c>
      <c r="F124" s="9" t="str">
        <f ca="1">+WORLDCUP!BD61</f>
        <v>Turquía</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Bosnia y Herzegovina</v>
      </c>
      <c r="F125" s="9" t="str">
        <f ca="1">+WORLDCUP!BD61</f>
        <v>Turquía</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Bosnia y Herzegovina</v>
      </c>
      <c r="F126" s="9" t="str">
        <f ca="1">+WORLDCUP!BD61</f>
        <v>Turquía</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Bosnia y Herzegovina</v>
      </c>
      <c r="F127" s="9" t="str">
        <f ca="1">+WORLDCUP!BD61</f>
        <v>Turquía</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Marruecos</v>
      </c>
      <c r="G128" s="9" t="str">
        <f ca="1">+WORLDCUP!BD67</f>
        <v>Jordania</v>
      </c>
      <c r="H128" s="9" t="str">
        <f ca="1">+WORLDCUP!BD63</f>
        <v>Japón</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Bosnia y Herzegovina</v>
      </c>
      <c r="F129" s="9" t="str">
        <f ca="1">+WORLDCUP!BD61</f>
        <v>Turquía</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Bosnia y Herzegovina</v>
      </c>
      <c r="F130" s="9" t="str">
        <f ca="1">+WORLDCUP!BD61</f>
        <v>Turquía</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Marruecos</v>
      </c>
      <c r="G132" s="9" t="str">
        <f ca="1">+WORLDCUP!BD66</f>
        <v>Senegal</v>
      </c>
      <c r="H132" s="9" t="str">
        <f ca="1">+WORLDCUP!BD61</f>
        <v>Turquía</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Marruecos</v>
      </c>
      <c r="G133" s="9" t="str">
        <f ca="1">+WORLDCUP!BD65</f>
        <v>España</v>
      </c>
      <c r="H133" s="9" t="str">
        <f ca="1">+WORLDCUP!BD61</f>
        <v>Turquía</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España</v>
      </c>
      <c r="H134" s="9" t="str">
        <f ca="1">+WORLDCUP!BD61</f>
        <v>Turquía</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Marruecos</v>
      </c>
      <c r="G135" s="9" t="str">
        <f ca="1">+WORLDCUP!BD65</f>
        <v>España</v>
      </c>
      <c r="H135" s="9" t="str">
        <f ca="1">+WORLDCUP!BD61</f>
        <v>Turquía</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Marruecos</v>
      </c>
      <c r="G136" s="9" t="str">
        <f ca="1">+WORLDCUP!BD65</f>
        <v>España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Marruecos</v>
      </c>
      <c r="G137" s="9" t="str">
        <f ca="1">+WORLDCUP!BD67</f>
        <v>Jordania</v>
      </c>
      <c r="H137" s="9" t="str">
        <f ca="1">+WORLDCUP!BD61</f>
        <v>Turquía</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Marruecos</v>
      </c>
      <c r="G138" s="9" t="str">
        <f ca="1">+WORLDCUP!BD66</f>
        <v>Senegal</v>
      </c>
      <c r="H138" s="9" t="str">
        <f ca="1">+WORLDCUP!BD61</f>
        <v>Turquía</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Marruecos</v>
      </c>
      <c r="G139" s="9" t="str">
        <f ca="1">+WORLDCUP!BD67</f>
        <v>Jordania</v>
      </c>
      <c r="H139" s="9" t="str">
        <f ca="1">+WORLDCUP!BD61</f>
        <v>Turquía</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Marruecos</v>
      </c>
      <c r="G140" s="9" t="str">
        <f ca="1">+WORLDCUP!BD67</f>
        <v>Jordania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Marruecos</v>
      </c>
      <c r="G141" s="9" t="str">
        <f ca="1">+WORLDCUP!BD65</f>
        <v>España</v>
      </c>
      <c r="H141" s="9" t="str">
        <f ca="1">+WORLDCUP!BD61</f>
        <v>Turquía</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Marruecos</v>
      </c>
      <c r="G142" s="9" t="str">
        <f ca="1">+WORLDCUP!BD67</f>
        <v>Jordania</v>
      </c>
      <c r="H142" s="9" t="str">
        <f ca="1">+WORLDCUP!BD61</f>
        <v>Turquía</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Marruecos</v>
      </c>
      <c r="G143" s="9" t="str">
        <f ca="1">+WORLDCUP!BD67</f>
        <v>Jordania</v>
      </c>
      <c r="H143" s="9" t="str">
        <f ca="1">+WORLDCUP!BD61</f>
        <v>Turquía</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Marruecos</v>
      </c>
      <c r="G144" s="9" t="str">
        <f ca="1">+WORLDCUP!BD65</f>
        <v>España</v>
      </c>
      <c r="H144" s="9" t="str">
        <f ca="1">+WORLDCUP!BD61</f>
        <v>Turquía</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Marruecos</v>
      </c>
      <c r="G145" s="9" t="str">
        <f ca="1">+WORLDCUP!BD65</f>
        <v>España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Jordania</v>
      </c>
      <c r="E147" s="9" t="str">
        <f ca="1">+WORLDCUP!BD59</f>
        <v>Bosnia y Herzegovina</v>
      </c>
      <c r="F147" s="9" t="str">
        <f ca="1">+WORLDCUP!BD61</f>
        <v>Turquía</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Turquía</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Jordania</v>
      </c>
      <c r="E149" s="9" t="str">
        <f ca="1">+WORLDCUP!BD59</f>
        <v>Bosnia y Herzegovina</v>
      </c>
      <c r="F149" s="9" t="str">
        <f ca="1">+WORLDCUP!BD61</f>
        <v>Turquía</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Jordania</v>
      </c>
      <c r="E150" s="9" t="str">
        <f ca="1">+WORLDCUP!BD59</f>
        <v>Bosnia y Herzegovina</v>
      </c>
      <c r="F150" s="9" t="str">
        <f ca="1">+WORLDCUP!BD61</f>
        <v>Turquía</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Turquía</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Jordania</v>
      </c>
      <c r="E152" s="9" t="str">
        <f ca="1">+WORLDCUP!BD59</f>
        <v>Bosnia y Herzegovina</v>
      </c>
      <c r="F152" s="9" t="str">
        <f ca="1">+WORLDCUP!BD61</f>
        <v>Turquía</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Jordania</v>
      </c>
      <c r="E153" s="9" t="str">
        <f ca="1">+WORLDCUP!BD59</f>
        <v>Bosnia y Herzegovina</v>
      </c>
      <c r="F153" s="9" t="str">
        <f ca="1">+WORLDCUP!BD61</f>
        <v>Turquía</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Turquía</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Turquía</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Jordania</v>
      </c>
      <c r="E156" s="9" t="str">
        <f ca="1">+WORLDCUP!BD59</f>
        <v>Bosnia y Herzegovina</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Bosnia y Herzegovina</v>
      </c>
      <c r="F157" s="9" t="str">
        <f ca="1">+WORLDCUP!BD61</f>
        <v>Turquía</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Bosnia y Herzegovina</v>
      </c>
      <c r="F158" s="9" t="str">
        <f ca="1">+WORLDCUP!BD61</f>
        <v>Turquía</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Bosnia y Herzegovina</v>
      </c>
      <c r="F159" s="9" t="str">
        <f ca="1">+WORLDCUP!BD61</f>
        <v>Turquía</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Bosnia y Herzegovina</v>
      </c>
      <c r="F160" s="9" t="str">
        <f ca="1">+WORLDCUP!BD61</f>
        <v>Turquía</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Bosnia y Herzegovina</v>
      </c>
      <c r="F161" s="9" t="str">
        <f ca="1">+WORLDCUP!BD61</f>
        <v>Turquía</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Bosnia y Herzegovina</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Bosnia y Herzegovina</v>
      </c>
      <c r="F163" s="9" t="str">
        <f ca="1">+WORLDCUP!BD61</f>
        <v>Turquía</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Bosnia y Herzegovina</v>
      </c>
      <c r="F164" s="9" t="str">
        <f ca="1">+WORLDCUP!BD61</f>
        <v>Turquía</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Bosnia y Herzegovina</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Turquía</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Turquía</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Turquía</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Turquía</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Turquía</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Turquía</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Turquía</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Turquía</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Bosnia y Herzegovina</v>
      </c>
      <c r="F326" s="9" t="str">
        <f ca="1">+WORLDCUP!BD61</f>
        <v>Turquía</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Turquía</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Bosnia y Herzegovina</v>
      </c>
      <c r="F328" s="9" t="str">
        <f ca="1">+WORLDCUP!BD61</f>
        <v>Turquía</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Bosnia y Herzegovina</v>
      </c>
      <c r="F329" s="9" t="str">
        <f ca="1">+WORLDCUP!BD61</f>
        <v>Turquía</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Turquía</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Turquía</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Turquía</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Turquía</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Turquía</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Turquía</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Turquía</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Turquía</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Turquía</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Turquía</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Turquía</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Turquía</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Turquía</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Turquía</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Turquía</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Turquía</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Turquía</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Turquía</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Turquía</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Turquía</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Turquía</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Turquía</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Turquía</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Turquía</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Turquía</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Turquía</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Turquía</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Turquía</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Turquía</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Turquía</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Turquía</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Turquía</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Marruecos</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Marruecos</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Marruecos</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Marruecos</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Marruecos</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Marruecos</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Marruecos</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Marruecos</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Marruecos</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Marruecos</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Marruecos</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Marruecos</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Marruecos</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Marruecos</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Marruecos</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Marruecos</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Marruecos</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Marruecos</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Marruecos</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Marruecos</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Marruecos</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Marruecos</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Marruecos</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Marruecos</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Marruecos</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Marruecos</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Marruecos</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Marruecos</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Marruecos</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Marruecos</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Marruecos</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Marruecos</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Marruecos</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Marruecos</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Marruecos</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Marruecos</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Marruecos</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Marruecos</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Marruecos</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Marruecos</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Marruecos</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Marruecos</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Marruecos</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Marruecos</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1</v>
      </c>
      <c r="C424" s="9" t="str">
        <f ca="1">+WORLDCUP!BD65</f>
        <v>España</v>
      </c>
      <c r="D424" s="9" t="str">
        <f ca="1">+WORLDCUP!BD64</f>
        <v>Bélgica</v>
      </c>
      <c r="E424" s="9" t="str">
        <f ca="1">+WORLDCUP!BD59</f>
        <v>Bosnia y Herzegovina</v>
      </c>
      <c r="F424" s="9" t="str">
        <f ca="1">+WORLDCUP!BD60</f>
        <v>Marruecos</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Marruecos</v>
      </c>
      <c r="G427" s="9" t="str">
        <f ca="1">+WORLDCUP!BD58</f>
        <v>República Checa</v>
      </c>
      <c r="H427" s="9" t="str">
        <f ca="1">+WORLDCUP!BD61</f>
        <v>Turquía</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Marruecos</v>
      </c>
      <c r="G428" s="9" t="str">
        <f ca="1">+WORLDCUP!BD58</f>
        <v>República Checa</v>
      </c>
      <c r="H428" s="9" t="str">
        <f ca="1">+WORLDCUP!BD61</f>
        <v>Turquía</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Marruecos</v>
      </c>
      <c r="G429" s="9" t="str">
        <f ca="1">+WORLDCUP!BD58</f>
        <v>República Checa</v>
      </c>
      <c r="H429" s="9" t="str">
        <f ca="1">+WORLDCUP!BD61</f>
        <v>Turquía</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Marruecos</v>
      </c>
      <c r="G430" s="9" t="str">
        <f ca="1">+WORLDCUP!BD58</f>
        <v>República Checa</v>
      </c>
      <c r="H430" s="9" t="str">
        <f ca="1">+WORLDCUP!BD61</f>
        <v>Turquía</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Marruecos</v>
      </c>
      <c r="G431" s="9" t="str">
        <f ca="1">+WORLDCUP!BD58</f>
        <v>República Checa</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Jordania</v>
      </c>
      <c r="E432" s="9" t="str">
        <f ca="1">+WORLDCUP!BD59</f>
        <v>Bosnia y Herzegovina</v>
      </c>
      <c r="F432" s="9" t="str">
        <f ca="1">+WORLDCUP!BD61</f>
        <v>Turquía</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Marruecos</v>
      </c>
      <c r="G433" s="9" t="str">
        <f ca="1">+WORLDCUP!BD58</f>
        <v>República Checa</v>
      </c>
      <c r="H433" s="9" t="str">
        <f ca="1">+WORLDCUP!BD61</f>
        <v>Turquía</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Jordania</v>
      </c>
      <c r="E434" s="9" t="str">
        <f ca="1">+WORLDCUP!BD59</f>
        <v>Bosnia y Herzegovina</v>
      </c>
      <c r="F434" s="9" t="str">
        <f ca="1">+WORLDCUP!BD61</f>
        <v>Turquía</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Jordania</v>
      </c>
      <c r="E435" s="9" t="str">
        <f ca="1">+WORLDCUP!BD59</f>
        <v>Bosnia y Herzegovina</v>
      </c>
      <c r="F435" s="9" t="str">
        <f ca="1">+WORLDCUP!BD61</f>
        <v>Turquía</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Marruecos</v>
      </c>
      <c r="G436" s="9" t="str">
        <f ca="1">+WORLDCUP!BD58</f>
        <v>República Checa</v>
      </c>
      <c r="H436" s="9" t="str">
        <f ca="1">+WORLDCUP!BD61</f>
        <v>Turquía</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Marruecos</v>
      </c>
      <c r="G437" s="9" t="str">
        <f ca="1">+WORLDCUP!BD58</f>
        <v>República Checa</v>
      </c>
      <c r="H437" s="9" t="str">
        <f ca="1">+WORLDCUP!BD61</f>
        <v>Turquía</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Marruecos</v>
      </c>
      <c r="G438" s="9" t="str">
        <f ca="1">+WORLDCUP!BD58</f>
        <v>República Checa</v>
      </c>
      <c r="H438" s="9" t="str">
        <f ca="1">+WORLDCUP!BD61</f>
        <v>Turquía</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Marruecos</v>
      </c>
      <c r="G439" s="9" t="str">
        <f ca="1">+WORLDCUP!BD58</f>
        <v>República Checa</v>
      </c>
      <c r="H439" s="9" t="str">
        <f ca="1">+WORLDCUP!BD61</f>
        <v>Turquía</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Marruecos</v>
      </c>
      <c r="G440" s="9" t="str">
        <f ca="1">+WORLDCUP!BD58</f>
        <v>República Checa</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Jordania</v>
      </c>
      <c r="E442" s="9" t="str">
        <f ca="1">+WORLDCUP!BD59</f>
        <v>Bosnia y Herzegovina</v>
      </c>
      <c r="F442" s="9" t="str">
        <f ca="1">+WORLDCUP!BD61</f>
        <v>Turquía</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Turquía</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Jordania</v>
      </c>
      <c r="E444" s="9" t="str">
        <f ca="1">+WORLDCUP!BD59</f>
        <v>Bosnia y Herzegovina</v>
      </c>
      <c r="F444" s="9" t="str">
        <f ca="1">+WORLDCUP!BD61</f>
        <v>Turquía</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Jordania</v>
      </c>
      <c r="E445" s="9" t="str">
        <f ca="1">+WORLDCUP!BD59</f>
        <v>Bosnia y Herzegovina</v>
      </c>
      <c r="F445" s="9" t="str">
        <f ca="1">+WORLDCUP!BD61</f>
        <v>Turquía</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Bosnia y Herzegovina</v>
      </c>
      <c r="F446" s="9" t="str">
        <f ca="1">+WORLDCUP!BD60</f>
        <v>Marruecos</v>
      </c>
      <c r="G446" s="9" t="str">
        <f ca="1">+WORLDCUP!BD58</f>
        <v>República Checa</v>
      </c>
      <c r="H446" s="9" t="str">
        <f ca="1">+WORLDCUP!BD61</f>
        <v>Turquía</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Jordania</v>
      </c>
      <c r="E447" s="9" t="str">
        <f ca="1">+WORLDCUP!BD59</f>
        <v>Bosnia y Herzegovina</v>
      </c>
      <c r="F447" s="9" t="str">
        <f ca="1">+WORLDCUP!BD61</f>
        <v>Turquía</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Marruecos</v>
      </c>
      <c r="G448" s="9" t="str">
        <f ca="1">+WORLDCUP!BD58</f>
        <v>República Checa</v>
      </c>
      <c r="H448" s="9" t="str">
        <f ca="1">+WORLDCUP!BD63</f>
        <v>Japón</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Bosnia y Herzegovina</v>
      </c>
      <c r="F449" s="9" t="str">
        <f ca="1">+WORLDCUP!BD60</f>
        <v>Marruecos</v>
      </c>
      <c r="G449" s="9" t="str">
        <f ca="1">+WORLDCUP!BD58</f>
        <v>República Checa</v>
      </c>
      <c r="H449" s="9" t="str">
        <f ca="1">+WORLDCUP!BD61</f>
        <v>Turquía</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Bosnia y Herzegovina</v>
      </c>
      <c r="F450" s="9" t="str">
        <f ca="1">+WORLDCUP!BD60</f>
        <v>Marruecos</v>
      </c>
      <c r="G450" s="9" t="str">
        <f ca="1">+WORLDCUP!BD58</f>
        <v>República Checa</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Bosnia y Herzegovina</v>
      </c>
      <c r="F452" s="9" t="str">
        <f ca="1">+WORLDCUP!BD61</f>
        <v>Turquía</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Bosnia y Herzegovina</v>
      </c>
      <c r="F453" s="9" t="str">
        <f ca="1">+WORLDCUP!BD61</f>
        <v>Turquía</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Bosnia y Herzegovina</v>
      </c>
      <c r="F454" s="9" t="str">
        <f ca="1">+WORLDCUP!BD61</f>
        <v>Turquía</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Bosnia y Herzegovina</v>
      </c>
      <c r="F455" s="9" t="str">
        <f ca="1">+WORLDCUP!BD61</f>
        <v>Turquía</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Bosnia y Herzegovina</v>
      </c>
      <c r="F456" s="9" t="str">
        <f ca="1">+WORLDCUP!BD61</f>
        <v>Turquía</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Bosnia y Herzegovina</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Bosnia y Herzegovina</v>
      </c>
      <c r="F458" s="9" t="str">
        <f ca="1">+WORLDCUP!BD61</f>
        <v>Turquía</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Bosnia y Herzegovina</v>
      </c>
      <c r="F459" s="9" t="str">
        <f ca="1">+WORLDCUP!BD60</f>
        <v>Marruecos</v>
      </c>
      <c r="G459" s="9" t="str">
        <f ca="1">+WORLDCUP!BD58</f>
        <v>República Checa</v>
      </c>
      <c r="H459" s="9" t="str">
        <f ca="1">+WORLDCUP!BD63</f>
        <v>Japón</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Marruecos</v>
      </c>
      <c r="G462" s="9" t="str">
        <f ca="1">+WORLDCUP!BD58</f>
        <v>República Checa</v>
      </c>
      <c r="H462" s="9" t="str">
        <f ca="1">+WORLDCUP!BD61</f>
        <v>Turquía</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República Checa</v>
      </c>
      <c r="H463" s="9" t="str">
        <f ca="1">+WORLDCUP!BD61</f>
        <v>Turquía</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Marruecos</v>
      </c>
      <c r="G464" s="9" t="str">
        <f ca="1">+WORLDCUP!BD58</f>
        <v>República Checa</v>
      </c>
      <c r="H464" s="9" t="str">
        <f ca="1">+WORLDCUP!BD61</f>
        <v>Turquía</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Marruecos</v>
      </c>
      <c r="G465" s="9" t="str">
        <f ca="1">+WORLDCUP!BD58</f>
        <v>República Checa</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Marruecos</v>
      </c>
      <c r="G466" s="9" t="str">
        <f ca="1">+WORLDCUP!BD58</f>
        <v>República Checa</v>
      </c>
      <c r="H466" s="9" t="str">
        <f ca="1">+WORLDCUP!BD61</f>
        <v>Turquía</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Marruecos</v>
      </c>
      <c r="G467" s="9" t="str">
        <f ca="1">+WORLDCUP!BD58</f>
        <v>República Checa</v>
      </c>
      <c r="H467" s="9" t="str">
        <f ca="1">+WORLDCUP!BD61</f>
        <v>Turquía</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Marruecos</v>
      </c>
      <c r="G468" s="9" t="str">
        <f ca="1">+WORLDCUP!BD58</f>
        <v>República Checa</v>
      </c>
      <c r="H468" s="9" t="str">
        <f ca="1">+WORLDCUP!BD61</f>
        <v>Turquía</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Marruecos</v>
      </c>
      <c r="G469" s="9" t="str">
        <f ca="1">+WORLDCUP!BD58</f>
        <v>República Checa</v>
      </c>
      <c r="H469" s="9" t="str">
        <f ca="1">+WORLDCUP!BD61</f>
        <v>Turquía</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Marruecos</v>
      </c>
      <c r="G470" s="9" t="str">
        <f ca="1">+WORLDCUP!BD58</f>
        <v>República Checa</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Marruecos</v>
      </c>
      <c r="G472" s="9" t="str">
        <f ca="1">+WORLDCUP!BD58</f>
        <v>República Checa</v>
      </c>
      <c r="H472" s="9" t="str">
        <f ca="1">+WORLDCUP!BD61</f>
        <v>Turquía</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Marruecos</v>
      </c>
      <c r="G473" s="9" t="str">
        <f ca="1">+WORLDCUP!BD58</f>
        <v>República Checa</v>
      </c>
      <c r="H473" s="9" t="str">
        <f ca="1">+WORLDCUP!BD61</f>
        <v>Turquía</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Marruecos</v>
      </c>
      <c r="G474" s="9" t="str">
        <f ca="1">+WORLDCUP!BD58</f>
        <v>República Checa</v>
      </c>
      <c r="H474" s="9" t="str">
        <f ca="1">+WORLDCUP!BD61</f>
        <v>Turquía</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Marruecos</v>
      </c>
      <c r="G475" s="9" t="str">
        <f ca="1">+WORLDCUP!BD58</f>
        <v>República Checa</v>
      </c>
      <c r="H475" s="9" t="str">
        <f ca="1">+WORLDCUP!BD61</f>
        <v>Turquía</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Marruecos</v>
      </c>
      <c r="G476" s="9" t="str">
        <f ca="1">+WORLDCUP!BD58</f>
        <v>República Checa</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Marruecos</v>
      </c>
      <c r="G478" s="9" t="str">
        <f ca="1">+WORLDCUP!BD58</f>
        <v>República Checa</v>
      </c>
      <c r="H478" s="9" t="str">
        <f ca="1">+WORLDCUP!BD61</f>
        <v>Turquía</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Marruecos</v>
      </c>
      <c r="G479" s="9" t="str">
        <f ca="1">+WORLDCUP!BD58</f>
        <v>República Checa</v>
      </c>
      <c r="H479" s="9" t="str">
        <f ca="1">+WORLDCUP!BD61</f>
        <v>Turquía</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Turquía</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Jordania</v>
      </c>
      <c r="E483" s="9" t="str">
        <f ca="1">+WORLDCUP!BD59</f>
        <v>Bosnia y Herzegovina</v>
      </c>
      <c r="F483" s="9" t="str">
        <f ca="1">+WORLDCUP!BD61</f>
        <v>Turquía</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Jordania</v>
      </c>
      <c r="E484" s="9" t="str">
        <f ca="1">+WORLDCUP!BD59</f>
        <v>Bosnia y Herzegovina</v>
      </c>
      <c r="F484" s="9" t="str">
        <f ca="1">+WORLDCUP!BD61</f>
        <v>Turquía</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Turquía</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Turquía</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Jordania</v>
      </c>
      <c r="E487" s="9" t="str">
        <f ca="1">+WORLDCUP!BD59</f>
        <v>Bosnia y Herzegovina</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Bosnia y Herzegovina</v>
      </c>
      <c r="F488" s="9" t="str">
        <f ca="1">+WORLDCUP!BD60</f>
        <v>Marruecos</v>
      </c>
      <c r="G488" s="9" t="str">
        <f ca="1">+WORLDCUP!BD58</f>
        <v>República Checa</v>
      </c>
      <c r="H488" s="9" t="str">
        <f ca="1">+WORLDCUP!BD61</f>
        <v>Turquía</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Marruecos</v>
      </c>
      <c r="G489" s="9" t="str">
        <f ca="1">+WORLDCUP!BD58</f>
        <v>República Checa</v>
      </c>
      <c r="H489" s="9" t="str">
        <f ca="1">+WORLDCUP!BD63</f>
        <v>Japón</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Bosnia y Herzegovina</v>
      </c>
      <c r="F492" s="9" t="str">
        <f ca="1">+WORLDCUP!BD61</f>
        <v>Turquía</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Bosnia y Herzegovina</v>
      </c>
      <c r="F493" s="9" t="str">
        <f ca="1">+WORLDCUP!BD61</f>
        <v>Turquía</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Bosnia y Herzegovina</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Bosnia y Herzegovina</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2026-06-19T22:54:37Z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
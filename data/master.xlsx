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18985DFE-569E-BA4C-9D83-0152735BA2A3}" xr6:coauthVersionLast="47" xr6:coauthVersionMax="47" xr10:uidLastSave="{00000000-0000-0000-0000-000000000000}"/>
  <bookViews>
    <workbookView xWindow="0" yWindow="660" windowWidth="34560" windowHeight="2002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T14" i="2"/>
  <c r="N25" i="2"/>
  <c r="U30" i="2"/>
  <c r="O39" i="2"/>
  <c r="N39" i="2"/>
  <c r="L39" i="2"/>
  <c r="U39" i="2"/>
  <c r="T39" i="2"/>
  <c r="R39" i="2"/>
  <c r="Q39" i="2"/>
  <c r="K39" i="2"/>
  <c r="I39" i="2"/>
  <c r="AC142" i="2"/>
  <c r="AC119" i="2"/>
  <c r="AC130" i="2"/>
  <c r="AC75" i="2"/>
  <c r="AC91" i="2"/>
  <c r="AC83" i="2"/>
  <c r="AC59" i="2"/>
  <c r="AC100" i="2"/>
  <c r="AC43" i="2"/>
  <c r="AC35" i="2"/>
  <c r="U14" i="2"/>
  <c r="O25" i="2"/>
  <c r="AR29" i="2"/>
  <c r="E39" i="2"/>
  <c r="AD142" i="2"/>
  <c r="AD59" i="2"/>
  <c r="AD91" i="2"/>
  <c r="AD130" i="2"/>
  <c r="AD119" i="2"/>
  <c r="AD43" i="2"/>
  <c r="AD83" i="2"/>
  <c r="AD100" i="2"/>
  <c r="AD75" i="2"/>
  <c r="AD35" i="2"/>
  <c r="AD27" i="2"/>
  <c r="AD67" i="2"/>
  <c r="AD51" i="2"/>
  <c r="E14" i="2"/>
  <c r="Q25"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Q85" i="2"/>
  <c r="I85" i="2"/>
  <c r="H85" i="2"/>
  <c r="F85" i="2"/>
  <c r="U85" i="2"/>
  <c r="L85" i="2"/>
  <c r="K85" i="2"/>
  <c r="T85" i="2"/>
  <c r="R85" i="2"/>
  <c r="O85" i="2"/>
  <c r="E85" i="2"/>
  <c r="C213" i="3"/>
  <c r="L32" i="2"/>
  <c r="K32" i="2"/>
  <c r="K38" i="2"/>
  <c r="F54" i="2"/>
  <c r="E54" i="2"/>
  <c r="N54" i="2"/>
  <c r="L54" i="2"/>
  <c r="K54" i="2"/>
  <c r="H54" i="2"/>
  <c r="Q54" i="2"/>
  <c r="E64" i="2"/>
  <c r="N85" i="2"/>
  <c r="L49" i="2"/>
  <c r="O56" i="2"/>
  <c r="N56"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Q84" i="2"/>
  <c r="I97" i="2"/>
  <c r="C226" i="3"/>
  <c r="C232" i="3"/>
  <c r="B232" i="3"/>
  <c r="AB34" i="9"/>
  <c r="K33" i="8"/>
  <c r="B29" i="8"/>
  <c r="U40" i="2"/>
  <c r="H49" i="2"/>
  <c r="T56" i="2"/>
  <c r="L57" i="2"/>
  <c r="K57" i="2"/>
  <c r="I63" i="2"/>
  <c r="H63" i="2"/>
  <c r="L63" i="2"/>
  <c r="N70" i="2"/>
  <c r="L70" i="2"/>
  <c r="K70" i="2"/>
  <c r="Q70" i="2"/>
  <c r="O70" i="2"/>
  <c r="R84"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 i="4" l="1"/>
  <c r="R3" i="4"/>
  <c r="F43" i="4"/>
  <c r="F4" i="4"/>
  <c r="O6" i="4"/>
  <c r="B43" i="3"/>
  <c r="B72" i="3"/>
  <c r="O31" i="4"/>
  <c r="C47" i="4"/>
  <c r="BC37" i="2"/>
  <c r="BC15" i="2"/>
  <c r="AF33" i="2"/>
  <c r="F32" i="4" s="1"/>
  <c r="AF30" i="2"/>
  <c r="F29" i="4" s="1"/>
  <c r="AY32" i="2"/>
  <c r="AA29" i="2"/>
  <c r="C14" i="4"/>
  <c r="B33" i="3"/>
  <c r="BC49" i="2"/>
  <c r="AA63" i="2"/>
  <c r="AA65" i="2"/>
  <c r="AY65" i="2"/>
  <c r="AF61" i="2"/>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R44" i="4" s="1"/>
  <c r="AA95" i="2"/>
  <c r="AY30" i="2"/>
  <c r="AA30" i="2"/>
  <c r="AF32" i="2"/>
  <c r="F31" i="4" s="1"/>
  <c r="AA28" i="2"/>
  <c r="BC29" i="2"/>
  <c r="BC25" i="2"/>
  <c r="AY39" i="2"/>
  <c r="AA40" i="2"/>
  <c r="AF39" i="2"/>
  <c r="F38" i="4" s="1"/>
  <c r="AF36" i="2"/>
  <c r="AF87" i="2"/>
  <c r="R38" i="4" s="1"/>
  <c r="AA89" i="2"/>
  <c r="AF84" i="2"/>
  <c r="R35" i="4" s="1"/>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19" i="4" l="1"/>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E68" i="2" s="1"/>
  <c r="BT44" i="2"/>
  <c r="BT14" i="2"/>
  <c r="E20" i="2" s="1"/>
  <c r="BT42" i="2"/>
  <c r="BT9" i="2"/>
  <c r="E8" i="2" s="1"/>
  <c r="BT37" i="2"/>
  <c r="F61" i="2" s="1"/>
  <c r="BT8" i="2"/>
  <c r="F9" i="2" s="1"/>
  <c r="BT18" i="2"/>
  <c r="E28" i="2" s="1"/>
  <c r="BT11" i="2"/>
  <c r="F12" i="2" s="1"/>
  <c r="BT25" i="2"/>
  <c r="F37" i="2" s="1"/>
  <c r="BT39" i="2"/>
  <c r="F68" i="2" s="1"/>
  <c r="BT52" i="2"/>
  <c r="BT16" i="2"/>
  <c r="E21" i="2" s="1"/>
  <c r="BT32" i="2"/>
  <c r="E53" i="2" s="1"/>
  <c r="BT17" i="2"/>
  <c r="F21" i="2" s="1"/>
  <c r="BT35" i="2"/>
  <c r="F60" i="2" s="1"/>
  <c r="BT26" i="2"/>
  <c r="E44" i="2" s="1"/>
  <c r="BT50" i="2"/>
  <c r="BT30" i="2"/>
  <c r="E52" i="2" s="1"/>
  <c r="BT34" i="2"/>
  <c r="E60" i="2" s="1"/>
  <c r="BT7" i="2"/>
  <c r="E9" i="2" s="1"/>
  <c r="BT27" i="2"/>
  <c r="F44" i="2" s="1"/>
  <c r="BT28" i="2"/>
  <c r="E45" i="2" s="1"/>
  <c r="BT48" i="2"/>
  <c r="BT20" i="2"/>
  <c r="E29" i="2" s="1"/>
  <c r="BT24" i="2"/>
  <c r="E37" i="2" s="1"/>
  <c r="BT13" i="2"/>
  <c r="F13" i="2" s="1"/>
  <c r="BT23" i="2"/>
  <c r="F36" i="2" s="1"/>
  <c r="BT22" i="2"/>
  <c r="E36" i="2" s="1"/>
  <c r="BT31" i="2"/>
  <c r="F52" i="2" s="1"/>
  <c r="BT49" i="2"/>
  <c r="BT21" i="2"/>
  <c r="F29" i="2" s="1"/>
  <c r="BT15" i="2"/>
  <c r="F20" i="2" s="1"/>
  <c r="BT45" i="2"/>
  <c r="BT33" i="2"/>
  <c r="F53" i="2" s="1"/>
  <c r="BT12" i="2"/>
  <c r="E13" i="2" s="1"/>
  <c r="BT6" i="2"/>
  <c r="F8" i="2" s="1"/>
  <c r="BT10" i="2"/>
  <c r="E12" i="2" s="1"/>
  <c r="BT46" i="2"/>
  <c r="BI112" i="2"/>
  <c r="BT19" i="2"/>
  <c r="F28" i="2" s="1"/>
  <c r="BT29" i="2"/>
  <c r="F45" i="2" s="1"/>
  <c r="BT53" i="2"/>
  <c r="BT36" i="2"/>
  <c r="E61" i="2" s="1"/>
  <c r="E5" i="2" l="1"/>
  <c r="F7" i="2"/>
  <c r="E4" i="2"/>
  <c r="E7" i="2"/>
  <c r="F5" i="2"/>
  <c r="E6" i="2"/>
  <c r="F4" i="2"/>
  <c r="BU6" i="2" s="1"/>
  <c r="F6" i="2"/>
  <c r="BU40" i="2"/>
  <c r="BX40" i="2" s="1"/>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CB42" i="2" s="1"/>
  <c r="BZ45" i="2"/>
  <c r="CA45" i="2" s="1"/>
  <c r="BZ24" i="2"/>
  <c r="BZ36" i="2"/>
  <c r="BZ39" i="2"/>
  <c r="BZ31" i="2"/>
  <c r="BZ22" i="2"/>
  <c r="BZ23" i="2"/>
  <c r="BZ33" i="2"/>
  <c r="BZ21" i="2"/>
  <c r="BZ27" i="2"/>
  <c r="BZ12" i="2"/>
  <c r="H13" i="2" s="1"/>
  <c r="BZ53" i="2"/>
  <c r="CA53" i="2" s="1"/>
  <c r="BZ25" i="2"/>
  <c r="BZ51" i="2"/>
  <c r="CA51" i="2" s="1"/>
  <c r="BZ16" i="2"/>
  <c r="BZ50" i="2"/>
  <c r="CA50" i="2" s="1"/>
  <c r="BZ34" i="2"/>
  <c r="BZ41" i="2"/>
  <c r="CB41" i="2" s="1"/>
  <c r="BZ30" i="2"/>
  <c r="BZ9" i="2"/>
  <c r="H8" i="2" s="1"/>
  <c r="BZ32" i="2"/>
  <c r="BZ17" i="2"/>
  <c r="BZ47" i="2"/>
  <c r="CA47" i="2" s="1"/>
  <c r="BZ6" i="2"/>
  <c r="BZ38" i="2"/>
  <c r="BZ46" i="2"/>
  <c r="CA46" i="2" s="1"/>
  <c r="BZ15" i="2"/>
  <c r="BZ44" i="2"/>
  <c r="CB44" i="2" s="1"/>
  <c r="BZ48" i="2"/>
  <c r="CA48" i="2" s="1"/>
  <c r="BZ26" i="2"/>
  <c r="BZ19" i="2"/>
  <c r="BZ20" i="2"/>
  <c r="BZ29" i="2"/>
  <c r="BZ10" i="2"/>
  <c r="BZ8" i="2"/>
  <c r="BZ28" i="2"/>
  <c r="BZ37" i="2"/>
  <c r="BZ52" i="2"/>
  <c r="CB52" i="2" s="1"/>
  <c r="BZ13" i="2"/>
  <c r="BZ35" i="2"/>
  <c r="BZ18" i="2"/>
  <c r="BZ43" i="2"/>
  <c r="CB43" i="2" s="1"/>
  <c r="BZ11" i="2"/>
  <c r="BZ14" i="2"/>
  <c r="BZ7" i="2"/>
  <c r="H9" i="2" s="1"/>
  <c r="CA49" i="2"/>
  <c r="CB49" i="2"/>
  <c r="CB40" i="2"/>
  <c r="CA40" i="2"/>
  <c r="CB45" i="2"/>
  <c r="CB39" i="2" l="1"/>
  <c r="I68" i="2"/>
  <c r="CB38" i="2"/>
  <c r="H68" i="2"/>
  <c r="H53" i="2"/>
  <c r="CB33" i="2"/>
  <c r="I53" i="2"/>
  <c r="CB32" i="2" s="1"/>
  <c r="H61" i="2"/>
  <c r="CA37" i="2"/>
  <c r="I61" i="2"/>
  <c r="CB36" i="2" s="1"/>
  <c r="H52" i="2"/>
  <c r="CA31" i="2"/>
  <c r="I52" i="2"/>
  <c r="CB30" i="2" s="1"/>
  <c r="H60" i="2"/>
  <c r="CB35" i="2"/>
  <c r="I60" i="2"/>
  <c r="CA34" i="2" s="1"/>
  <c r="CB29" i="2"/>
  <c r="I45" i="2"/>
  <c r="CA28" i="2"/>
  <c r="H45" i="2"/>
  <c r="H37" i="2"/>
  <c r="CB25" i="2" s="1"/>
  <c r="I37" i="2"/>
  <c r="CA24" i="2" s="1"/>
  <c r="H44" i="2"/>
  <c r="CA27" i="2" s="1"/>
  <c r="I44" i="2"/>
  <c r="CB26" i="2" s="1"/>
  <c r="CA33" i="2"/>
  <c r="CA42" i="2"/>
  <c r="CC42" i="2" s="1"/>
  <c r="I36" i="2"/>
  <c r="CB22" i="2" s="1"/>
  <c r="H36" i="2"/>
  <c r="CB23" i="2" s="1"/>
  <c r="I29" i="2"/>
  <c r="CB20" i="2" s="1"/>
  <c r="H29" i="2"/>
  <c r="CA21" i="2" s="1"/>
  <c r="CA16" i="2"/>
  <c r="H21" i="2"/>
  <c r="CB17" i="2"/>
  <c r="I21" i="2"/>
  <c r="I20" i="2"/>
  <c r="CB14" i="2" s="1"/>
  <c r="H20" i="2"/>
  <c r="CB15" i="2" s="1"/>
  <c r="CB31" i="2"/>
  <c r="CA25" i="2"/>
  <c r="CA13" i="2"/>
  <c r="I13" i="2"/>
  <c r="I28" i="2"/>
  <c r="CB18" i="2" s="1"/>
  <c r="H28" i="2"/>
  <c r="CA19" i="2" s="1"/>
  <c r="I12" i="2"/>
  <c r="CB10" i="2" s="1"/>
  <c r="H12" i="2"/>
  <c r="CA11" i="2" s="1"/>
  <c r="CA30" i="2"/>
  <c r="CB28" i="2"/>
  <c r="CC28" i="2" s="1"/>
  <c r="CA17" i="2"/>
  <c r="CC17" i="2" s="1"/>
  <c r="CA29" i="2"/>
  <c r="CC29" i="2" s="1"/>
  <c r="CB53" i="2"/>
  <c r="CC53" i="2" s="1"/>
  <c r="I7" i="2"/>
  <c r="I9" i="2"/>
  <c r="CA32" i="2"/>
  <c r="CB24" i="2"/>
  <c r="CB16" i="2"/>
  <c r="CC16" i="2" s="1"/>
  <c r="CA36" i="2"/>
  <c r="H7" i="2"/>
  <c r="I8" i="2"/>
  <c r="CB47" i="2"/>
  <c r="CC47" i="2" s="1"/>
  <c r="CA20" i="2"/>
  <c r="CA26" i="2"/>
  <c r="I4" i="2"/>
  <c r="CB6" i="2" s="1"/>
  <c r="I6" i="2"/>
  <c r="I5" i="2"/>
  <c r="CB8" i="2" s="1"/>
  <c r="H6" i="2"/>
  <c r="CA44" i="2"/>
  <c r="CC44" i="2" s="1"/>
  <c r="H5" i="2"/>
  <c r="CA52" i="2"/>
  <c r="CC52" i="2" s="1"/>
  <c r="CB46" i="2"/>
  <c r="CC46" i="2" s="1"/>
  <c r="CB50" i="2"/>
  <c r="CC50" i="2" s="1"/>
  <c r="CB34" i="2"/>
  <c r="CB13" i="2"/>
  <c r="CB37" i="2"/>
  <c r="CC37" i="2" s="1"/>
  <c r="CB51" i="2"/>
  <c r="CC51" i="2" s="1"/>
  <c r="CA38" i="2"/>
  <c r="CC38" i="2" s="1"/>
  <c r="CB48" i="2"/>
  <c r="CC48" i="2" s="1"/>
  <c r="H4" i="2"/>
  <c r="CC40" i="2"/>
  <c r="CA39" i="2"/>
  <c r="CC39" i="2" s="1"/>
  <c r="CA22" i="2"/>
  <c r="CA35" i="2"/>
  <c r="CB19" i="2"/>
  <c r="CA41" i="2"/>
  <c r="CC41" i="2" s="1"/>
  <c r="CC49" i="2"/>
  <c r="CC45" i="2"/>
  <c r="CA43" i="2"/>
  <c r="CC43" i="2" s="1"/>
  <c r="CC33" i="2" l="1"/>
  <c r="CC35" i="2"/>
  <c r="CC36" i="2"/>
  <c r="CA23" i="2"/>
  <c r="CC23" i="2" s="1"/>
  <c r="CC32" i="2"/>
  <c r="CA14" i="2"/>
  <c r="CC14" i="2" s="1"/>
  <c r="CB27" i="2"/>
  <c r="CC27" i="2" s="1"/>
  <c r="CC22" i="2"/>
  <c r="CC31" i="2"/>
  <c r="CC30" i="2"/>
  <c r="CC25" i="2"/>
  <c r="CC34" i="2"/>
  <c r="CC24" i="2"/>
  <c r="CB21" i="2"/>
  <c r="CC21" i="2" s="1"/>
  <c r="CA15" i="2"/>
  <c r="CC15" i="2" s="1"/>
  <c r="CC26" i="2"/>
  <c r="CA18" i="2"/>
  <c r="CC18" i="2" s="1"/>
  <c r="CC20" i="2"/>
  <c r="CC13" i="2"/>
  <c r="CB11" i="2"/>
  <c r="CC11" i="2" s="1"/>
  <c r="CA6" i="2"/>
  <c r="CC6" i="2" s="1"/>
  <c r="CC19" i="2"/>
  <c r="CA8" i="2"/>
  <c r="CC8" i="2" s="1"/>
  <c r="CA10" i="2"/>
  <c r="CC10" i="2" s="1"/>
  <c r="CB12" i="2"/>
  <c r="CA12" i="2"/>
  <c r="CA9" i="2"/>
  <c r="CB9" i="2"/>
  <c r="CB7" i="2"/>
  <c r="CA7" i="2"/>
  <c r="CC12" i="2" l="1"/>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F51" i="2" s="1"/>
  <c r="CE53" i="2"/>
  <c r="CF53" i="2" s="1"/>
  <c r="CE44" i="2"/>
  <c r="CF44" i="2" s="1"/>
  <c r="CE52" i="2"/>
  <c r="CF52" i="2" s="1"/>
  <c r="CE24" i="2"/>
  <c r="CE50" i="2"/>
  <c r="CF50" i="2" s="1"/>
  <c r="CE27" i="2"/>
  <c r="CE39" i="2"/>
  <c r="CE36" i="2"/>
  <c r="CE42" i="2"/>
  <c r="CF42" i="2" s="1"/>
  <c r="CE7" i="2"/>
  <c r="CE25" i="2"/>
  <c r="CE20" i="2"/>
  <c r="CE47" i="2"/>
  <c r="CF47" i="2" s="1"/>
  <c r="CE34" i="2"/>
  <c r="CE6" i="2"/>
  <c r="L8" i="2" s="1"/>
  <c r="CE33" i="2"/>
  <c r="CE11" i="2"/>
  <c r="CE15" i="2"/>
  <c r="CE32" i="2"/>
  <c r="CE8" i="2"/>
  <c r="L9" i="2" s="1"/>
  <c r="CE31" i="2"/>
  <c r="CE45" i="2"/>
  <c r="CF45" i="2" s="1"/>
  <c r="CE12" i="2"/>
  <c r="CE22" i="2"/>
  <c r="CE37" i="2"/>
  <c r="CE9" i="2"/>
  <c r="CE49" i="2"/>
  <c r="CF49" i="2" s="1"/>
  <c r="CE28" i="2"/>
  <c r="CE21" i="2"/>
  <c r="CE48" i="2"/>
  <c r="CF48" i="2" s="1"/>
  <c r="CE10" i="2"/>
  <c r="CE13" i="2"/>
  <c r="CE40" i="2"/>
  <c r="CF40" i="2" s="1"/>
  <c r="CE38" i="2"/>
  <c r="CE35" i="2"/>
  <c r="CE16" i="2"/>
  <c r="CE26" i="2"/>
  <c r="CE19" i="2"/>
  <c r="CE18" i="2"/>
  <c r="CE41" i="2"/>
  <c r="CF41" i="2" s="1"/>
  <c r="CE43" i="2"/>
  <c r="CF43" i="2" s="1"/>
  <c r="CE14" i="2"/>
  <c r="CE46" i="2"/>
  <c r="CF46" i="2" s="1"/>
  <c r="CF39" i="2" l="1"/>
  <c r="L68" i="2"/>
  <c r="CF38" i="2"/>
  <c r="K68" i="2"/>
  <c r="K53" i="2"/>
  <c r="CF33" i="2"/>
  <c r="L53" i="2"/>
  <c r="CF32" i="2" s="1"/>
  <c r="CF37" i="2"/>
  <c r="L61" i="2"/>
  <c r="CF36" i="2"/>
  <c r="K61" i="2"/>
  <c r="K52" i="2"/>
  <c r="CF31" i="2"/>
  <c r="L52" i="2"/>
  <c r="CF30" i="2" s="1"/>
  <c r="K60" i="2"/>
  <c r="CF35" i="2"/>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N45" i="2" s="1"/>
  <c r="CH6" i="2"/>
  <c r="CH34" i="2"/>
  <c r="CH16" i="2"/>
  <c r="CI16" i="2" s="1"/>
  <c r="CH44" i="2"/>
  <c r="CI44" i="2" s="1"/>
  <c r="CH25" i="2"/>
  <c r="CH8" i="2"/>
  <c r="O9" i="2" s="1"/>
  <c r="CH45" i="2"/>
  <c r="CJ45" i="2" s="1"/>
  <c r="CH18" i="2"/>
  <c r="CK18" i="2" s="1"/>
  <c r="CH23" i="2"/>
  <c r="O36" i="2" s="1"/>
  <c r="CH47" i="2"/>
  <c r="CI47" i="2" s="1"/>
  <c r="CH32" i="2"/>
  <c r="CH43" i="2"/>
  <c r="CJ43" i="2" s="1"/>
  <c r="CH49" i="2"/>
  <c r="CI49" i="2" s="1"/>
  <c r="CH14" i="2"/>
  <c r="CH38" i="2"/>
  <c r="N68" i="2" s="1"/>
  <c r="CH36" i="2"/>
  <c r="CH46" i="2"/>
  <c r="CK46" i="2" s="1"/>
  <c r="CI41" i="2"/>
  <c r="CH48" i="2"/>
  <c r="CJ48" i="2" s="1"/>
  <c r="CH24" i="2"/>
  <c r="CH31" i="2"/>
  <c r="CH12" i="2"/>
  <c r="CH37" i="2"/>
  <c r="CH35" i="2"/>
  <c r="CH53" i="2"/>
  <c r="CJ53" i="2" s="1"/>
  <c r="CK41" i="2"/>
  <c r="CH17" i="2"/>
  <c r="CH19" i="2"/>
  <c r="CH52" i="2"/>
  <c r="CH51" i="2"/>
  <c r="CK51" i="2" s="1"/>
  <c r="CH9" i="2"/>
  <c r="O5" i="2" s="1"/>
  <c r="CH30" i="2"/>
  <c r="CH13" i="2"/>
  <c r="CH42" i="2"/>
  <c r="CI42" i="2" s="1"/>
  <c r="CH27" i="2"/>
  <c r="CH40" i="2"/>
  <c r="N9" i="2"/>
  <c r="O6" i="2"/>
  <c r="CH26" i="2"/>
  <c r="N44" i="2" s="1"/>
  <c r="CH11" i="2"/>
  <c r="O12" i="2" s="1"/>
  <c r="CH33" i="2"/>
  <c r="O53" i="2" s="1"/>
  <c r="CH22" i="2"/>
  <c r="N36" i="2" s="1"/>
  <c r="CH21" i="2"/>
  <c r="O29" i="2" s="1"/>
  <c r="CH15" i="2"/>
  <c r="CH10" i="2"/>
  <c r="N12" i="2" s="1"/>
  <c r="CH39" i="2"/>
  <c r="O68" i="2" s="1"/>
  <c r="CH29" i="2"/>
  <c r="O45" i="2" s="1"/>
  <c r="CH20" i="2"/>
  <c r="CH50" i="2"/>
  <c r="N7" i="2"/>
  <c r="O8" i="2"/>
  <c r="N4" i="2"/>
  <c r="CJ7" i="2" s="1"/>
  <c r="N5" i="2"/>
  <c r="O7" i="2"/>
  <c r="CI28" i="2"/>
  <c r="CK28" i="2"/>
  <c r="CJ28" i="2"/>
  <c r="CI32" i="2" l="1"/>
  <c r="N53" i="2"/>
  <c r="CI36" i="2"/>
  <c r="N61" i="2"/>
  <c r="CK37" i="2"/>
  <c r="O61" i="2"/>
  <c r="O52" i="2"/>
  <c r="CJ30" i="2"/>
  <c r="N52" i="2"/>
  <c r="CJ31" i="2" s="1"/>
  <c r="O60" i="2"/>
  <c r="CJ34" i="2"/>
  <c r="N60" i="2"/>
  <c r="CJ35" i="2" s="1"/>
  <c r="CJ24" i="2"/>
  <c r="N37" i="2"/>
  <c r="CJ25" i="2"/>
  <c r="O37" i="2"/>
  <c r="CI27" i="2"/>
  <c r="O44" i="2"/>
  <c r="CI45" i="2"/>
  <c r="CL45" i="2" s="1"/>
  <c r="CK20" i="2"/>
  <c r="N29" i="2"/>
  <c r="CK45" i="2"/>
  <c r="CI8" i="2"/>
  <c r="CK17" i="2"/>
  <c r="O21" i="2"/>
  <c r="CJ16" i="2"/>
  <c r="N21" i="2"/>
  <c r="CL41" i="2"/>
  <c r="CI15" i="2"/>
  <c r="O20" i="2"/>
  <c r="CI14" i="2"/>
  <c r="N20" i="2"/>
  <c r="CI34" i="2"/>
  <c r="CJ32" i="2"/>
  <c r="CK43" i="2"/>
  <c r="CI43" i="2"/>
  <c r="CL43" i="2" s="1"/>
  <c r="CK32" i="2"/>
  <c r="CI6" i="2"/>
  <c r="CI25" i="2"/>
  <c r="CL25" i="2" s="1"/>
  <c r="CK8" i="2"/>
  <c r="CJ49" i="2"/>
  <c r="CL49" i="2" s="1"/>
  <c r="CK25" i="2"/>
  <c r="CJ8" i="2"/>
  <c r="CI13" i="2"/>
  <c r="O13" i="2"/>
  <c r="CJ12" i="2" s="1"/>
  <c r="CK12" i="2"/>
  <c r="N13" i="2"/>
  <c r="CJ13" i="2" s="1"/>
  <c r="CJ18" i="2"/>
  <c r="N28" i="2"/>
  <c r="CK19" i="2" s="1"/>
  <c r="O28" i="2"/>
  <c r="CI18" i="2" s="1"/>
  <c r="CK49" i="2"/>
  <c r="CI53" i="2"/>
  <c r="CL53" i="2" s="1"/>
  <c r="CK53" i="2"/>
  <c r="CK6" i="2"/>
  <c r="CI35" i="2"/>
  <c r="CI12" i="2"/>
  <c r="CK47" i="2"/>
  <c r="CK30" i="2"/>
  <c r="N6" i="2"/>
  <c r="CI7" i="2" s="1"/>
  <c r="CL7" i="2" s="1"/>
  <c r="N8" i="2"/>
  <c r="CJ6" i="2" s="1"/>
  <c r="CJ36" i="2"/>
  <c r="CL36" i="2" s="1"/>
  <c r="CK42" i="2"/>
  <c r="CJ44" i="2"/>
  <c r="CL44" i="2" s="1"/>
  <c r="CK34" i="2"/>
  <c r="CK7" i="2"/>
  <c r="CI9" i="2"/>
  <c r="CJ47" i="2"/>
  <c r="CL47" i="2" s="1"/>
  <c r="CL16" i="2"/>
  <c r="CJ46" i="2"/>
  <c r="CK36" i="2"/>
  <c r="CK48" i="2"/>
  <c r="CK24" i="2"/>
  <c r="CI17" i="2"/>
  <c r="CK15" i="2"/>
  <c r="CI24" i="2"/>
  <c r="CL24" i="2" s="1"/>
  <c r="CJ27" i="2"/>
  <c r="CL27" i="2" s="1"/>
  <c r="CK13" i="2"/>
  <c r="CK27" i="2"/>
  <c r="CK16" i="2"/>
  <c r="CI46" i="2"/>
  <c r="CJ19" i="2"/>
  <c r="CI51" i="2"/>
  <c r="CI48" i="2"/>
  <c r="CL48" i="2" s="1"/>
  <c r="CJ17" i="2"/>
  <c r="CJ51" i="2"/>
  <c r="CJ15" i="2"/>
  <c r="CK35" i="2"/>
  <c r="CJ9" i="2"/>
  <c r="CJ42" i="2"/>
  <c r="CL42" i="2" s="1"/>
  <c r="CI19" i="2"/>
  <c r="CK31" i="2"/>
  <c r="CI31" i="2"/>
  <c r="CK44" i="2"/>
  <c r="CK9" i="2"/>
  <c r="CI30" i="2"/>
  <c r="CL30" i="2" s="1"/>
  <c r="CJ14" i="2"/>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32" i="2" l="1"/>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P42" i="2" s="1"/>
  <c r="CN37" i="2"/>
  <c r="R61" i="2" s="1"/>
  <c r="CN32" i="2"/>
  <c r="Q53" i="2" s="1"/>
  <c r="CN45" i="2"/>
  <c r="CN53" i="2"/>
  <c r="CN18" i="2"/>
  <c r="Q28" i="2" s="1"/>
  <c r="CN33" i="2"/>
  <c r="R53" i="2" s="1"/>
  <c r="CN30" i="2"/>
  <c r="Q52" i="2" s="1"/>
  <c r="CN28" i="2"/>
  <c r="Q45" i="2" s="1"/>
  <c r="CN36" i="2"/>
  <c r="Q61" i="2" s="1"/>
  <c r="CN24" i="2"/>
  <c r="Q37" i="2" s="1"/>
  <c r="CN48" i="2"/>
  <c r="CN34" i="2"/>
  <c r="Q60" i="2" s="1"/>
  <c r="CN13" i="2"/>
  <c r="R13" i="2" s="1"/>
  <c r="CN51" i="2"/>
  <c r="CN43" i="2"/>
  <c r="CN15" i="2"/>
  <c r="R20" i="2" s="1"/>
  <c r="CN14" i="2"/>
  <c r="Q20" i="2" s="1"/>
  <c r="CN40" i="2"/>
  <c r="CN26" i="2"/>
  <c r="Q44" i="2" s="1"/>
  <c r="CN31" i="2"/>
  <c r="R52" i="2" s="1"/>
  <c r="CN38" i="2"/>
  <c r="Q68" i="2" s="1"/>
  <c r="CN21" i="2"/>
  <c r="R29" i="2" s="1"/>
  <c r="CN23" i="2"/>
  <c r="R36" i="2" s="1"/>
  <c r="CN17" i="2"/>
  <c r="R21" i="2" s="1"/>
  <c r="CN20" i="2"/>
  <c r="Q29" i="2" s="1"/>
  <c r="CN35" i="2"/>
  <c r="R60" i="2" s="1"/>
  <c r="CN44" i="2"/>
  <c r="CN25" i="2"/>
  <c r="R37" i="2" s="1"/>
  <c r="CN39" i="2"/>
  <c r="R68" i="2" s="1"/>
  <c r="CN52" i="2"/>
  <c r="CN47" i="2"/>
  <c r="CN50" i="2"/>
  <c r="CN16" i="2"/>
  <c r="Q21" i="2" s="1"/>
  <c r="CN12" i="2"/>
  <c r="Q13" i="2" s="1"/>
  <c r="CN22" i="2"/>
  <c r="Q36" i="2" s="1"/>
  <c r="CN19" i="2"/>
  <c r="R28" i="2" s="1"/>
  <c r="CN49" i="2"/>
  <c r="CN41" i="2"/>
  <c r="CN8" i="2"/>
  <c r="CN9" i="2"/>
  <c r="CN10" i="2"/>
  <c r="Q12" i="2" s="1"/>
  <c r="CN6" i="2"/>
  <c r="Q4" i="2" s="1"/>
  <c r="CN7" i="2"/>
  <c r="R4" i="2" s="1"/>
  <c r="CN46" i="2"/>
  <c r="CN11" i="2"/>
  <c r="R12" i="2" s="1"/>
  <c r="CP29" i="2" l="1"/>
  <c r="R45" i="2"/>
  <c r="CP27" i="2"/>
  <c r="R44" i="2"/>
  <c r="CO42" i="2"/>
  <c r="CQ42" i="2" s="1"/>
  <c r="CO29" i="2"/>
  <c r="CQ29" i="2" s="1"/>
  <c r="CO27" i="2"/>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Q27" i="2" l="1"/>
  <c r="CP8" i="2"/>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S52" i="2"/>
  <c r="CT52" i="2" s="1"/>
  <c r="CS53" i="2"/>
  <c r="CT53" i="2" s="1"/>
  <c r="CS41" i="2"/>
  <c r="CT41" i="2" s="1"/>
  <c r="CS29" i="2"/>
  <c r="CS8" i="2"/>
  <c r="CS31" i="2"/>
  <c r="CS39" i="2"/>
  <c r="CS28" i="2"/>
  <c r="CS44" i="2"/>
  <c r="CT44" i="2" s="1"/>
  <c r="CS20" i="2"/>
  <c r="CS21" i="2"/>
  <c r="CS38" i="2"/>
  <c r="CS30" i="2"/>
  <c r="CS32" i="2"/>
  <c r="CS17" i="2"/>
  <c r="CS7" i="2"/>
  <c r="U4" i="2" s="1"/>
  <c r="CS23" i="2"/>
  <c r="CS48" i="2"/>
  <c r="CT48" i="2" s="1"/>
  <c r="CS12" i="2"/>
  <c r="CS34" i="2"/>
  <c r="CS16" i="2"/>
  <c r="CS10" i="2"/>
  <c r="CS9" i="2"/>
  <c r="T6" i="2" s="1"/>
  <c r="CS40" i="2"/>
  <c r="CT40" i="2" s="1"/>
  <c r="CS6" i="2"/>
  <c r="T7" i="2" s="1"/>
  <c r="CS11" i="2"/>
  <c r="CS27" i="2"/>
  <c r="CS46" i="2"/>
  <c r="CT46" i="2" s="1"/>
  <c r="CS42" i="2"/>
  <c r="CT42" i="2" s="1"/>
  <c r="CS25" i="2"/>
  <c r="CS19" i="2"/>
  <c r="CS33" i="2"/>
  <c r="CS13" i="2"/>
  <c r="CS37" i="2"/>
  <c r="CS36" i="2"/>
  <c r="CS51" i="2"/>
  <c r="CT51" i="2" s="1"/>
  <c r="CS50" i="2"/>
  <c r="CT50" i="2" s="1"/>
  <c r="CS45" i="2"/>
  <c r="CT45" i="2" s="1"/>
  <c r="CS24" i="2"/>
  <c r="CS47" i="2"/>
  <c r="CT47" i="2" s="1"/>
  <c r="CS43" i="2"/>
  <c r="CT43" i="2" s="1"/>
  <c r="CS35" i="2"/>
  <c r="CS22" i="2"/>
  <c r="U7" i="2"/>
  <c r="CT39" i="2" l="1"/>
  <c r="U68" i="2"/>
  <c r="CT38" i="2"/>
  <c r="T68" i="2"/>
  <c r="T53" i="2"/>
  <c r="CT33" i="2"/>
  <c r="U53" i="2"/>
  <c r="CT32" i="2" s="1"/>
  <c r="CT36" i="2"/>
  <c r="T61" i="2"/>
  <c r="CT37" i="2"/>
  <c r="U61" i="2"/>
  <c r="CT31" i="2"/>
  <c r="U52" i="2"/>
  <c r="CT30" i="2"/>
  <c r="T52" i="2"/>
  <c r="U60" i="2"/>
  <c r="CT34" i="2" s="1"/>
  <c r="T60" i="2"/>
  <c r="CT35" i="2" s="1"/>
  <c r="CT29" i="2"/>
  <c r="U45" i="2"/>
  <c r="CT28" i="2"/>
  <c r="T45" i="2"/>
  <c r="CT25" i="2"/>
  <c r="U37" i="2"/>
  <c r="CT24" i="2" s="1"/>
  <c r="T37" i="2"/>
  <c r="U44" i="2"/>
  <c r="CT26" i="2"/>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9" i="2" s="1"/>
  <c r="CT6" i="2"/>
  <c r="T4" i="2"/>
  <c r="CT7" i="2" s="1"/>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<sst xmlns="http://schemas.openxmlformats.org/spreadsheetml/2006/main" count="6754" uniqueCount="1516">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</sst>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68"/>
  <sheetViews>
    <sheetView showGridLines="0" showRowColHeaders="0" tabSelected="1" zoomScaleNormal="100" workbookViewId="0">
      <selection activeCell="AD68" sqref="AD68"/>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35" zoomScaleNormal="100" workbookViewId="0">
      <selection activeCell="AD68" sqref="AD68"/>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0"/>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0"/>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0"/>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0"/>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0"/>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0"/>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0"/>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0"/>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0"/>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0"/>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4I</v>
      </c>
      <c r="BN39" s="16" t="str">
        <f t="shared" ca="1" si="25"/>
        <v>4I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(3)</v>
      </c>
      <c r="BU39" s="16">
        <f t="shared" ca="1" si="28"/>
        <v>0</v>
      </c>
      <c r="BV39" s="16">
        <f t="shared" ca="1" si="29"/>
        <v>0</v>
      </c>
      <c r="BW39" s="16">
        <f t="shared" ca="1" si="30"/>
        <v>0</v>
      </c>
      <c r="BX39" s="16">
        <f t="shared" ca="1" si="31"/>
        <v>0</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(3)</v>
      </c>
      <c r="CA39" s="16">
        <f t="shared" ca="1" si="32"/>
        <v>0</v>
      </c>
      <c r="CB39" s="16">
        <f t="shared" ca="1" si="33"/>
        <v>0</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(3)</v>
      </c>
      <c r="CF39" s="16">
        <f t="shared" ca="1" si="35"/>
        <v>0</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(3)</v>
      </c>
      <c r="CI39" s="16">
        <f t="shared" ca="1" si="36"/>
        <v>0</v>
      </c>
      <c r="CJ39" s="16">
        <f t="shared" ca="1" si="37"/>
        <v>0</v>
      </c>
      <c r="CK39" s="16">
        <f t="shared" ca="1" si="38"/>
        <v>0</v>
      </c>
      <c r="CL39" s="16">
        <f t="shared" ca="1" si="39"/>
        <v>0</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(3)</v>
      </c>
      <c r="CO39" s="16">
        <f t="shared" ca="1" si="40"/>
        <v>0</v>
      </c>
      <c r="CP39" s="16">
        <f t="shared" ca="1" si="41"/>
        <v>0</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(3)</v>
      </c>
      <c r="CT39" s="16">
        <f t="shared" ca="1" si="43"/>
        <v>0</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(3)</v>
      </c>
      <c r="CW39" s="16">
        <f t="shared" ca="1" si="44"/>
        <v>-2</v>
      </c>
      <c r="CX39" s="16">
        <f ca="1">CU39+COUNTIFS($CV$6:$CV$53,CV39,$CW$6:CW$53,"&gt;"&amp;CW39,$BC$6:$BC$53,INDEX(T_Equipos[Grupo],MATCH(BD39,T_Equipos[NombreEquipo],0)))</f>
        <v>4</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4</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4</v>
      </c>
      <c r="DE39" s="16"/>
      <c r="DF39" s="16">
        <f t="shared" ca="1" si="46"/>
        <v>4</v>
      </c>
      <c r="DG39" s="16" t="str">
        <f ca="1">IF(DB39="-","-",COUNTIFS(DF$6:DF$53,"&lt;"&amp;DF39,$BC$6:$BC$53,INDEX(T_Equipos[Grupo],MATCH(BD39,T_Equipos[NombreEquipo],0))))</f>
        <v>-</v>
      </c>
      <c r="DH39" s="16">
        <f ca="1">DA39+COUNTIFS(DB$6:DB$53,DB39,DG$6:DG$53,"&lt;"&amp;DG39,$BC$6:$BC$53,INDEX(T_Equipos[Grupo],MATCH(BD39,T_Equipos[NombreEquipo],0)))</f>
        <v>4</v>
      </c>
      <c r="DI39" s="16"/>
      <c r="DJ39" s="16">
        <f t="shared" ca="1" si="47"/>
        <v>2</v>
      </c>
      <c r="DK39" s="16">
        <f t="shared" ca="1" si="48"/>
        <v>2</v>
      </c>
      <c r="DL39" s="16">
        <f t="shared" ca="1" si="49"/>
        <v>1</v>
      </c>
      <c r="DM39" s="16" t="str">
        <f t="shared" ca="1" si="50"/>
        <v>2.1</v>
      </c>
      <c r="DN39" s="16">
        <f t="array" aca="1" ref="DN39" ca="1">OFFSET(Horarios!$P$3,DJ39-1,0,DL39,1)</f>
        <v>2</v>
      </c>
      <c r="DO39" s="16"/>
      <c r="DP39" s="16" t="s">
        <v>107</v>
      </c>
      <c r="DQ39" s="16" t="str">
        <f t="shared" ca="1" si="51"/>
        <v>Irak</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2I</v>
      </c>
      <c r="BN40" s="16" t="str">
        <f t="shared" ca="1" si="25"/>
        <v>2I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2</v>
      </c>
      <c r="BT40" s="16" t="str">
        <f ca="1">IF(COUNTIFS($BS$6:$BS$53,BS40,$BC$6:$BC$53,INDEX(T_Equipos[Grupo],MATCH(BD40,T_Equipos[NombreEquipo],0)))=1,"-","P."&amp;BS40&amp;" ("&amp;COUNTIFS($BS$6:$BS$53,BS40,$BC$6:$BC$53,INDEX(T_Equipos[Grupo],MATCH(BD40,T_Equipos[NombreEquipo],0)))&amp;")")</f>
        <v>P.2 (3)</v>
      </c>
      <c r="BU40" s="16">
        <f t="shared" ca="1" si="28"/>
        <v>0</v>
      </c>
      <c r="BV40" s="16">
        <f t="shared" ca="1" si="29"/>
        <v>0</v>
      </c>
      <c r="BW40" s="16">
        <f t="shared" ca="1" si="30"/>
        <v>0</v>
      </c>
      <c r="BX40" s="16">
        <f t="shared" ca="1" si="31"/>
        <v>0</v>
      </c>
      <c r="BY40" s="16">
        <f ca="1">BS40+COUNTIFS($BT$6:$BT$53,BT40,$BX$6:BX$53,"&gt;"&amp;BX40,$BC$6:$BC$53,INDEX(T_Equipos[Grupo],MATCH(BD40,T_Equipos[NombreEquipo],0)))</f>
        <v>2</v>
      </c>
      <c r="BZ40" s="16" t="str">
        <f ca="1">IF(COUNTIFS($BY$6:$BY$53,BY40,$BC$6:$BC$53,INDEX(T_Equipos[Grupo],MATCH(BD40,T_Equipos[NombreEquipo],0)))=1,"-","P."&amp;BY40&amp;" ("&amp;COUNTIFS($BY$6:$BY$53,BY40,$BC$6:$BC$53,INDEX(T_Equipos[Grupo],MATCH(BD40,T_Equipos[NombreEquipo],0)))&amp;")")</f>
        <v>P.2 (3)</v>
      </c>
      <c r="CA40" s="16">
        <f t="shared" ca="1" si="32"/>
        <v>0</v>
      </c>
      <c r="CB40" s="16">
        <f t="shared" ca="1" si="33"/>
        <v>0</v>
      </c>
      <c r="CC40" s="16">
        <f t="shared" ca="1" si="34"/>
        <v>0</v>
      </c>
      <c r="CD40" s="16">
        <f ca="1">BY40+COUNTIFS($BZ$6:$BZ$53,BZ40,$CC$6:CC$53,"&gt;"&amp;CC40,$BC$6:$BC$53,INDEX(T_Equipos[Grupo],MATCH(BD40,T_Equipos[NombreEquipo],0)))</f>
        <v>2</v>
      </c>
      <c r="CE40" s="16" t="str">
        <f ca="1">IF(COUNTIFS($CD$6:$CD$53,CD40,$BC$6:$BC$53,INDEX(T_Equipos[Grupo],MATCH(BD40,T_Equipos[NombreEquipo],0)))=1,"-","P."&amp;CD40&amp;" ("&amp;COUNTIFS($CD$6:$CD$53,CD40,$BC$6:$BC$53,INDEX(T_Equipos[Grupo],MATCH(BD40,T_Equipos[NombreEquipo],0)))&amp;")")</f>
        <v>P.2 (3)</v>
      </c>
      <c r="CF40" s="16">
        <f t="shared" ca="1" si="35"/>
        <v>0</v>
      </c>
      <c r="CG40" s="16">
        <f ca="1">CD40+COUNTIFS($CE$6:$CE$53,CE40,$CF$6:CF$53,"&gt;"&amp;CF40,$BC$6:$BC$53,INDEX(T_Equipos[Grupo],MATCH(BD40,T_Equipos[NombreEquipo],0)))</f>
        <v>2</v>
      </c>
      <c r="CH40" s="16" t="str">
        <f ca="1">IF(COUNTIFS($CG$6:$CG$53,CG40,$BC$6:$BC$53,INDEX(T_Equipos[Grupo],MATCH(BD40,T_Equipos[NombreEquipo],0)))=1,"-","P."&amp;CG40&amp;" ("&amp;COUNTIFS($CG$6:$CG$53,CG40,$BC$6:$BC$53,INDEX(T_Equipos[Grupo],MATCH(BD40,T_Equipos[NombreEquipo],0)))&amp;")")</f>
        <v>P.2 (3)</v>
      </c>
      <c r="CI40" s="16">
        <f t="shared" ca="1" si="36"/>
        <v>0</v>
      </c>
      <c r="CJ40" s="16">
        <f t="shared" ca="1" si="37"/>
        <v>0</v>
      </c>
      <c r="CK40" s="16">
        <f t="shared" ca="1" si="38"/>
        <v>0</v>
      </c>
      <c r="CL40" s="16">
        <f t="shared" ca="1" si="39"/>
        <v>0</v>
      </c>
      <c r="CM40" s="16">
        <f ca="1">CG40+COUNTIFS($CH$6:$CH$53,CH40,$CL$6:CL$53,"&gt;"&amp;CL40,$BC$6:$BC$53,INDEX(T_Equipos[Grupo],MATCH(BD40,T_Equipos[NombreEquipo],0)))</f>
        <v>2</v>
      </c>
      <c r="CN40" s="16" t="str">
        <f ca="1">IF(COUNTIFS($CM$6:$CM$53,CM40,$BC$6:$BC$53,INDEX(T_Equipos[Grupo],MATCH(BD40,T_Equipos[NombreEquipo],0)))=1,"-","P."&amp;CM40&amp;" ("&amp;COUNTIFS($CM$6:$CM$53,CM40,$BC$6:$BC$53,INDEX(T_Equipos[Grupo],MATCH(BD40,T_Equipos[NombreEquipo],0)))&amp;")")</f>
        <v>P.2 (3)</v>
      </c>
      <c r="CO40" s="16">
        <f t="shared" ca="1" si="40"/>
        <v>0</v>
      </c>
      <c r="CP40" s="16">
        <f t="shared" ca="1" si="41"/>
        <v>0</v>
      </c>
      <c r="CQ40" s="16">
        <f t="shared" ca="1" si="42"/>
        <v>0</v>
      </c>
      <c r="CR40" s="16">
        <f ca="1">CM40+COUNTIFS($CN$6:$CN$53,CN40,$CQ$6:CQ$53,"&gt;"&amp;CQ40,$BC$6:$BC$53,INDEX(T_Equipos[Grupo],MATCH(BD40,T_Equipos[NombreEquipo],0)))</f>
        <v>2</v>
      </c>
      <c r="CS40" s="16" t="str">
        <f ca="1">IF(COUNTIFS($CR$6:$CR$53,CR40,$BC$6:$BC$53,INDEX(T_Equipos[Grupo],MATCH(BD40,T_Equipos[NombreEquipo],0)))=1,"-","P."&amp;CR40&amp;" ("&amp;COUNTIFS($CR$6:$CR$53,CR40,$BC$6:$BC$53,INDEX(T_Equipos[Grupo],MATCH(BD40,T_Equipos[NombreEquipo],0)))&amp;")")</f>
        <v>P.2 (3)</v>
      </c>
      <c r="CT40" s="16">
        <f t="shared" ca="1" si="43"/>
        <v>0</v>
      </c>
      <c r="CU40" s="16">
        <f ca="1">CR40+COUNTIFS($CS$6:$CS$53,CS40,$CT$6:CT$53,"&gt;"&amp;CT40,$BC$6:$BC$53,INDEX(T_Equipos[Grupo],MATCH(BD40,T_Equipos[NombreEquipo],0)))</f>
        <v>2</v>
      </c>
      <c r="CV40" s="16" t="str">
        <f ca="1">IF(COUNTIFS($CU$6:$CU$53,CU40,$BC$6:$BC$53,INDEX(T_Equipos[Grupo],MATCH(BD40,T_Equipos[NombreEquipo],0)))=1,"-","P."&amp;CU40&amp;" ("&amp;COUNTIFS($CU$6:$CU$53,CU40,$BC$6:$BC$53,INDEX(T_Equipos[Grupo],MATCH(BD40,T_Equipos[NombreEquipo],0)))&amp;")")</f>
        <v>P.2 (3)</v>
      </c>
      <c r="CW40" s="16">
        <f t="shared" ca="1" si="44"/>
        <v>0</v>
      </c>
      <c r="CX40" s="16">
        <f ca="1">CU40+COUNTIFS($CV$6:$CV$53,CV40,$CW$6:CW$53,"&gt;"&amp;CW40,$BC$6:$BC$53,INDEX(T_Equipos[Grupo],MATCH(BD40,T_Equipos[NombreEquipo],0)))</f>
        <v>2</v>
      </c>
      <c r="CY40" s="16" t="str">
        <f ca="1">IF(COUNTIFS($CX$6:$CX$53,CX40,$BC$6:$BC$53,INDEX(T_Equipos[Grupo],MATCH(BD40,T_Equipos[NombreEquipo],0)))=1,"-","P."&amp;CX40&amp;" ("&amp;COUNTIFS($CX$6:$CX$53,CX40,$BC$6:$BC$53,INDEX(T_Equipos[Grupo],MATCH(BD40,T_Equipos[NombreEquipo],0)))&amp;")")</f>
        <v>P.2 (2)</v>
      </c>
      <c r="CZ40" s="16">
        <f t="shared" ca="1" si="45"/>
        <v>0</v>
      </c>
      <c r="DA40" s="16">
        <f ca="1">CX40+COUNTIFS($CY$6:$CY$53,CY40,$CZ$6:CZ$53,"&gt;"&amp;CZ40,$BC$6:$BC$53,INDEX(T_Equipos[Grupo],MATCH(BD40,T_Equipos[NombreEquipo],0)))</f>
        <v>2</v>
      </c>
      <c r="DB40" s="16" t="str">
        <f ca="1">IF(COUNTIFS($DA$6:$DA$53,DA40,$BC$6:$BC$53,INDEX(T_Equipos[Grupo],MATCH(BD40,T_Equipos[NombreEquipo],0)))=1,"-","P."&amp;DA40&amp;" ("&amp;COUNTIFS($DA$6:$DA$53,DA40,$BC$6:$BC$53,INDEX(T_Equipos[Grupo],MATCH(BD40,T_Equipos[NombreEquipo],0)))&amp;")")</f>
        <v>P.2 (2)</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2</v>
      </c>
      <c r="DE40" s="16"/>
      <c r="DF40" s="16">
        <f t="shared" ca="1" si="46"/>
        <v>2</v>
      </c>
      <c r="DG40" s="16">
        <f ca="1">IF(DB40="-","-",COUNTIFS(DF$6:DF$53,"&lt;"&amp;DF40,$BC$6:$BC$53,INDEX(T_Equipos[Grupo],MATCH(BD40,T_Equipos[NombreEquipo],0))))</f>
        <v>1</v>
      </c>
      <c r="DH40" s="16">
        <f ca="1">DA40+COUNTIFS(DB$6:DB$53,DB40,DG$6:DG$53,"&lt;"&amp;DG40,$BC$6:$BC$53,INDEX(T_Equipos[Grupo],MATCH(BD40,T_Equipos[NombreEquipo],0)))</f>
        <v>2</v>
      </c>
      <c r="DI40" s="16"/>
      <c r="DJ40" s="16">
        <f t="shared" ca="1" si="47"/>
        <v>2</v>
      </c>
      <c r="DK40" s="16">
        <f t="shared" ca="1" si="48"/>
        <v>2</v>
      </c>
      <c r="DL40" s="16">
        <f t="shared" ca="1" si="49"/>
        <v>1</v>
      </c>
      <c r="DM40" s="16" t="str">
        <f t="shared" ca="1" si="50"/>
        <v>2.1</v>
      </c>
      <c r="DN40" s="16">
        <f t="array" aca="1" ref="DN40" ca="1">OFFSET(Horarios!$P$3,DJ40-1,0,DL40,1)</f>
        <v>2</v>
      </c>
      <c r="DO40" s="16"/>
      <c r="DP40" s="16" t="s">
        <v>108</v>
      </c>
      <c r="DQ40" s="16" t="str">
        <f t="shared" ca="1" si="51"/>
        <v>Noruega</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3I</v>
      </c>
      <c r="BN41" s="16" t="str">
        <f t="shared" ca="1" si="25"/>
        <v>3I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(3)</v>
      </c>
      <c r="BU41" s="16">
        <f t="shared" ca="1" si="28"/>
        <v>0</v>
      </c>
      <c r="BV41" s="16">
        <f t="shared" ca="1" si="29"/>
        <v>0</v>
      </c>
      <c r="BW41" s="16">
        <f t="shared" ca="1" si="30"/>
        <v>0</v>
      </c>
      <c r="BX41" s="16">
        <f t="shared" ca="1" si="31"/>
        <v>0</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(3)</v>
      </c>
      <c r="CA41" s="16">
        <f t="shared" ca="1" si="32"/>
        <v>0</v>
      </c>
      <c r="CB41" s="16">
        <f t="shared" ca="1" si="33"/>
        <v>0</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(3)</v>
      </c>
      <c r="CF41" s="16">
        <f t="shared" ca="1" si="35"/>
        <v>0</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(3)</v>
      </c>
      <c r="CI41" s="16">
        <f t="shared" ca="1" si="36"/>
        <v>0</v>
      </c>
      <c r="CJ41" s="16">
        <f t="shared" ca="1" si="37"/>
        <v>0</v>
      </c>
      <c r="CK41" s="16">
        <f t="shared" ca="1" si="38"/>
        <v>0</v>
      </c>
      <c r="CL41" s="16">
        <f t="shared" ca="1" si="39"/>
        <v>0</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(3)</v>
      </c>
      <c r="CO41" s="16">
        <f t="shared" ca="1" si="40"/>
        <v>0</v>
      </c>
      <c r="CP41" s="16">
        <f t="shared" ca="1" si="41"/>
        <v>0</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(3)</v>
      </c>
      <c r="CT41" s="16">
        <f t="shared" ca="1" si="43"/>
        <v>0</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(3)</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P.2 (2)</v>
      </c>
      <c r="CZ41" s="16">
        <f t="shared" ca="1" si="45"/>
        <v>0</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P.2 (2)</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3</v>
      </c>
      <c r="DE41" s="16"/>
      <c r="DF41" s="16">
        <f t="shared" ca="1" si="46"/>
        <v>3</v>
      </c>
      <c r="DG41" s="16">
        <f ca="1">IF(DB41="-","-",COUNTIFS(DF$6:DF$53,"&lt;"&amp;DF41,$BC$6:$BC$53,INDEX(T_Equipos[Grupo],MATCH(BD41,T_Equipos[NombreEquipo],0))))</f>
        <v>2</v>
      </c>
      <c r="DH41" s="16">
        <f ca="1">DA41+COUNTIFS(DB$6:DB$53,DB41,DG$6:DG$53,"&lt;"&amp;DG41,$BC$6:$BC$53,INDEX(T_Equipos[Grupo],MATCH(BD41,T_Equipos[NombreEquipo],0)))</f>
        <v>3</v>
      </c>
      <c r="DI41" s="16"/>
      <c r="DJ41" s="16">
        <f t="shared" ca="1" si="47"/>
        <v>4</v>
      </c>
      <c r="DK41" s="16">
        <f t="shared" ca="1" si="48"/>
        <v>2</v>
      </c>
      <c r="DL41" s="16">
        <f t="shared" ca="1" si="49"/>
        <v>1</v>
      </c>
      <c r="DM41" s="16" t="str">
        <f t="shared" ca="1" si="50"/>
        <v>4.1</v>
      </c>
      <c r="DN41" s="16">
        <f t="array" aca="1" ref="DN41" ca="1">OFFSET(Horarios!$P$3,DJ41-1,0,DL41,1)</f>
        <v>4</v>
      </c>
      <c r="DO41" s="16"/>
      <c r="DP41" s="16" t="s">
        <v>109</v>
      </c>
      <c r="DQ41" s="16" t="str">
        <f t="shared" ca="1" si="51"/>
        <v>Senegal</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0"/>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0</v>
      </c>
      <c r="BS58" s="16">
        <f t="shared" ref="BS58:BS69" ca="1" si="156">COUNTIFS(BR$58:BR$69,"&gt;"&amp;BR58)+1</f>
        <v>6</v>
      </c>
      <c r="BT58" s="16" t="str">
        <f t="shared" ref="BT58:BT69" ca="1" si="157">IF(COUNTIF(BS$58:BS$69,BS58)=1,"-","Pos. "&amp;BS58&amp;" ("&amp;COUNTIF(BS$58:BS$69,BS58)&amp;")")</f>
        <v>Pos. 6 (7)</v>
      </c>
      <c r="BU58" s="16">
        <f t="shared" ref="BU58:BU69" ca="1" si="158">IF(BT58="-","-",BL58)</f>
        <v>-1</v>
      </c>
      <c r="BV58" s="16">
        <f t="shared" ref="BV58:BV69" ca="1" si="159">BS58+COUNTIFS(BT$58:BT$69,BT58,BU$58:BU$69,"&gt;"&amp;BU58)</f>
        <v>10</v>
      </c>
      <c r="BW58" s="16" t="str">
        <f t="shared" ref="BW58:BW69" ca="1" si="160">IF(COUNTIF(BV$58:BV$69,BV58)=1,"-","Pos. "&amp;BV58&amp;" ("&amp;COUNTIF(BV$58:BV$69,BV58)&amp;")")</f>
        <v>Pos. 10 (2)</v>
      </c>
      <c r="BX58" s="16">
        <f t="shared" ref="BX58:BX69" ca="1" si="161">IF(BW58="-","-",BJ58)</f>
        <v>1</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3</v>
      </c>
      <c r="BN59" s="16">
        <f t="shared" ca="1" si="153"/>
        <v>3</v>
      </c>
      <c r="BO59" s="16" t="str">
        <f t="shared" si="154"/>
        <v>4B</v>
      </c>
      <c r="BP59" s="16"/>
      <c r="BQ59" s="16"/>
      <c r="BR59" s="16">
        <f t="shared" ca="1" si="155"/>
        <v>1</v>
      </c>
      <c r="BS59" s="16">
        <f t="shared" ca="1" si="156"/>
        <v>1</v>
      </c>
      <c r="BT59" s="16" t="str">
        <f t="shared" ca="1" si="157"/>
        <v>Pos. 1 (5)</v>
      </c>
      <c r="BU59" s="16">
        <f t="shared" ca="1" si="158"/>
        <v>0</v>
      </c>
      <c r="BV59" s="16">
        <f t="shared" ca="1" si="159"/>
        <v>1</v>
      </c>
      <c r="BW59" s="16" t="str">
        <f t="shared" ca="1" si="160"/>
        <v>Pos. 1 (5)</v>
      </c>
      <c r="BX59" s="16">
        <f t="shared" ca="1" si="161"/>
        <v>1</v>
      </c>
      <c r="BY59" s="16">
        <f t="shared" ca="1" si="162"/>
        <v>2</v>
      </c>
      <c r="BZ59" s="16" t="str">
        <f t="shared" ca="1" si="163"/>
        <v>Pos. 2 (3)</v>
      </c>
      <c r="CA59" s="16">
        <f t="shared" ca="1" si="164"/>
        <v>9</v>
      </c>
      <c r="CB59" s="16">
        <f t="shared" ca="1" si="165"/>
        <v>3</v>
      </c>
      <c r="CC59" s="16"/>
      <c r="CD59" s="16">
        <f t="shared" ca="1" si="166"/>
        <v>3</v>
      </c>
      <c r="CE59" s="16">
        <f t="shared" ca="1" si="167"/>
        <v>2</v>
      </c>
      <c r="CF59" s="16">
        <f t="shared" ca="1" si="168"/>
        <v>3</v>
      </c>
      <c r="DJ59" s="16">
        <f t="shared" ca="1" si="169"/>
        <v>2</v>
      </c>
      <c r="DK59" s="16"/>
      <c r="DL59" s="16">
        <f t="shared" ca="1" si="170"/>
        <v>1</v>
      </c>
      <c r="DM59" s="16" t="str">
        <f t="shared" ca="1" si="171"/>
        <v>2.1</v>
      </c>
      <c r="DN59" s="16">
        <f t="array" aca="1" ref="DN59" ca="1">OFFSET(Horarios!$P$3,DJ59-1,0,DL59,1)</f>
        <v>2</v>
      </c>
      <c r="DO59" s="16"/>
      <c r="DP59" s="16">
        <v>2</v>
      </c>
      <c r="DQ59" s="16" t="str">
        <f t="shared" ca="1" si="172"/>
        <v>Bélgica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4</v>
      </c>
      <c r="BN60" s="16">
        <f t="shared" ca="1" si="153"/>
        <v>4</v>
      </c>
      <c r="BO60" s="16" t="str">
        <f t="shared" si="154"/>
        <v>4C</v>
      </c>
      <c r="BP60" s="16"/>
      <c r="BQ60" s="16"/>
      <c r="BR60" s="16">
        <f t="shared" ca="1" si="155"/>
        <v>1</v>
      </c>
      <c r="BS60" s="16">
        <f t="shared" ca="1" si="156"/>
        <v>1</v>
      </c>
      <c r="BT60" s="16" t="str">
        <f t="shared" ca="1" si="157"/>
        <v>Pos. 1 (5)</v>
      </c>
      <c r="BU60" s="16">
        <f t="shared" ca="1" si="158"/>
        <v>0</v>
      </c>
      <c r="BV60" s="16">
        <f t="shared" ca="1" si="159"/>
        <v>1</v>
      </c>
      <c r="BW60" s="16" t="str">
        <f t="shared" ca="1" si="160"/>
        <v>Pos. 1 (5)</v>
      </c>
      <c r="BX60" s="16">
        <f t="shared" ca="1" si="161"/>
        <v>1</v>
      </c>
      <c r="BY60" s="16">
        <f t="shared" ca="1" si="162"/>
        <v>2</v>
      </c>
      <c r="BZ60" s="16" t="str">
        <f t="shared" ca="1" si="163"/>
        <v>Pos. 2 (3)</v>
      </c>
      <c r="CA60" s="16">
        <f t="shared" ca="1" si="164"/>
        <v>4</v>
      </c>
      <c r="CB60" s="16">
        <f t="shared" ca="1" si="165"/>
        <v>4</v>
      </c>
      <c r="CC60" s="16"/>
      <c r="CD60" s="16">
        <f t="shared" ca="1" si="166"/>
        <v>4</v>
      </c>
      <c r="CE60" s="16">
        <f t="shared" ca="1" si="167"/>
        <v>3</v>
      </c>
      <c r="CF60" s="16">
        <f t="shared" ca="1" si="168"/>
        <v>4</v>
      </c>
      <c r="DJ60" s="16">
        <f t="shared" ca="1" si="169"/>
        <v>2</v>
      </c>
      <c r="DK60" s="16"/>
      <c r="DL60" s="16">
        <f t="shared" ca="1" si="170"/>
        <v>1</v>
      </c>
      <c r="DM60" s="16" t="str">
        <f t="shared" ca="1" si="171"/>
        <v>2.1</v>
      </c>
      <c r="DN60" s="16">
        <f t="array" aca="1" ref="DN60" ca="1">OFFSET(Horarios!$P$3,DJ60-1,0,DL60,1)</f>
        <v>2</v>
      </c>
      <c r="DO60" s="16"/>
      <c r="DP60" s="16">
        <v>3</v>
      </c>
      <c r="DQ60" s="16" t="str">
        <f t="shared" ca="1" si="172"/>
        <v>Catar</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6</v>
      </c>
      <c r="BT61" s="16" t="str">
        <f t="shared" ca="1" si="157"/>
        <v>Pos. 6 (7)</v>
      </c>
      <c r="BU61" s="16">
        <f t="shared" ca="1" si="158"/>
        <v>-2</v>
      </c>
      <c r="BV61" s="16">
        <f t="shared" ca="1" si="159"/>
        <v>12</v>
      </c>
      <c r="BW61" s="16" t="str">
        <f t="shared" ca="1" si="160"/>
        <v>-</v>
      </c>
      <c r="BX61" s="16" t="str">
        <f t="shared" ca="1" si="161"/>
        <v>-</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2</v>
      </c>
      <c r="DK61" s="16"/>
      <c r="DL61" s="16">
        <f t="shared" ca="1" si="170"/>
        <v>1</v>
      </c>
      <c r="DM61" s="16" t="str">
        <f t="shared" ca="1" si="171"/>
        <v>2.1</v>
      </c>
      <c r="DN61" s="16">
        <f t="array" aca="1" ref="DN61" ca="1">OFFSET(Horarios!$P$3,DJ61-1,0,DL61,1)</f>
        <v>2</v>
      </c>
      <c r="DO61" s="16"/>
      <c r="DP61" s="16">
        <v>4</v>
      </c>
      <c r="DQ61" s="16" t="str">
        <f t="shared" ca="1" si="172"/>
        <v>Marruecos</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0"/>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11</v>
      </c>
      <c r="BN62" s="16">
        <f t="shared" ca="1" si="153"/>
        <v>11</v>
      </c>
      <c r="BO62" s="16" t="str">
        <f t="shared" si="154"/>
        <v>4E</v>
      </c>
      <c r="BP62" s="16"/>
      <c r="BQ62" s="16"/>
      <c r="BR62" s="16">
        <f t="shared" ca="1" si="155"/>
        <v>0</v>
      </c>
      <c r="BS62" s="16">
        <f t="shared" ca="1" si="156"/>
        <v>6</v>
      </c>
      <c r="BT62" s="16" t="str">
        <f t="shared" ca="1" si="157"/>
        <v>Pos. 6 (7)</v>
      </c>
      <c r="BU62" s="16">
        <f t="shared" ca="1" si="158"/>
        <v>-1</v>
      </c>
      <c r="BV62" s="16">
        <f t="shared" ca="1" si="159"/>
        <v>10</v>
      </c>
      <c r="BW62" s="16" t="str">
        <f t="shared" ca="1" si="160"/>
        <v>Pos. 10 (2)</v>
      </c>
      <c r="BX62" s="16">
        <f t="shared" ca="1" si="161"/>
        <v>0</v>
      </c>
      <c r="BY62" s="16">
        <f t="shared" ca="1" si="162"/>
        <v>11</v>
      </c>
      <c r="BZ62" s="16" t="str">
        <f t="shared" ca="1" si="163"/>
        <v>-</v>
      </c>
      <c r="CA62" s="16" t="str">
        <f t="shared" ca="1" si="164"/>
        <v>-</v>
      </c>
      <c r="CB62" s="16">
        <f t="shared" ca="1" si="165"/>
        <v>11</v>
      </c>
      <c r="CC62" s="16"/>
      <c r="CD62" s="16">
        <f t="shared" ca="1" si="166"/>
        <v>11</v>
      </c>
      <c r="CE62" s="16" t="str">
        <f t="shared" ca="1" si="167"/>
        <v>-</v>
      </c>
      <c r="CF62" s="16">
        <f t="shared" ca="1" si="168"/>
        <v>11</v>
      </c>
      <c r="DJ62" s="16">
        <f t="shared" ca="1" si="169"/>
        <v>5</v>
      </c>
      <c r="DK62" s="16"/>
      <c r="DL62" s="16">
        <f t="shared" ca="1" si="170"/>
        <v>1</v>
      </c>
      <c r="DM62" s="16" t="str">
        <f t="shared" ca="1" si="171"/>
        <v>5.1</v>
      </c>
      <c r="DN62" s="16">
        <f t="array" aca="1" ref="DN62" ca="1">OFFSET(Horarios!$P$3,DJ62-1,0,DL62,1)</f>
        <v>5</v>
      </c>
      <c r="DO62" s="16"/>
      <c r="DP62" s="16">
        <v>5</v>
      </c>
      <c r="DQ62" s="16" t="str">
        <f t="shared" ca="1" si="172"/>
        <v>España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(5)</v>
      </c>
      <c r="BU63" s="16">
        <f t="shared" ca="1" si="158"/>
        <v>0</v>
      </c>
      <c r="BV63" s="16">
        <f t="shared" ca="1" si="159"/>
        <v>1</v>
      </c>
      <c r="BW63" s="16" t="str">
        <f t="shared" ca="1" si="160"/>
        <v>Pos. 1 (5)</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Austria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2</v>
      </c>
      <c r="BN64" s="16">
        <f t="shared" ca="1" si="153"/>
        <v>2</v>
      </c>
      <c r="BO64" s="16" t="str">
        <f t="shared" si="154"/>
        <v>4G</v>
      </c>
      <c r="BP64" s="16"/>
      <c r="BQ64" s="16"/>
      <c r="BR64" s="16">
        <f t="shared" ca="1" si="155"/>
        <v>1</v>
      </c>
      <c r="BS64" s="16">
        <f t="shared" ca="1" si="156"/>
        <v>1</v>
      </c>
      <c r="BT64" s="16" t="str">
        <f t="shared" ca="1" si="157"/>
        <v>Pos. 1 (5)</v>
      </c>
      <c r="BU64" s="16">
        <f t="shared" ca="1" si="158"/>
        <v>0</v>
      </c>
      <c r="BV64" s="16">
        <f t="shared" ca="1" si="159"/>
        <v>1</v>
      </c>
      <c r="BW64" s="16" t="str">
        <f t="shared" ca="1" si="160"/>
        <v>Pos. 1 (5)</v>
      </c>
      <c r="BX64" s="16">
        <f t="shared" ca="1" si="161"/>
        <v>1</v>
      </c>
      <c r="BY64" s="16">
        <f t="shared" ca="1" si="162"/>
        <v>2</v>
      </c>
      <c r="BZ64" s="16" t="str">
        <f t="shared" ca="1" si="163"/>
        <v>Pos. 2 (3)</v>
      </c>
      <c r="CA64" s="16">
        <f t="shared" ca="1" si="164"/>
        <v>10</v>
      </c>
      <c r="CB64" s="16">
        <f t="shared" ca="1" si="165"/>
        <v>2</v>
      </c>
      <c r="CC64" s="16"/>
      <c r="CD64" s="16">
        <f t="shared" ca="1" si="166"/>
        <v>2</v>
      </c>
      <c r="CE64" s="16">
        <f t="shared" ca="1" si="167"/>
        <v>1</v>
      </c>
      <c r="CF64" s="16">
        <f t="shared" ca="1" si="168"/>
        <v>2</v>
      </c>
      <c r="DJ64" s="16">
        <f t="shared" ca="1" si="169"/>
        <v>6</v>
      </c>
      <c r="DK64" s="16"/>
      <c r="DL64" s="16">
        <f t="shared" ca="1" si="170"/>
        <v>1</v>
      </c>
      <c r="DM64" s="16" t="str">
        <f t="shared" ca="1" si="171"/>
        <v>6.1</v>
      </c>
      <c r="DN64" s="16">
        <f t="array" aca="1" ref="DN64" ca="1">OFFSET(Horarios!$P$3,DJ64-1,0,DL64,1)</f>
        <v>6</v>
      </c>
      <c r="DO64" s="16"/>
      <c r="DP64" s="16">
        <v>7</v>
      </c>
      <c r="DQ64" s="16" t="str">
        <f t="shared" ca="1" si="172"/>
        <v>Ghana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5</v>
      </c>
      <c r="BN65" s="16">
        <f t="shared" ca="1" si="153"/>
        <v>5</v>
      </c>
      <c r="BO65" s="16" t="str">
        <f t="shared" si="154"/>
        <v>4H</v>
      </c>
      <c r="BP65" s="16"/>
      <c r="BQ65" s="16"/>
      <c r="BR65" s="16">
        <f t="shared" ca="1" si="155"/>
        <v>1</v>
      </c>
      <c r="BS65" s="16">
        <f t="shared" ca="1" si="156"/>
        <v>1</v>
      </c>
      <c r="BT65" s="16" t="str">
        <f t="shared" ca="1" si="157"/>
        <v>Pos. 1 (5)</v>
      </c>
      <c r="BU65" s="16">
        <f t="shared" ca="1" si="158"/>
        <v>0</v>
      </c>
      <c r="BV65" s="16">
        <f t="shared" ca="1" si="159"/>
        <v>1</v>
      </c>
      <c r="BW65" s="16" t="str">
        <f t="shared" ca="1" si="160"/>
        <v>Pos. 1 (5)</v>
      </c>
      <c r="BX65" s="16">
        <f t="shared" ca="1" si="161"/>
        <v>0</v>
      </c>
      <c r="BY65" s="16">
        <f t="shared" ca="1" si="162"/>
        <v>5</v>
      </c>
      <c r="BZ65" s="16" t="str">
        <f t="shared" ca="1" si="163"/>
        <v>-</v>
      </c>
      <c r="CA65" s="16" t="str">
        <f t="shared" ca="1" si="164"/>
        <v>-</v>
      </c>
      <c r="CB65" s="16">
        <f t="shared" ca="1" si="165"/>
        <v>5</v>
      </c>
      <c r="CC65" s="16"/>
      <c r="CD65" s="16">
        <f t="shared" ca="1" si="166"/>
        <v>5</v>
      </c>
      <c r="CE65" s="16" t="str">
        <f t="shared" ca="1" si="167"/>
        <v>-</v>
      </c>
      <c r="CF65" s="16">
        <f t="shared" ca="1" si="168"/>
        <v>5</v>
      </c>
      <c r="DJ65" s="16">
        <f t="shared" ca="1" si="169"/>
        <v>6</v>
      </c>
      <c r="DK65" s="16"/>
      <c r="DL65" s="16">
        <f t="shared" ca="1" si="170"/>
        <v>1</v>
      </c>
      <c r="DM65" s="16" t="str">
        <f t="shared" ca="1" si="171"/>
        <v>6.1</v>
      </c>
      <c r="DN65" s="16">
        <f t="array" aca="1" ref="DN65" ca="1">OFFSET(Horarios!$P$3,DJ65-1,0,DL65,1)</f>
        <v>6</v>
      </c>
      <c r="DO65" s="16"/>
      <c r="DP65" s="16">
        <v>8</v>
      </c>
      <c r="DQ65" s="16" t="str">
        <f t="shared" ca="1" si="172"/>
        <v>Noruega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Noruega</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8</v>
      </c>
      <c r="BN66" s="16">
        <f t="shared" ca="1" si="153"/>
        <v>8</v>
      </c>
      <c r="BO66" s="16" t="str">
        <f t="shared" si="154"/>
        <v>4I</v>
      </c>
      <c r="BP66" s="16"/>
      <c r="BQ66" s="16"/>
      <c r="BR66" s="16">
        <f t="shared" ca="1" si="155"/>
        <v>0</v>
      </c>
      <c r="BS66" s="16">
        <f t="shared" ca="1" si="156"/>
        <v>6</v>
      </c>
      <c r="BT66" s="16" t="str">
        <f t="shared" ca="1" si="157"/>
        <v>Pos. 6 (7)</v>
      </c>
      <c r="BU66" s="16">
        <f t="shared" ca="1" si="158"/>
        <v>0</v>
      </c>
      <c r="BV66" s="16">
        <f t="shared" ca="1" si="159"/>
        <v>6</v>
      </c>
      <c r="BW66" s="16" t="str">
        <f t="shared" ca="1" si="160"/>
        <v>Pos. 6 (4)</v>
      </c>
      <c r="BX66" s="16">
        <f t="shared" ca="1" si="161"/>
        <v>0</v>
      </c>
      <c r="BY66" s="16">
        <f t="shared" ca="1" si="162"/>
        <v>6</v>
      </c>
      <c r="BZ66" s="16" t="str">
        <f t="shared" ca="1" si="163"/>
        <v>Pos. 6 (4)</v>
      </c>
      <c r="CA66" s="16">
        <f t="shared" ca="1" si="164"/>
        <v>3</v>
      </c>
      <c r="CB66" s="16">
        <f t="shared" ca="1" si="165"/>
        <v>8</v>
      </c>
      <c r="CC66" s="16"/>
      <c r="CD66" s="16">
        <f t="shared" ca="1" si="166"/>
        <v>8</v>
      </c>
      <c r="CE66" s="16">
        <f t="shared" ca="1" si="167"/>
        <v>7</v>
      </c>
      <c r="CF66" s="16">
        <f t="shared" ca="1" si="168"/>
        <v>8</v>
      </c>
      <c r="DJ66" s="16">
        <f t="shared" ca="1" si="169"/>
        <v>6</v>
      </c>
      <c r="DK66" s="16"/>
      <c r="DL66" s="16">
        <f t="shared" ca="1" si="170"/>
        <v>1</v>
      </c>
      <c r="DM66" s="16" t="str">
        <f t="shared" ca="1" si="171"/>
        <v>6.1</v>
      </c>
      <c r="DN66" s="16">
        <f t="array" aca="1" ref="DN66" ca="1">OFFSET(Horarios!$P$3,DJ66-1,0,DL66,1)</f>
        <v>6</v>
      </c>
      <c r="DO66" s="16"/>
      <c r="DP66" s="16">
        <v>9</v>
      </c>
      <c r="DQ66" s="16" t="str">
        <f t="shared" ca="1" si="172"/>
        <v>Uzbekistán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6</v>
      </c>
      <c r="BN67" s="16">
        <f t="shared" ca="1" si="153"/>
        <v>6</v>
      </c>
      <c r="BO67" s="16" t="str">
        <f t="shared" si="154"/>
        <v>4J</v>
      </c>
      <c r="BP67" s="16"/>
      <c r="BQ67" s="16"/>
      <c r="BR67" s="16">
        <f t="shared" ca="1" si="155"/>
        <v>0</v>
      </c>
      <c r="BS67" s="16">
        <f t="shared" ca="1" si="156"/>
        <v>6</v>
      </c>
      <c r="BT67" s="16" t="str">
        <f t="shared" ca="1" si="157"/>
        <v>Pos. 6 (7)</v>
      </c>
      <c r="BU67" s="16">
        <f t="shared" ca="1" si="158"/>
        <v>0</v>
      </c>
      <c r="BV67" s="16">
        <f t="shared" ca="1" si="159"/>
        <v>6</v>
      </c>
      <c r="BW67" s="16" t="str">
        <f t="shared" ca="1" si="160"/>
        <v>Pos. 6 (4)</v>
      </c>
      <c r="BX67" s="16">
        <f t="shared" ca="1" si="161"/>
        <v>0</v>
      </c>
      <c r="BY67" s="16">
        <f t="shared" ca="1" si="162"/>
        <v>6</v>
      </c>
      <c r="BZ67" s="16" t="str">
        <f t="shared" ca="1" si="163"/>
        <v>Pos. 6 (4)</v>
      </c>
      <c r="CA67" s="16">
        <f t="shared" ca="1" si="164"/>
        <v>11</v>
      </c>
      <c r="CB67" s="16">
        <f t="shared" ca="1" si="165"/>
        <v>6</v>
      </c>
      <c r="CC67" s="16"/>
      <c r="CD67" s="16">
        <f t="shared" ca="1" si="166"/>
        <v>6</v>
      </c>
      <c r="CE67" s="16">
        <f t="shared" ca="1" si="167"/>
        <v>5</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República Checa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(3)</v>
      </c>
      <c r="G68" s="16"/>
      <c r="H68" s="16" t="str">
        <f t="shared" ref="H68:H73" ca="1" si="199">IF(D68="Pendiente","-",INDEX($BZ$6:$BZ$53,MATCH($AA68,$BD$6:$BD$53,0)))</f>
        <v>-</v>
      </c>
      <c r="I68" s="16" t="str">
        <f t="shared" ref="I68:I73" ca="1" si="200">IF(D68="Pendiente","-",INDEX($BZ$6:$BZ$53,MATCH($AF68,$BD$6:$BD$53,0)))</f>
        <v>P.2 (3)</v>
      </c>
      <c r="J68" s="16"/>
      <c r="K68" s="16" t="str">
        <f t="shared" ref="K68:K73" ca="1" si="201">IF(D68="Pendiente","-",INDEX($CE$6:$CE$53,MATCH($AA68,$BD$6:$BD$53,0)))</f>
        <v>-</v>
      </c>
      <c r="L68" s="16" t="str">
        <f t="shared" ref="L68:L73" ca="1" si="202">IF(D68="Pendiente","-",INDEX($CE$6:$CE$53,MATCH($AF68,$BD$6:$BD$53,0)))</f>
        <v>P.2 (3)</v>
      </c>
      <c r="M68" s="16"/>
      <c r="N68" s="16" t="str">
        <f t="shared" ref="N68:N73" ca="1" si="203">IF(D68="Pendiente","-",INDEX($CH$6:$CH$53,MATCH($AA68,$BD$6:$BD$53,0)))</f>
        <v>-</v>
      </c>
      <c r="O68" s="16" t="str">
        <f t="shared" ref="O68:O73" ca="1" si="204">IF(D68="Pendiente","-",INDEX($CH$6:$CH$53,MATCH($AF68,$BD$6:$BD$53,0)))</f>
        <v>P.2 (3)</v>
      </c>
      <c r="P68" s="16"/>
      <c r="Q68" s="16" t="str">
        <f t="shared" ref="Q68:Q73" ca="1" si="205">IF(D68="Pendiente","-",INDEX($CN$6:$CN$53,MATCH($AA68,$BD$6:$BD$53,0)))</f>
        <v>-</v>
      </c>
      <c r="R68" s="16" t="str">
        <f t="shared" ref="R68:R73" ca="1" si="206">IF(D68="Pendiente","-",INDEX($CN$6:$CN$53,MATCH($AF68,$BD$6:$BD$53,0)))</f>
        <v>P.2 (3)</v>
      </c>
      <c r="S68" s="16"/>
      <c r="T68" s="16" t="str">
        <f t="shared" ref="T68:T73" ca="1" si="207">IF(D68="Pendiente","-",INDEX($CS$6:$CS$53,MATCH($AA68,$BD$6:$BD$53,0)))</f>
        <v>-</v>
      </c>
      <c r="U68" s="16" t="str">
        <f t="shared" ref="U68:U73" ca="1" si="208">IF(D68="Pendiente","-",INDEX($CS$6:$CS$53,MATCH($AF68,$BD$6:$BD$53,0)))</f>
        <v>P.2 (3)</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9</v>
      </c>
      <c r="BN68" s="16">
        <f t="shared" ca="1" si="153"/>
        <v>9</v>
      </c>
      <c r="BO68" s="16" t="str">
        <f t="shared" si="154"/>
        <v>4K</v>
      </c>
      <c r="BP68" s="16"/>
      <c r="BQ68" s="16"/>
      <c r="BR68" s="16">
        <f t="shared" ca="1" si="155"/>
        <v>0</v>
      </c>
      <c r="BS68" s="16">
        <f t="shared" ca="1" si="156"/>
        <v>6</v>
      </c>
      <c r="BT68" s="16" t="str">
        <f t="shared" ca="1" si="157"/>
        <v>Pos. 6 (7)</v>
      </c>
      <c r="BU68" s="16">
        <f t="shared" ca="1" si="158"/>
        <v>0</v>
      </c>
      <c r="BV68" s="16">
        <f t="shared" ca="1" si="159"/>
        <v>6</v>
      </c>
      <c r="BW68" s="16" t="str">
        <f t="shared" ca="1" si="160"/>
        <v>Pos. 6 (4)</v>
      </c>
      <c r="BX68" s="16">
        <f t="shared" ca="1" si="161"/>
        <v>0</v>
      </c>
      <c r="BY68" s="16">
        <f t="shared" ca="1" si="162"/>
        <v>6</v>
      </c>
      <c r="BZ68" s="16" t="str">
        <f t="shared" ca="1" si="163"/>
        <v>Pos. 6 (4)</v>
      </c>
      <c r="CA68" s="16">
        <f t="shared" ca="1" si="164"/>
        <v>0</v>
      </c>
      <c r="CB68" s="16">
        <f t="shared" ca="1" si="165"/>
        <v>9</v>
      </c>
      <c r="CC68" s="16"/>
      <c r="CD68" s="16">
        <f t="shared" ca="1" si="166"/>
        <v>9</v>
      </c>
      <c r="CE68" s="16">
        <f t="shared" ca="1" si="167"/>
        <v>8</v>
      </c>
      <c r="CF68" s="16">
        <f t="shared" ca="1" si="168"/>
        <v>9</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Ecuador</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0"/>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7</v>
      </c>
      <c r="BN69" s="16">
        <f t="shared" ca="1" si="153"/>
        <v>7</v>
      </c>
      <c r="BO69" s="16" t="str">
        <f t="shared" si="154"/>
        <v>4L</v>
      </c>
      <c r="BP69" s="16"/>
      <c r="BQ69" s="16"/>
      <c r="BR69" s="16">
        <f t="shared" ca="1" si="155"/>
        <v>0</v>
      </c>
      <c r="BS69" s="16">
        <f t="shared" ca="1" si="156"/>
        <v>6</v>
      </c>
      <c r="BT69" s="16" t="str">
        <f t="shared" ca="1" si="157"/>
        <v>Pos. 6 (7)</v>
      </c>
      <c r="BU69" s="16">
        <f t="shared" ca="1" si="158"/>
        <v>0</v>
      </c>
      <c r="BV69" s="16">
        <f t="shared" ca="1" si="159"/>
        <v>6</v>
      </c>
      <c r="BW69" s="16" t="str">
        <f t="shared" ca="1" si="160"/>
        <v>Pos. 6 (4)</v>
      </c>
      <c r="BX69" s="16">
        <f t="shared" ca="1" si="161"/>
        <v>0</v>
      </c>
      <c r="BY69" s="16">
        <f t="shared" ca="1" si="162"/>
        <v>6</v>
      </c>
      <c r="BZ69" s="16" t="str">
        <f t="shared" ca="1" si="163"/>
        <v>Pos. 6 (4)</v>
      </c>
      <c r="CA69" s="16">
        <f t="shared" ca="1" si="164"/>
        <v>6</v>
      </c>
      <c r="CB69" s="16">
        <f t="shared" ca="1" si="165"/>
        <v>7</v>
      </c>
      <c r="CC69" s="16"/>
      <c r="CD69" s="16">
        <f t="shared" ca="1" si="166"/>
        <v>7</v>
      </c>
      <c r="CE69" s="16">
        <f t="shared" ca="1" si="167"/>
        <v>6</v>
      </c>
      <c r="CF69" s="16">
        <f t="shared" ca="1" si="168"/>
        <v>7</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3</v>
      </c>
      <c r="AS70" s="36">
        <f t="shared" ca="1" si="211"/>
        <v>1</v>
      </c>
      <c r="AT70" s="41">
        <f t="shared" ca="1" si="211"/>
        <v>2</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Irak</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Irak</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Noruega</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Noruega</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Senegal</v>
      </c>
      <c r="AM73" s="46">
        <f t="shared" ca="1" si="211"/>
        <v>0</v>
      </c>
      <c r="AN73" s="47">
        <f t="shared" ca="1" si="211"/>
        <v>1</v>
      </c>
      <c r="AO73" s="47">
        <f t="shared" ca="1" si="211"/>
        <v>0</v>
      </c>
      <c r="AP73" s="47">
        <f t="shared" ca="1" si="211"/>
        <v>0</v>
      </c>
      <c r="AQ73" s="47">
        <f t="shared" ca="1" si="211"/>
        <v>1</v>
      </c>
      <c r="AR73" s="47">
        <f t="shared" ca="1" si="211"/>
        <v>1</v>
      </c>
      <c r="AS73" s="47">
        <f t="shared" ca="1" si="211"/>
        <v>3</v>
      </c>
      <c r="AT73" s="48">
        <f t="shared" ca="1" si="211"/>
        <v>-2</v>
      </c>
      <c r="AU73" s="323">
        <f ca="1">INDEX($DL$6:$DL$53,MATCH(AI73,$DP$6:$DP$53,0))</f>
        <v>1</v>
      </c>
      <c r="AV73" s="182" t="str">
        <f ca="1">INDEX($BD$6:$BD$53,MATCH(AI73,$BM$6:$BM$53,0))</f>
        <v>Senegal</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19"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0"/>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0"/>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Bélgica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Catar</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Marruecos</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España</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Austria</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Ghana</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2</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Noruega</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Uzbekistán</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República Checa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Ecuador</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34</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3</v>
      </c>
      <c r="V20" s="438">
        <f ca="1">+INDEX(WORLDCUP!$AT$6:$AT$97,MATCH(X20,WORLDCUP!$AI$6:$AI$97,0))</f>
        <v>2</v>
      </c>
      <c r="W20" s="439" t="str">
        <f ca="1">+INDEX(WORLDCUP!$AR$6:$AR$97,MATCH(X20,WORLDCUP!$AI$6:$AI$97,0))&amp;"-"&amp;INDEX(WORLDCUP!$AS$6:$AS$97,MATCH(X20,WORLDCUP!$AI$6:$AI$97,0))</f>
        <v>3-1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Ira</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Nor</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Sen</v>
      </c>
      <c r="U23" s="465">
        <f ca="1">+INDEX(WORLDCUP!$AM$6:$AM$97,MATCH(X23,WORLDCUP!$AI$6:$AI$97,0))</f>
        <v>0</v>
      </c>
      <c r="V23" s="466">
        <f ca="1">+INDEX(WORLDCUP!$AT$6:$AT$97,MATCH(X23,WORLDCUP!$AI$6:$AI$97,0))</f>
        <v>-2</v>
      </c>
      <c r="W23" s="467" t="str">
        <f ca="1">+INDEX(WORLDCUP!$AR$6:$AR$97,MATCH(X23,WORLDCUP!$AI$6:$AI$97,0))&amp;"-"&amp;INDEX(WORLDCUP!$AS$6:$AS$97,MATCH(X23,WORLDCUP!$AI$6:$AI$97,0))</f>
        <v>1-3</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Austria</v>
      </c>
      <c r="E2" s="9" t="str">
        <f ca="1">+WORLDCUP!BD66</f>
        <v>Noruega</v>
      </c>
      <c r="F2" s="9" t="str">
        <f ca="1">+WORLDCUP!BD63</f>
        <v>Japón</v>
      </c>
      <c r="G2" s="9" t="str">
        <f ca="1">+WORLDCUP!BD65</f>
        <v>España</v>
      </c>
      <c r="H2" s="9" t="str">
        <f ca="1">+WORLDCUP!BD64</f>
        <v>Bélgica</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Noruega</v>
      </c>
      <c r="F3" s="9" t="str">
        <f ca="1">+WORLDCUP!BD61</f>
        <v>Turquía</v>
      </c>
      <c r="G3" s="9" t="str">
        <f ca="1">+WORLDCUP!BD67</f>
        <v>Austria</v>
      </c>
      <c r="H3" s="9" t="str">
        <f ca="1">+WORLDCUP!BD63</f>
        <v>Japón</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Austria</v>
      </c>
      <c r="E4" s="9" t="str">
        <f ca="1">+WORLDCUP!BD66</f>
        <v>Noruega</v>
      </c>
      <c r="F4" s="9" t="str">
        <f ca="1">+WORLDCUP!BD61</f>
        <v>Turquía</v>
      </c>
      <c r="G4" s="9" t="str">
        <f ca="1">+WORLDCUP!BD65</f>
        <v>España</v>
      </c>
      <c r="H4" s="9" t="str">
        <f ca="1">+WORLDCUP!BD64</f>
        <v>Bélgica</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Austria</v>
      </c>
      <c r="E5" s="9" t="str">
        <f ca="1">+WORLDCUP!BD66</f>
        <v>Noruega</v>
      </c>
      <c r="F5" s="9" t="str">
        <f ca="1">+WORLDCUP!BD61</f>
        <v>Turquía</v>
      </c>
      <c r="G5" s="9" t="str">
        <f ca="1">+WORLDCUP!BD65</f>
        <v>España</v>
      </c>
      <c r="H5" s="9" t="str">
        <f ca="1">+WORLDCUP!BD63</f>
        <v>Japón</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Noruega</v>
      </c>
      <c r="F6" s="9" t="str">
        <f ca="1">+WORLDCUP!BD61</f>
        <v>Turquía</v>
      </c>
      <c r="G6" s="9" t="str">
        <f ca="1">+WORLDCUP!BD67</f>
        <v>Austria</v>
      </c>
      <c r="H6" s="9" t="str">
        <f ca="1">+WORLDCUP!BD63</f>
        <v>Japón</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Austria</v>
      </c>
      <c r="F7" s="9" t="str">
        <f ca="1">+WORLDCUP!BD61</f>
        <v>Turquía</v>
      </c>
      <c r="G7" s="9" t="str">
        <f ca="1">+WORLDCUP!BD65</f>
        <v>España</v>
      </c>
      <c r="H7" s="9" t="str">
        <f ca="1">+WORLDCUP!BD63</f>
        <v>Japón</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Noruega</v>
      </c>
      <c r="F8" s="9" t="str">
        <f ca="1">+WORLDCUP!BD61</f>
        <v>Turquía</v>
      </c>
      <c r="G8" s="9" t="str">
        <f ca="1">+WORLDCUP!BD65</f>
        <v>España</v>
      </c>
      <c r="H8" s="9" t="str">
        <f ca="1">+WORLDCUP!BD63</f>
        <v>Japón</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Austria</v>
      </c>
      <c r="F9" s="9" t="str">
        <f ca="1">+WORLDCUP!BD61</f>
        <v>Turquía</v>
      </c>
      <c r="G9" s="9" t="str">
        <f ca="1">+WORLDCUP!BD65</f>
        <v>España</v>
      </c>
      <c r="H9" s="9" t="str">
        <f ca="1">+WORLDCUP!BD63</f>
        <v>Japón</v>
      </c>
      <c r="I9" s="9" t="str">
        <f ca="1">+WORLDCUP!BD69</f>
        <v>Ghana</v>
      </c>
      <c r="J9" s="9" t="str">
        <f ca="1">+WORLDCUP!BD66</f>
        <v>Noruega</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Austria</v>
      </c>
      <c r="F10" s="9" t="str">
        <f ca="1">+WORLDCUP!BD61</f>
        <v>Turquía</v>
      </c>
      <c r="G10" s="9" t="str">
        <f ca="1">+WORLDCUP!BD65</f>
        <v>España</v>
      </c>
      <c r="H10" s="9" t="str">
        <f ca="1">+WORLDCUP!BD63</f>
        <v>Japón</v>
      </c>
      <c r="I10" s="9" t="str">
        <f ca="1">+WORLDCUP!BD66</f>
        <v>Noruega</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Noruega</v>
      </c>
      <c r="F11" s="9" t="str">
        <f ca="1">+WORLDCUP!BD60</f>
        <v>Marruecos</v>
      </c>
      <c r="G11" s="9" t="str">
        <f ca="1">+WORLDCUP!BD67</f>
        <v>Austria</v>
      </c>
      <c r="H11" s="9" t="str">
        <f ca="1">+WORLDCUP!BD63</f>
        <v>Japón</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Austria</v>
      </c>
      <c r="E12" s="9" t="str">
        <f ca="1">+WORLDCUP!BD66</f>
        <v>Noruega</v>
      </c>
      <c r="F12" s="9" t="str">
        <f ca="1">+WORLDCUP!BD60</f>
        <v>Marruecos</v>
      </c>
      <c r="G12" s="9" t="str">
        <f ca="1">+WORLDCUP!BD65</f>
        <v>España</v>
      </c>
      <c r="H12" s="9" t="str">
        <f ca="1">+WORLDCUP!BD64</f>
        <v>Bélgica</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Austria</v>
      </c>
      <c r="E13" s="9" t="str">
        <f ca="1">+WORLDCUP!BD66</f>
        <v>Noruega</v>
      </c>
      <c r="F13" s="9" t="str">
        <f ca="1">+WORLDCUP!BD60</f>
        <v>Marruecos</v>
      </c>
      <c r="G13" s="9" t="str">
        <f ca="1">+WORLDCUP!BD65</f>
        <v>España</v>
      </c>
      <c r="H13" s="9" t="str">
        <f ca="1">+WORLDCUP!BD63</f>
        <v>Japón</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Noruega</v>
      </c>
      <c r="F14" s="9" t="str">
        <f ca="1">+WORLDCUP!BD60</f>
        <v>Marruecos</v>
      </c>
      <c r="G14" s="9" t="str">
        <f ca="1">+WORLDCUP!BD67</f>
        <v>Austria</v>
      </c>
      <c r="H14" s="9" t="str">
        <f ca="1">+WORLDCUP!BD63</f>
        <v>Japón</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Austria</v>
      </c>
      <c r="F15" s="9" t="str">
        <f ca="1">+WORLDCUP!BD60</f>
        <v>Marruecos</v>
      </c>
      <c r="G15" s="9" t="str">
        <f ca="1">+WORLDCUP!BD65</f>
        <v>España</v>
      </c>
      <c r="H15" s="9" t="str">
        <f ca="1">+WORLDCUP!BD63</f>
        <v>Japón</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Noruega</v>
      </c>
      <c r="F16" s="9" t="str">
        <f ca="1">+WORLDCUP!BD60</f>
        <v>Marruecos</v>
      </c>
      <c r="G16" s="9" t="str">
        <f ca="1">+WORLDCUP!BD65</f>
        <v>España</v>
      </c>
      <c r="H16" s="9" t="str">
        <f ca="1">+WORLDCUP!BD63</f>
        <v>Japón</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Austria</v>
      </c>
      <c r="F17" s="9" t="str">
        <f ca="1">+WORLDCUP!BD60</f>
        <v>Marruecos</v>
      </c>
      <c r="G17" s="9" t="str">
        <f ca="1">+WORLDCUP!BD65</f>
        <v>España</v>
      </c>
      <c r="H17" s="9" t="str">
        <f ca="1">+WORLDCUP!BD63</f>
        <v>Japón</v>
      </c>
      <c r="I17" s="9" t="str">
        <f ca="1">+WORLDCUP!BD69</f>
        <v>Ghana</v>
      </c>
      <c r="J17" s="9" t="str">
        <f ca="1">+WORLDCUP!BD66</f>
        <v>Noruega</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Austria</v>
      </c>
      <c r="F18" s="9" t="str">
        <f ca="1">+WORLDCUP!BD60</f>
        <v>Marruecos</v>
      </c>
      <c r="G18" s="9" t="str">
        <f ca="1">+WORLDCUP!BD65</f>
        <v>España</v>
      </c>
      <c r="H18" s="9" t="str">
        <f ca="1">+WORLDCUP!BD63</f>
        <v>Japón</v>
      </c>
      <c r="I18" s="9" t="str">
        <f ca="1">+WORLDCUP!BD66</f>
        <v>Noruega</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Noruega</v>
      </c>
      <c r="F19" s="9" t="str">
        <f ca="1">+WORLDCUP!BD60</f>
        <v>Marruecos</v>
      </c>
      <c r="G19" s="9" t="str">
        <f ca="1">+WORLDCUP!BD67</f>
        <v>Austria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Austria</v>
      </c>
      <c r="E20" s="9" t="str">
        <f ca="1">+WORLDCUP!BD66</f>
        <v>Noruega</v>
      </c>
      <c r="F20" s="9" t="str">
        <f ca="1">+WORLDCUP!BD61</f>
        <v>Turquía</v>
      </c>
      <c r="G20" s="9" t="str">
        <f ca="1">+WORLDCUP!BD65</f>
        <v>España</v>
      </c>
      <c r="H20" s="9" t="str">
        <f ca="1">+WORLDCUP!BD63</f>
        <v>Japón</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Bélgica</v>
      </c>
      <c r="E21" s="9" t="str">
        <f ca="1">+WORLDCUP!BD66</f>
        <v>Noruega</v>
      </c>
      <c r="F21" s="9" t="str">
        <f ca="1">+WORLDCUP!BD61</f>
        <v>Turquía</v>
      </c>
      <c r="G21" s="9" t="str">
        <f ca="1">+WORLDCUP!BD67</f>
        <v>Austria</v>
      </c>
      <c r="H21" s="9" t="str">
        <f ca="1">+WORLDCUP!BD63</f>
        <v>Japón</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Bélgica</v>
      </c>
      <c r="E22" s="9" t="str">
        <f ca="1">+WORLDCUP!BD67</f>
        <v>Austria</v>
      </c>
      <c r="F22" s="9" t="str">
        <f ca="1">+WORLDCUP!BD61</f>
        <v>Turquía</v>
      </c>
      <c r="G22" s="9" t="str">
        <f ca="1">+WORLDCUP!BD65</f>
        <v>España</v>
      </c>
      <c r="H22" s="9" t="str">
        <f ca="1">+WORLDCUP!BD63</f>
        <v>Japón</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Bélgica</v>
      </c>
      <c r="E23" s="9" t="str">
        <f ca="1">+WORLDCUP!BD66</f>
        <v>Noruega</v>
      </c>
      <c r="F23" s="9" t="str">
        <f ca="1">+WORLDCUP!BD61</f>
        <v>Turquía</v>
      </c>
      <c r="G23" s="9" t="str">
        <f ca="1">+WORLDCUP!BD65</f>
        <v>España</v>
      </c>
      <c r="H23" s="9" t="str">
        <f ca="1">+WORLDCUP!BD63</f>
        <v>Japón</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Bélgica</v>
      </c>
      <c r="E24" s="9" t="str">
        <f ca="1">+WORLDCUP!BD67</f>
        <v>Austria</v>
      </c>
      <c r="F24" s="9" t="str">
        <f ca="1">+WORLDCUP!BD61</f>
        <v>Turquía</v>
      </c>
      <c r="G24" s="9" t="str">
        <f ca="1">+WORLDCUP!BD65</f>
        <v>España</v>
      </c>
      <c r="H24" s="9" t="str">
        <f ca="1">+WORLDCUP!BD63</f>
        <v>Japón</v>
      </c>
      <c r="I24" s="9" t="str">
        <f ca="1">+WORLDCUP!BD69</f>
        <v>Ghana</v>
      </c>
      <c r="J24" s="9" t="str">
        <f ca="1">+WORLDCUP!BD66</f>
        <v>Noruega</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Bélgica</v>
      </c>
      <c r="E25" s="9" t="str">
        <f ca="1">+WORLDCUP!BD67</f>
        <v>Austria</v>
      </c>
      <c r="F25" s="9" t="str">
        <f ca="1">+WORLDCUP!BD61</f>
        <v>Turquía</v>
      </c>
      <c r="G25" s="9" t="str">
        <f ca="1">+WORLDCUP!BD65</f>
        <v>España</v>
      </c>
      <c r="H25" s="9" t="str">
        <f ca="1">+WORLDCUP!BD63</f>
        <v>Japón</v>
      </c>
      <c r="I25" s="9" t="str">
        <f ca="1">+WORLDCUP!BD66</f>
        <v>Noruega</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Austria</v>
      </c>
      <c r="E26" s="9" t="str">
        <f ca="1">+WORLDCUP!BD66</f>
        <v>Noruega</v>
      </c>
      <c r="F26" s="9" t="str">
        <f ca="1">+WORLDCUP!BD60</f>
        <v>Marruecos</v>
      </c>
      <c r="G26" s="9" t="str">
        <f ca="1">+WORLDCUP!BD65</f>
        <v>España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Noruega</v>
      </c>
      <c r="F27" s="9" t="str">
        <f ca="1">+WORLDCUP!BD60</f>
        <v>Marruecos</v>
      </c>
      <c r="G27" s="9" t="str">
        <f ca="1">+WORLDCUP!BD67</f>
        <v>Austria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Austria</v>
      </c>
      <c r="F28" s="9" t="str">
        <f ca="1">+WORLDCUP!BD60</f>
        <v>Marruecos</v>
      </c>
      <c r="G28" s="9" t="str">
        <f ca="1">+WORLDCUP!BD65</f>
        <v>España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Noruega</v>
      </c>
      <c r="F29" s="9" t="str">
        <f ca="1">+WORLDCUP!BD60</f>
        <v>Marruecos</v>
      </c>
      <c r="G29" s="9" t="str">
        <f ca="1">+WORLDCUP!BD65</f>
        <v>España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Austria</v>
      </c>
      <c r="F30" s="9" t="str">
        <f ca="1">+WORLDCUP!BD60</f>
        <v>Marruecos</v>
      </c>
      <c r="G30" s="9" t="str">
        <f ca="1">+WORLDCUP!BD65</f>
        <v>España</v>
      </c>
      <c r="H30" s="9" t="str">
        <f ca="1">+WORLDCUP!BD61</f>
        <v>Turquía</v>
      </c>
      <c r="I30" s="9" t="str">
        <f ca="1">+WORLDCUP!BD69</f>
        <v>Ghana</v>
      </c>
      <c r="J30" s="9" t="str">
        <f ca="1">+WORLDCUP!BD66</f>
        <v>Noruega</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Austria</v>
      </c>
      <c r="F31" s="9" t="str">
        <f ca="1">+WORLDCUP!BD60</f>
        <v>Marruecos</v>
      </c>
      <c r="G31" s="9" t="str">
        <f ca="1">+WORLDCUP!BD65</f>
        <v>España</v>
      </c>
      <c r="H31" s="9" t="str">
        <f ca="1">+WORLDCUP!BD61</f>
        <v>Turquía</v>
      </c>
      <c r="I31" s="9" t="str">
        <f ca="1">+WORLDCUP!BD66</f>
        <v>Noruega</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Austria</v>
      </c>
      <c r="E32" s="9" t="str">
        <f ca="1">+WORLDCUP!BD62</f>
        <v>Ecuador</v>
      </c>
      <c r="F32" s="9" t="str">
        <f ca="1">+WORLDCUP!BD61</f>
        <v>Turquía</v>
      </c>
      <c r="G32" s="9" t="str">
        <f ca="1">+WORLDCUP!BD66</f>
        <v>Noruega</v>
      </c>
      <c r="H32" s="9" t="str">
        <f ca="1">+WORLDCUP!BD63</f>
        <v>Japón</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Austria</v>
      </c>
      <c r="E33" s="9" t="str">
        <f ca="1">+WORLDCUP!BD62</f>
        <v>Ecuador</v>
      </c>
      <c r="F33" s="9" t="str">
        <f ca="1">+WORLDCUP!BD61</f>
        <v>Turquía</v>
      </c>
      <c r="G33" s="9" t="str">
        <f ca="1">+WORLDCUP!BD65</f>
        <v>España</v>
      </c>
      <c r="H33" s="9" t="str">
        <f ca="1">+WORLDCUP!BD63</f>
        <v>Japón</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Noruega</v>
      </c>
      <c r="F34" s="9" t="str">
        <f ca="1">+WORLDCUP!BD61</f>
        <v>Turquía</v>
      </c>
      <c r="G34" s="9" t="str">
        <f ca="1">+WORLDCUP!BD65</f>
        <v>España</v>
      </c>
      <c r="H34" s="9" t="str">
        <f ca="1">+WORLDCUP!BD63</f>
        <v>Japón</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Austria</v>
      </c>
      <c r="E35" s="9" t="str">
        <f ca="1">+WORLDCUP!BD62</f>
        <v>Ecuador</v>
      </c>
      <c r="F35" s="9" t="str">
        <f ca="1">+WORLDCUP!BD61</f>
        <v>Turquía</v>
      </c>
      <c r="G35" s="9" t="str">
        <f ca="1">+WORLDCUP!BD65</f>
        <v>España</v>
      </c>
      <c r="H35" s="9" t="str">
        <f ca="1">+WORLDCUP!BD63</f>
        <v>Japón</v>
      </c>
      <c r="I35" s="9" t="str">
        <f ca="1">+WORLDCUP!BD69</f>
        <v>Ghana</v>
      </c>
      <c r="J35" s="9" t="str">
        <f ca="1">+WORLDCUP!BD66</f>
        <v>Noruega</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Austria</v>
      </c>
      <c r="E36" s="9" t="str">
        <f ca="1">+WORLDCUP!BD62</f>
        <v>Ecuador</v>
      </c>
      <c r="F36" s="9" t="str">
        <f ca="1">+WORLDCUP!BD61</f>
        <v>Turquía</v>
      </c>
      <c r="G36" s="9" t="str">
        <f ca="1">+WORLDCUP!BD65</f>
        <v>España</v>
      </c>
      <c r="H36" s="9" t="str">
        <f ca="1">+WORLDCUP!BD63</f>
        <v>Japón</v>
      </c>
      <c r="I36" s="9" t="str">
        <f ca="1">+WORLDCUP!BD66</f>
        <v>Noruega</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Bélgica</v>
      </c>
      <c r="E37" s="9" t="str">
        <f ca="1">+WORLDCUP!BD62</f>
        <v>Ecuador</v>
      </c>
      <c r="F37" s="9" t="str">
        <f ca="1">+WORLDCUP!BD61</f>
        <v>Turquía</v>
      </c>
      <c r="G37" s="9" t="str">
        <f ca="1">+WORLDCUP!BD67</f>
        <v>Austria</v>
      </c>
      <c r="H37" s="9" t="str">
        <f ca="1">+WORLDCUP!BD63</f>
        <v>Japón</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Bélgica</v>
      </c>
      <c r="E38" s="9" t="str">
        <f ca="1">+WORLDCUP!BD62</f>
        <v>Ecuador</v>
      </c>
      <c r="F38" s="9" t="str">
        <f ca="1">+WORLDCUP!BD61</f>
        <v>Turquía</v>
      </c>
      <c r="G38" s="9" t="str">
        <f ca="1">+WORLDCUP!BD66</f>
        <v>Noruega</v>
      </c>
      <c r="H38" s="9" t="str">
        <f ca="1">+WORLDCUP!BD63</f>
        <v>Japón</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Bélgica</v>
      </c>
      <c r="E39" s="9" t="str">
        <f ca="1">+WORLDCUP!BD62</f>
        <v>Ecuador</v>
      </c>
      <c r="F39" s="9" t="str">
        <f ca="1">+WORLDCUP!BD61</f>
        <v>Turquía</v>
      </c>
      <c r="G39" s="9" t="str">
        <f ca="1">+WORLDCUP!BD67</f>
        <v>Austria</v>
      </c>
      <c r="H39" s="9" t="str">
        <f ca="1">+WORLDCUP!BD63</f>
        <v>Japón</v>
      </c>
      <c r="I39" s="9" t="str">
        <f ca="1">+WORLDCUP!BD69</f>
        <v>Ghana</v>
      </c>
      <c r="J39" s="9" t="str">
        <f ca="1">+WORLDCUP!BD66</f>
        <v>Noruega</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Bélgica</v>
      </c>
      <c r="E40" s="9" t="str">
        <f ca="1">+WORLDCUP!BD62</f>
        <v>Ecuador</v>
      </c>
      <c r="F40" s="9" t="str">
        <f ca="1">+WORLDCUP!BD61</f>
        <v>Turquía</v>
      </c>
      <c r="G40" s="9" t="str">
        <f ca="1">+WORLDCUP!BD67</f>
        <v>Austria</v>
      </c>
      <c r="H40" s="9" t="str">
        <f ca="1">+WORLDCUP!BD63</f>
        <v>Japón</v>
      </c>
      <c r="I40" s="9" t="str">
        <f ca="1">+WORLDCUP!BD66</f>
        <v>Noruega</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Bélgica</v>
      </c>
      <c r="E42" s="9" t="str">
        <f ca="1">+WORLDCUP!BD67</f>
        <v>Austria</v>
      </c>
      <c r="F42" s="9" t="str">
        <f ca="1">+WORLDCUP!BD61</f>
        <v>Turquía</v>
      </c>
      <c r="G42" s="9" t="str">
        <f ca="1">+WORLDCUP!BD65</f>
        <v>España</v>
      </c>
      <c r="H42" s="9" t="str">
        <f ca="1">+WORLDCUP!BD63</f>
        <v>Japón</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Bélgica</v>
      </c>
      <c r="E43" s="9" t="str">
        <f ca="1">+WORLDCUP!BD67</f>
        <v>Austria</v>
      </c>
      <c r="F43" s="9" t="str">
        <f ca="1">+WORLDCUP!BD61</f>
        <v>Turquía</v>
      </c>
      <c r="G43" s="9" t="str">
        <f ca="1">+WORLDCUP!BD65</f>
        <v>España</v>
      </c>
      <c r="H43" s="9" t="str">
        <f ca="1">+WORLDCUP!BD63</f>
        <v>Japón</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Ghana</v>
      </c>
      <c r="J44" s="9" t="str">
        <f ca="1">+WORLDCUP!BD66</f>
        <v>Noruega</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Noruega</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Bélgica</v>
      </c>
      <c r="E46" s="9" t="str">
        <f ca="1">+WORLDCUP!BD67</f>
        <v>Austria</v>
      </c>
      <c r="F46" s="9" t="str">
        <f ca="1">+WORLDCUP!BD61</f>
        <v>Turquía</v>
      </c>
      <c r="G46" s="9" t="str">
        <f ca="1">+WORLDCUP!BD65</f>
        <v>España</v>
      </c>
      <c r="H46" s="9" t="str">
        <f ca="1">+WORLDCUP!BD63</f>
        <v>Japón</v>
      </c>
      <c r="I46" s="9" t="str">
        <f ca="1">+WORLDCUP!BD62</f>
        <v>Ecuador</v>
      </c>
      <c r="J46" s="9" t="str">
        <f ca="1">+WORLDCUP!BD66</f>
        <v>Noruega</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Austria</v>
      </c>
      <c r="E47" s="9" t="str">
        <f ca="1">+WORLDCUP!BD59</f>
        <v>Catar</v>
      </c>
      <c r="F47" s="9" t="str">
        <f ca="1">+WORLDCUP!BD63</f>
        <v>Japón</v>
      </c>
      <c r="G47" s="9" t="str">
        <f ca="1">+WORLDCUP!BD66</f>
        <v>Noruega</v>
      </c>
      <c r="H47" s="9" t="str">
        <f ca="1">+WORLDCUP!BD64</f>
        <v>Bélgica</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Austria</v>
      </c>
      <c r="E48" s="9" t="str">
        <f ca="1">+WORLDCUP!BD66</f>
        <v>Noruega</v>
      </c>
      <c r="F48" s="9" t="str">
        <f ca="1">+WORLDCUP!BD59</f>
        <v>Catar</v>
      </c>
      <c r="G48" s="9" t="str">
        <f ca="1">+WORLDCUP!BD65</f>
        <v>España</v>
      </c>
      <c r="H48" s="9" t="str">
        <f ca="1">+WORLDCUP!BD64</f>
        <v>Bélgica</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Austria</v>
      </c>
      <c r="E49" s="9" t="str">
        <f ca="1">+WORLDCUP!BD59</f>
        <v>Catar</v>
      </c>
      <c r="F49" s="9" t="str">
        <f ca="1">+WORLDCUP!BD63</f>
        <v>Japón</v>
      </c>
      <c r="G49" s="9" t="str">
        <f ca="1">+WORLDCUP!BD66</f>
        <v>Noruega</v>
      </c>
      <c r="H49" s="9" t="str">
        <f ca="1">+WORLDCUP!BD65</f>
        <v>España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Austria</v>
      </c>
      <c r="E50" s="9" t="str">
        <f ca="1">+WORLDCUP!BD59</f>
        <v>Catar</v>
      </c>
      <c r="F50" s="9" t="str">
        <f ca="1">+WORLDCUP!BD63</f>
        <v>Japón</v>
      </c>
      <c r="G50" s="9" t="str">
        <f ca="1">+WORLDCUP!BD66</f>
        <v>Noruega</v>
      </c>
      <c r="H50" s="9" t="str">
        <f ca="1">+WORLDCUP!BD64</f>
        <v>Bélgica</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Austria</v>
      </c>
      <c r="E51" s="9" t="str">
        <f ca="1">+WORLDCUP!BD59</f>
        <v>Catar</v>
      </c>
      <c r="F51" s="9" t="str">
        <f ca="1">+WORLDCUP!BD63</f>
        <v>Japón</v>
      </c>
      <c r="G51" s="9" t="str">
        <f ca="1">+WORLDCUP!BD65</f>
        <v>España</v>
      </c>
      <c r="H51" s="9" t="str">
        <f ca="1">+WORLDCUP!BD64</f>
        <v>Bélgica</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Catar</v>
      </c>
      <c r="F52" s="9" t="str">
        <f ca="1">+WORLDCUP!BD63</f>
        <v>Japón</v>
      </c>
      <c r="G52" s="9" t="str">
        <f ca="1">+WORLDCUP!BD66</f>
        <v>Noruega</v>
      </c>
      <c r="H52" s="9" t="str">
        <f ca="1">+WORLDCUP!BD65</f>
        <v>España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Austria</v>
      </c>
      <c r="E53" s="9" t="str">
        <f ca="1">+WORLDCUP!BD59</f>
        <v>Catar</v>
      </c>
      <c r="F53" s="9" t="str">
        <f ca="1">+WORLDCUP!BD63</f>
        <v>Japón</v>
      </c>
      <c r="G53" s="9" t="str">
        <f ca="1">+WORLDCUP!BD65</f>
        <v>España</v>
      </c>
      <c r="H53" s="9" t="str">
        <f ca="1">+WORLDCUP!BD64</f>
        <v>Bélgica</v>
      </c>
      <c r="I53" s="9" t="str">
        <f ca="1">+WORLDCUP!BD69</f>
        <v>Ghana</v>
      </c>
      <c r="J53" s="9" t="str">
        <f ca="1">+WORLDCUP!BD66</f>
        <v>Noruega</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Austria</v>
      </c>
      <c r="E54" s="9" t="str">
        <f ca="1">+WORLDCUP!BD59</f>
        <v>Catar</v>
      </c>
      <c r="F54" s="9" t="str">
        <f ca="1">+WORLDCUP!BD63</f>
        <v>Japón</v>
      </c>
      <c r="G54" s="9" t="str">
        <f ca="1">+WORLDCUP!BD65</f>
        <v>España</v>
      </c>
      <c r="H54" s="9" t="str">
        <f ca="1">+WORLDCUP!BD64</f>
        <v>Bélgica</v>
      </c>
      <c r="I54" s="9" t="str">
        <f ca="1">+WORLDCUP!BD66</f>
        <v>Noruega</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Austria</v>
      </c>
      <c r="E55" s="9" t="str">
        <f ca="1">+WORLDCUP!BD59</f>
        <v>Catar</v>
      </c>
      <c r="F55" s="9" t="str">
        <f ca="1">+WORLDCUP!BD61</f>
        <v>Turquía</v>
      </c>
      <c r="G55" s="9" t="str">
        <f ca="1">+WORLDCUP!BD66</f>
        <v>Noruega</v>
      </c>
      <c r="H55" s="9" t="str">
        <f ca="1">+WORLDCUP!BD64</f>
        <v>Bélgica</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Austria</v>
      </c>
      <c r="E56" s="9" t="str">
        <f ca="1">+WORLDCUP!BD59</f>
        <v>Catar</v>
      </c>
      <c r="F56" s="9" t="str">
        <f ca="1">+WORLDCUP!BD61</f>
        <v>Turquía</v>
      </c>
      <c r="G56" s="9" t="str">
        <f ca="1">+WORLDCUP!BD66</f>
        <v>Noruega</v>
      </c>
      <c r="H56" s="9" t="str">
        <f ca="1">+WORLDCUP!BD63</f>
        <v>Japón</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Noruega</v>
      </c>
      <c r="D57" s="9" t="str">
        <f ca="1">+WORLDCUP!BD64</f>
        <v>Bélgica</v>
      </c>
      <c r="E57" s="9" t="str">
        <f ca="1">+WORLDCUP!BD59</f>
        <v>Catar</v>
      </c>
      <c r="F57" s="9" t="str">
        <f ca="1">+WORLDCUP!BD61</f>
        <v>Turquía</v>
      </c>
      <c r="G57" s="9" t="str">
        <f ca="1">+WORLDCUP!BD67</f>
        <v>Austria</v>
      </c>
      <c r="H57" s="9" t="str">
        <f ca="1">+WORLDCUP!BD63</f>
        <v>Japón</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Catar</v>
      </c>
      <c r="F58" s="9" t="str">
        <f ca="1">+WORLDCUP!BD61</f>
        <v>Turquía</v>
      </c>
      <c r="G58" s="9" t="str">
        <f ca="1">+WORLDCUP!BD67</f>
        <v>Austria</v>
      </c>
      <c r="H58" s="9" t="str">
        <f ca="1">+WORLDCUP!BD63</f>
        <v>Japón</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Catar</v>
      </c>
      <c r="F59" s="9" t="str">
        <f ca="1">+WORLDCUP!BD61</f>
        <v>Turquía</v>
      </c>
      <c r="G59" s="9" t="str">
        <f ca="1">+WORLDCUP!BD66</f>
        <v>Noruega</v>
      </c>
      <c r="H59" s="9" t="str">
        <f ca="1">+WORLDCUP!BD63</f>
        <v>Japón</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Catar</v>
      </c>
      <c r="F60" s="9" t="str">
        <f ca="1">+WORLDCUP!BD61</f>
        <v>Turquía</v>
      </c>
      <c r="G60" s="9" t="str">
        <f ca="1">+WORLDCUP!BD67</f>
        <v>Austria</v>
      </c>
      <c r="H60" s="9" t="str">
        <f ca="1">+WORLDCUP!BD63</f>
        <v>Japón</v>
      </c>
      <c r="I60" s="9" t="str">
        <f ca="1">+WORLDCUP!BD69</f>
        <v>Ghana</v>
      </c>
      <c r="J60" s="9" t="str">
        <f ca="1">+WORLDCUP!BD66</f>
        <v>Noruega</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Catar</v>
      </c>
      <c r="F61" s="9" t="str">
        <f ca="1">+WORLDCUP!BD61</f>
        <v>Turquía</v>
      </c>
      <c r="G61" s="9" t="str">
        <f ca="1">+WORLDCUP!BD67</f>
        <v>Austria</v>
      </c>
      <c r="H61" s="9" t="str">
        <f ca="1">+WORLDCUP!BD63</f>
        <v>Japón</v>
      </c>
      <c r="I61" s="9" t="str">
        <f ca="1">+WORLDCUP!BD66</f>
        <v>Noruega</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Austria</v>
      </c>
      <c r="E62" s="9" t="str">
        <f ca="1">+WORLDCUP!BD59</f>
        <v>Catar</v>
      </c>
      <c r="F62" s="9" t="str">
        <f ca="1">+WORLDCUP!BD61</f>
        <v>Turquía</v>
      </c>
      <c r="G62" s="9" t="str">
        <f ca="1">+WORLDCUP!BD66</f>
        <v>Noruega</v>
      </c>
      <c r="H62" s="9" t="str">
        <f ca="1">+WORLDCUP!BD65</f>
        <v>España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Austria</v>
      </c>
      <c r="E63" s="9" t="str">
        <f ca="1">+WORLDCUP!BD59</f>
        <v>Catar</v>
      </c>
      <c r="F63" s="9" t="str">
        <f ca="1">+WORLDCUP!BD61</f>
        <v>Turquía</v>
      </c>
      <c r="G63" s="9" t="str">
        <f ca="1">+WORLDCUP!BD66</f>
        <v>Noruega</v>
      </c>
      <c r="H63" s="9" t="str">
        <f ca="1">+WORLDCUP!BD64</f>
        <v>Bélgica</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Austria</v>
      </c>
      <c r="E64" s="9" t="str">
        <f ca="1">+WORLDCUP!BD59</f>
        <v>Catar</v>
      </c>
      <c r="F64" s="9" t="str">
        <f ca="1">+WORLDCUP!BD61</f>
        <v>Turquía</v>
      </c>
      <c r="G64" s="9" t="str">
        <f ca="1">+WORLDCUP!BD65</f>
        <v>España</v>
      </c>
      <c r="H64" s="9" t="str">
        <f ca="1">+WORLDCUP!BD64</f>
        <v>Bélgica</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Catar</v>
      </c>
      <c r="F65" s="9" t="str">
        <f ca="1">+WORLDCUP!BD61</f>
        <v>Turquía</v>
      </c>
      <c r="G65" s="9" t="str">
        <f ca="1">+WORLDCUP!BD66</f>
        <v>Noruega</v>
      </c>
      <c r="H65" s="9" t="str">
        <f ca="1">+WORLDCUP!BD65</f>
        <v>España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Austria</v>
      </c>
      <c r="E66" s="9" t="str">
        <f ca="1">+WORLDCUP!BD59</f>
        <v>Catar</v>
      </c>
      <c r="F66" s="9" t="str">
        <f ca="1">+WORLDCUP!BD61</f>
        <v>Turquía</v>
      </c>
      <c r="G66" s="9" t="str">
        <f ca="1">+WORLDCUP!BD65</f>
        <v>España</v>
      </c>
      <c r="H66" s="9" t="str">
        <f ca="1">+WORLDCUP!BD64</f>
        <v>Bélgica</v>
      </c>
      <c r="I66" s="9" t="str">
        <f ca="1">+WORLDCUP!BD69</f>
        <v>Ghana</v>
      </c>
      <c r="J66" s="9" t="str">
        <f ca="1">+WORLDCUP!BD66</f>
        <v>Noruega</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Austria</v>
      </c>
      <c r="E67" s="9" t="str">
        <f ca="1">+WORLDCUP!BD59</f>
        <v>Catar</v>
      </c>
      <c r="F67" s="9" t="str">
        <f ca="1">+WORLDCUP!BD61</f>
        <v>Turquía</v>
      </c>
      <c r="G67" s="9" t="str">
        <f ca="1">+WORLDCUP!BD65</f>
        <v>España</v>
      </c>
      <c r="H67" s="9" t="str">
        <f ca="1">+WORLDCUP!BD64</f>
        <v>Bélgica</v>
      </c>
      <c r="I67" s="9" t="str">
        <f ca="1">+WORLDCUP!BD66</f>
        <v>Noruega</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Austria</v>
      </c>
      <c r="E68" s="9" t="str">
        <f ca="1">+WORLDCUP!BD59</f>
        <v>Catar</v>
      </c>
      <c r="F68" s="9" t="str">
        <f ca="1">+WORLDCUP!BD61</f>
        <v>Turquía</v>
      </c>
      <c r="G68" s="9" t="str">
        <f ca="1">+WORLDCUP!BD66</f>
        <v>Noruega</v>
      </c>
      <c r="H68" s="9" t="str">
        <f ca="1">+WORLDCUP!BD63</f>
        <v>Japón</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Austria</v>
      </c>
      <c r="E69" s="9" t="str">
        <f ca="1">+WORLDCUP!BD59</f>
        <v>Catar</v>
      </c>
      <c r="F69" s="9" t="str">
        <f ca="1">+WORLDCUP!BD61</f>
        <v>Turquía</v>
      </c>
      <c r="G69" s="9" t="str">
        <f ca="1">+WORLDCUP!BD65</f>
        <v>España</v>
      </c>
      <c r="H69" s="9" t="str">
        <f ca="1">+WORLDCUP!BD63</f>
        <v>Japón</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Noruega</v>
      </c>
      <c r="E70" s="9" t="str">
        <f ca="1">+WORLDCUP!BD59</f>
        <v>Catar</v>
      </c>
      <c r="F70" s="9" t="str">
        <f ca="1">+WORLDCUP!BD61</f>
        <v>Turquía</v>
      </c>
      <c r="G70" s="9" t="str">
        <f ca="1">+WORLDCUP!BD65</f>
        <v>España</v>
      </c>
      <c r="H70" s="9" t="str">
        <f ca="1">+WORLDCUP!BD63</f>
        <v>Japón</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Austria</v>
      </c>
      <c r="E71" s="9" t="str">
        <f ca="1">+WORLDCUP!BD59</f>
        <v>Catar</v>
      </c>
      <c r="F71" s="9" t="str">
        <f ca="1">+WORLDCUP!BD61</f>
        <v>Turquía</v>
      </c>
      <c r="G71" s="9" t="str">
        <f ca="1">+WORLDCUP!BD65</f>
        <v>España</v>
      </c>
      <c r="H71" s="9" t="str">
        <f ca="1">+WORLDCUP!BD63</f>
        <v>Japón</v>
      </c>
      <c r="I71" s="9" t="str">
        <f ca="1">+WORLDCUP!BD69</f>
        <v>Ghana</v>
      </c>
      <c r="J71" s="9" t="str">
        <f ca="1">+WORLDCUP!BD66</f>
        <v>Noruega</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Austria</v>
      </c>
      <c r="E72" s="9" t="str">
        <f ca="1">+WORLDCUP!BD59</f>
        <v>Catar</v>
      </c>
      <c r="F72" s="9" t="str">
        <f ca="1">+WORLDCUP!BD61</f>
        <v>Turquía</v>
      </c>
      <c r="G72" s="9" t="str">
        <f ca="1">+WORLDCUP!BD65</f>
        <v>España</v>
      </c>
      <c r="H72" s="9" t="str">
        <f ca="1">+WORLDCUP!BD63</f>
        <v>Japón</v>
      </c>
      <c r="I72" s="9" t="str">
        <f ca="1">+WORLDCUP!BD66</f>
        <v>Noruega</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Catar</v>
      </c>
      <c r="F73" s="9" t="str">
        <f ca="1">+WORLDCUP!BD61</f>
        <v>Turquía</v>
      </c>
      <c r="G73" s="9" t="str">
        <f ca="1">+WORLDCUP!BD67</f>
        <v>Austria</v>
      </c>
      <c r="H73" s="9" t="str">
        <f ca="1">+WORLDCUP!BD63</f>
        <v>Japón</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Catar</v>
      </c>
      <c r="F74" s="9" t="str">
        <f ca="1">+WORLDCUP!BD61</f>
        <v>Turquía</v>
      </c>
      <c r="G74" s="9" t="str">
        <f ca="1">+WORLDCUP!BD66</f>
        <v>Noruega</v>
      </c>
      <c r="H74" s="9" t="str">
        <f ca="1">+WORLDCUP!BD63</f>
        <v>Japón</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Catar</v>
      </c>
      <c r="F75" s="9" t="str">
        <f ca="1">+WORLDCUP!BD61</f>
        <v>Turquía</v>
      </c>
      <c r="G75" s="9" t="str">
        <f ca="1">+WORLDCUP!BD67</f>
        <v>Austria</v>
      </c>
      <c r="H75" s="9" t="str">
        <f ca="1">+WORLDCUP!BD63</f>
        <v>Japón</v>
      </c>
      <c r="I75" s="9" t="str">
        <f ca="1">+WORLDCUP!BD69</f>
        <v>Ghana</v>
      </c>
      <c r="J75" s="9" t="str">
        <f ca="1">+WORLDCUP!BD66</f>
        <v>Noruega</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Catar</v>
      </c>
      <c r="F76" s="9" t="str">
        <f ca="1">+WORLDCUP!BD61</f>
        <v>Turquía</v>
      </c>
      <c r="G76" s="9" t="str">
        <f ca="1">+WORLDCUP!BD67</f>
        <v>Austria</v>
      </c>
      <c r="H76" s="9" t="str">
        <f ca="1">+WORLDCUP!BD63</f>
        <v>Japón</v>
      </c>
      <c r="I76" s="9" t="str">
        <f ca="1">+WORLDCUP!BD66</f>
        <v>Noruega</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Catar</v>
      </c>
      <c r="F77" s="9" t="str">
        <f ca="1">+WORLDCUP!BD61</f>
        <v>Turquía</v>
      </c>
      <c r="G77" s="9" t="str">
        <f ca="1">+WORLDCUP!BD65</f>
        <v>España</v>
      </c>
      <c r="H77" s="9" t="str">
        <f ca="1">+WORLDCUP!BD63</f>
        <v>Japón</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Catar</v>
      </c>
      <c r="F78" s="9" t="str">
        <f ca="1">+WORLDCUP!BD61</f>
        <v>Turquía</v>
      </c>
      <c r="G78" s="9" t="str">
        <f ca="1">+WORLDCUP!BD67</f>
        <v>Austria</v>
      </c>
      <c r="H78" s="9" t="str">
        <f ca="1">+WORLDCUP!BD63</f>
        <v>Japón</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Catar</v>
      </c>
      <c r="F79" s="9" t="str">
        <f ca="1">+WORLDCUP!BD61</f>
        <v>Turquía</v>
      </c>
      <c r="G79" s="9" t="str">
        <f ca="1">+WORLDCUP!BD67</f>
        <v>Austria</v>
      </c>
      <c r="H79" s="9" t="str">
        <f ca="1">+WORLDCUP!BD63</f>
        <v>Japón</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Catar</v>
      </c>
      <c r="F80" s="9" t="str">
        <f ca="1">+WORLDCUP!BD61</f>
        <v>Turquía</v>
      </c>
      <c r="G80" s="9" t="str">
        <f ca="1">+WORLDCUP!BD65</f>
        <v>España</v>
      </c>
      <c r="H80" s="9" t="str">
        <f ca="1">+WORLDCUP!BD63</f>
        <v>Japón</v>
      </c>
      <c r="I80" s="9" t="str">
        <f ca="1">+WORLDCUP!BD69</f>
        <v>Ghana</v>
      </c>
      <c r="J80" s="9" t="str">
        <f ca="1">+WORLDCUP!BD66</f>
        <v>Noruega</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Catar</v>
      </c>
      <c r="F81" s="9" t="str">
        <f ca="1">+WORLDCUP!BD61</f>
        <v>Turquía</v>
      </c>
      <c r="G81" s="9" t="str">
        <f ca="1">+WORLDCUP!BD65</f>
        <v>España</v>
      </c>
      <c r="H81" s="9" t="str">
        <f ca="1">+WORLDCUP!BD63</f>
        <v>Japón</v>
      </c>
      <c r="I81" s="9" t="str">
        <f ca="1">+WORLDCUP!BD66</f>
        <v>Noruega</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Catar</v>
      </c>
      <c r="F82" s="9" t="str">
        <f ca="1">+WORLDCUP!BD61</f>
        <v>Turquía</v>
      </c>
      <c r="G82" s="9" t="str">
        <f ca="1">+WORLDCUP!BD67</f>
        <v>Austria</v>
      </c>
      <c r="H82" s="9" t="str">
        <f ca="1">+WORLDCUP!BD63</f>
        <v>Japón</v>
      </c>
      <c r="I82" s="9" t="str">
        <f ca="1">+WORLDCUP!BD62</f>
        <v>Ecuador</v>
      </c>
      <c r="J82" s="9" t="str">
        <f ca="1">+WORLDCUP!BD66</f>
        <v>Noruega</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Austria</v>
      </c>
      <c r="E83" s="9" t="str">
        <f ca="1">+WORLDCUP!BD59</f>
        <v>Catar</v>
      </c>
      <c r="F83" s="9" t="str">
        <f ca="1">+WORLDCUP!BD60</f>
        <v>Marruecos</v>
      </c>
      <c r="G83" s="9" t="str">
        <f ca="1">+WORLDCUP!BD66</f>
        <v>Noruega</v>
      </c>
      <c r="H83" s="9" t="str">
        <f ca="1">+WORLDCUP!BD64</f>
        <v>Bélgica</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Austria</v>
      </c>
      <c r="E84" s="9" t="str">
        <f ca="1">+WORLDCUP!BD59</f>
        <v>Catar</v>
      </c>
      <c r="F84" s="9" t="str">
        <f ca="1">+WORLDCUP!BD60</f>
        <v>Marruecos</v>
      </c>
      <c r="G84" s="9" t="str">
        <f ca="1">+WORLDCUP!BD66</f>
        <v>Noruega</v>
      </c>
      <c r="H84" s="9" t="str">
        <f ca="1">+WORLDCUP!BD63</f>
        <v>Japón</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Noruega</v>
      </c>
      <c r="D85" s="9" t="str">
        <f ca="1">+WORLDCUP!BD64</f>
        <v>Bélgica</v>
      </c>
      <c r="E85" s="9" t="str">
        <f ca="1">+WORLDCUP!BD59</f>
        <v>Catar</v>
      </c>
      <c r="F85" s="9" t="str">
        <f ca="1">+WORLDCUP!BD60</f>
        <v>Marruecos</v>
      </c>
      <c r="G85" s="9" t="str">
        <f ca="1">+WORLDCUP!BD67</f>
        <v>Austria</v>
      </c>
      <c r="H85" s="9" t="str">
        <f ca="1">+WORLDCUP!BD63</f>
        <v>Japón</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Catar</v>
      </c>
      <c r="F86" s="9" t="str">
        <f ca="1">+WORLDCUP!BD60</f>
        <v>Marruecos</v>
      </c>
      <c r="G86" s="9" t="str">
        <f ca="1">+WORLDCUP!BD67</f>
        <v>Austria</v>
      </c>
      <c r="H86" s="9" t="str">
        <f ca="1">+WORLDCUP!BD63</f>
        <v>Japón</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Catar</v>
      </c>
      <c r="F87" s="9" t="str">
        <f ca="1">+WORLDCUP!BD60</f>
        <v>Marruecos</v>
      </c>
      <c r="G87" s="9" t="str">
        <f ca="1">+WORLDCUP!BD66</f>
        <v>Noruega</v>
      </c>
      <c r="H87" s="9" t="str">
        <f ca="1">+WORLDCUP!BD63</f>
        <v>Japón</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Catar</v>
      </c>
      <c r="F88" s="9" t="str">
        <f ca="1">+WORLDCUP!BD60</f>
        <v>Marruecos</v>
      </c>
      <c r="G88" s="9" t="str">
        <f ca="1">+WORLDCUP!BD67</f>
        <v>Austria</v>
      </c>
      <c r="H88" s="9" t="str">
        <f ca="1">+WORLDCUP!BD63</f>
        <v>Japón</v>
      </c>
      <c r="I88" s="9" t="str">
        <f ca="1">+WORLDCUP!BD69</f>
        <v>Ghana</v>
      </c>
      <c r="J88" s="9" t="str">
        <f ca="1">+WORLDCUP!BD66</f>
        <v>Noruega</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Catar</v>
      </c>
      <c r="F89" s="9" t="str">
        <f ca="1">+WORLDCUP!BD60</f>
        <v>Marruecos</v>
      </c>
      <c r="G89" s="9" t="str">
        <f ca="1">+WORLDCUP!BD67</f>
        <v>Austria</v>
      </c>
      <c r="H89" s="9" t="str">
        <f ca="1">+WORLDCUP!BD63</f>
        <v>Japón</v>
      </c>
      <c r="I89" s="9" t="str">
        <f ca="1">+WORLDCUP!BD66</f>
        <v>Noruega</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Austria</v>
      </c>
      <c r="E90" s="9" t="str">
        <f ca="1">+WORLDCUP!BD59</f>
        <v>Catar</v>
      </c>
      <c r="F90" s="9" t="str">
        <f ca="1">+WORLDCUP!BD60</f>
        <v>Marruecos</v>
      </c>
      <c r="G90" s="9" t="str">
        <f ca="1">+WORLDCUP!BD66</f>
        <v>Noruega</v>
      </c>
      <c r="H90" s="9" t="str">
        <f ca="1">+WORLDCUP!BD65</f>
        <v>España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Austria</v>
      </c>
      <c r="E91" s="9" t="str">
        <f ca="1">+WORLDCUP!BD59</f>
        <v>Catar</v>
      </c>
      <c r="F91" s="9" t="str">
        <f ca="1">+WORLDCUP!BD60</f>
        <v>Marruecos</v>
      </c>
      <c r="G91" s="9" t="str">
        <f ca="1">+WORLDCUP!BD66</f>
        <v>Noruega</v>
      </c>
      <c r="H91" s="9" t="str">
        <f ca="1">+WORLDCUP!BD64</f>
        <v>Bélgica</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Austria</v>
      </c>
      <c r="E92" s="9" t="str">
        <f ca="1">+WORLDCUP!BD59</f>
        <v>Catar</v>
      </c>
      <c r="F92" s="9" t="str">
        <f ca="1">+WORLDCUP!BD60</f>
        <v>Marruecos</v>
      </c>
      <c r="G92" s="9" t="str">
        <f ca="1">+WORLDCUP!BD65</f>
        <v>España</v>
      </c>
      <c r="H92" s="9" t="str">
        <f ca="1">+WORLDCUP!BD64</f>
        <v>Bélgica</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Catar</v>
      </c>
      <c r="F93" s="9" t="str">
        <f ca="1">+WORLDCUP!BD60</f>
        <v>Marruecos</v>
      </c>
      <c r="G93" s="9" t="str">
        <f ca="1">+WORLDCUP!BD66</f>
        <v>Noruega</v>
      </c>
      <c r="H93" s="9" t="str">
        <f ca="1">+WORLDCUP!BD65</f>
        <v>España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Austria</v>
      </c>
      <c r="E94" s="9" t="str">
        <f ca="1">+WORLDCUP!BD59</f>
        <v>Catar</v>
      </c>
      <c r="F94" s="9" t="str">
        <f ca="1">+WORLDCUP!BD60</f>
        <v>Marruecos</v>
      </c>
      <c r="G94" s="9" t="str">
        <f ca="1">+WORLDCUP!BD65</f>
        <v>España</v>
      </c>
      <c r="H94" s="9" t="str">
        <f ca="1">+WORLDCUP!BD64</f>
        <v>Bélgica</v>
      </c>
      <c r="I94" s="9" t="str">
        <f ca="1">+WORLDCUP!BD69</f>
        <v>Ghana</v>
      </c>
      <c r="J94" s="9" t="str">
        <f ca="1">+WORLDCUP!BD66</f>
        <v>Noruega</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Austria</v>
      </c>
      <c r="E95" s="9" t="str">
        <f ca="1">+WORLDCUP!BD59</f>
        <v>Catar</v>
      </c>
      <c r="F95" s="9" t="str">
        <f ca="1">+WORLDCUP!BD60</f>
        <v>Marruecos</v>
      </c>
      <c r="G95" s="9" t="str">
        <f ca="1">+WORLDCUP!BD65</f>
        <v>España</v>
      </c>
      <c r="H95" s="9" t="str">
        <f ca="1">+WORLDCUP!BD64</f>
        <v>Bélgica</v>
      </c>
      <c r="I95" s="9" t="str">
        <f ca="1">+WORLDCUP!BD66</f>
        <v>Noruega</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Austria</v>
      </c>
      <c r="E96" s="9" t="str">
        <f ca="1">+WORLDCUP!BD59</f>
        <v>Catar</v>
      </c>
      <c r="F96" s="9" t="str">
        <f ca="1">+WORLDCUP!BD60</f>
        <v>Marruecos</v>
      </c>
      <c r="G96" s="9" t="str">
        <f ca="1">+WORLDCUP!BD66</f>
        <v>Noruega</v>
      </c>
      <c r="H96" s="9" t="str">
        <f ca="1">+WORLDCUP!BD63</f>
        <v>Japón</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Austria</v>
      </c>
      <c r="E97" s="9" t="str">
        <f ca="1">+WORLDCUP!BD59</f>
        <v>Catar</v>
      </c>
      <c r="F97" s="9" t="str">
        <f ca="1">+WORLDCUP!BD60</f>
        <v>Marruecos</v>
      </c>
      <c r="G97" s="9" t="str">
        <f ca="1">+WORLDCUP!BD65</f>
        <v>España</v>
      </c>
      <c r="H97" s="9" t="str">
        <f ca="1">+WORLDCUP!BD63</f>
        <v>Japón</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Noruega</v>
      </c>
      <c r="E98" s="9" t="str">
        <f ca="1">+WORLDCUP!BD59</f>
        <v>Catar</v>
      </c>
      <c r="F98" s="9" t="str">
        <f ca="1">+WORLDCUP!BD60</f>
        <v>Marruecos</v>
      </c>
      <c r="G98" s="9" t="str">
        <f ca="1">+WORLDCUP!BD65</f>
        <v>España</v>
      </c>
      <c r="H98" s="9" t="str">
        <f ca="1">+WORLDCUP!BD63</f>
        <v>Japón</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Austria</v>
      </c>
      <c r="E99" s="9" t="str">
        <f ca="1">+WORLDCUP!BD59</f>
        <v>Catar</v>
      </c>
      <c r="F99" s="9" t="str">
        <f ca="1">+WORLDCUP!BD60</f>
        <v>Marruecos</v>
      </c>
      <c r="G99" s="9" t="str">
        <f ca="1">+WORLDCUP!BD65</f>
        <v>España</v>
      </c>
      <c r="H99" s="9" t="str">
        <f ca="1">+WORLDCUP!BD63</f>
        <v>Japón</v>
      </c>
      <c r="I99" s="9" t="str">
        <f ca="1">+WORLDCUP!BD69</f>
        <v>Ghana</v>
      </c>
      <c r="J99" s="9" t="str">
        <f ca="1">+WORLDCUP!BD66</f>
        <v>Noruega</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Austria</v>
      </c>
      <c r="E100" s="9" t="str">
        <f ca="1">+WORLDCUP!BD59</f>
        <v>Catar</v>
      </c>
      <c r="F100" s="9" t="str">
        <f ca="1">+WORLDCUP!BD60</f>
        <v>Marruecos</v>
      </c>
      <c r="G100" s="9" t="str">
        <f ca="1">+WORLDCUP!BD65</f>
        <v>España</v>
      </c>
      <c r="H100" s="9" t="str">
        <f ca="1">+WORLDCUP!BD63</f>
        <v>Japón</v>
      </c>
      <c r="I100" s="9" t="str">
        <f ca="1">+WORLDCUP!BD66</f>
        <v>Noruega</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Catar</v>
      </c>
      <c r="F101" s="9" t="str">
        <f ca="1">+WORLDCUP!BD60</f>
        <v>Marruecos</v>
      </c>
      <c r="G101" s="9" t="str">
        <f ca="1">+WORLDCUP!BD67</f>
        <v>Austria</v>
      </c>
      <c r="H101" s="9" t="str">
        <f ca="1">+WORLDCUP!BD63</f>
        <v>Japón</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Catar</v>
      </c>
      <c r="F102" s="9" t="str">
        <f ca="1">+WORLDCUP!BD60</f>
        <v>Marruecos</v>
      </c>
      <c r="G102" s="9" t="str">
        <f ca="1">+WORLDCUP!BD66</f>
        <v>Noruega</v>
      </c>
      <c r="H102" s="9" t="str">
        <f ca="1">+WORLDCUP!BD63</f>
        <v>Japón</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Catar</v>
      </c>
      <c r="F103" s="9" t="str">
        <f ca="1">+WORLDCUP!BD60</f>
        <v>Marruecos</v>
      </c>
      <c r="G103" s="9" t="str">
        <f ca="1">+WORLDCUP!BD67</f>
        <v>Austria</v>
      </c>
      <c r="H103" s="9" t="str">
        <f ca="1">+WORLDCUP!BD63</f>
        <v>Japón</v>
      </c>
      <c r="I103" s="9" t="str">
        <f ca="1">+WORLDCUP!BD69</f>
        <v>Ghana</v>
      </c>
      <c r="J103" s="9" t="str">
        <f ca="1">+WORLDCUP!BD66</f>
        <v>Noruega</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Catar</v>
      </c>
      <c r="F104" s="9" t="str">
        <f ca="1">+WORLDCUP!BD60</f>
        <v>Marruecos</v>
      </c>
      <c r="G104" s="9" t="str">
        <f ca="1">+WORLDCUP!BD67</f>
        <v>Austria</v>
      </c>
      <c r="H104" s="9" t="str">
        <f ca="1">+WORLDCUP!BD63</f>
        <v>Japón</v>
      </c>
      <c r="I104" s="9" t="str">
        <f ca="1">+WORLDCUP!BD66</f>
        <v>Noruega</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Catar</v>
      </c>
      <c r="F105" s="9" t="str">
        <f ca="1">+WORLDCUP!BD60</f>
        <v>Marruecos</v>
      </c>
      <c r="G105" s="9" t="str">
        <f ca="1">+WORLDCUP!BD65</f>
        <v>España</v>
      </c>
      <c r="H105" s="9" t="str">
        <f ca="1">+WORLDCUP!BD63</f>
        <v>Japón</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Catar</v>
      </c>
      <c r="F106" s="9" t="str">
        <f ca="1">+WORLDCUP!BD60</f>
        <v>Marruecos</v>
      </c>
      <c r="G106" s="9" t="str">
        <f ca="1">+WORLDCUP!BD67</f>
        <v>Austria</v>
      </c>
      <c r="H106" s="9" t="str">
        <f ca="1">+WORLDCUP!BD63</f>
        <v>Japón</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Catar</v>
      </c>
      <c r="F107" s="9" t="str">
        <f ca="1">+WORLDCUP!BD60</f>
        <v>Marruecos</v>
      </c>
      <c r="G107" s="9" t="str">
        <f ca="1">+WORLDCUP!BD67</f>
        <v>Austria</v>
      </c>
      <c r="H107" s="9" t="str">
        <f ca="1">+WORLDCUP!BD63</f>
        <v>Japón</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Catar</v>
      </c>
      <c r="F108" s="9" t="str">
        <f ca="1">+WORLDCUP!BD60</f>
        <v>Marruecos</v>
      </c>
      <c r="G108" s="9" t="str">
        <f ca="1">+WORLDCUP!BD65</f>
        <v>España</v>
      </c>
      <c r="H108" s="9" t="str">
        <f ca="1">+WORLDCUP!BD63</f>
        <v>Japón</v>
      </c>
      <c r="I108" s="9" t="str">
        <f ca="1">+WORLDCUP!BD69</f>
        <v>Ghana</v>
      </c>
      <c r="J108" s="9" t="str">
        <f ca="1">+WORLDCUP!BD66</f>
        <v>Noruega</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Catar</v>
      </c>
      <c r="F109" s="9" t="str">
        <f ca="1">+WORLDCUP!BD60</f>
        <v>Marruecos</v>
      </c>
      <c r="G109" s="9" t="str">
        <f ca="1">+WORLDCUP!BD65</f>
        <v>España</v>
      </c>
      <c r="H109" s="9" t="str">
        <f ca="1">+WORLDCUP!BD63</f>
        <v>Japón</v>
      </c>
      <c r="I109" s="9" t="str">
        <f ca="1">+WORLDCUP!BD66</f>
        <v>Noruega</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Catar</v>
      </c>
      <c r="F110" s="9" t="str">
        <f ca="1">+WORLDCUP!BD60</f>
        <v>Marruecos</v>
      </c>
      <c r="G110" s="9" t="str">
        <f ca="1">+WORLDCUP!BD67</f>
        <v>Austria</v>
      </c>
      <c r="H110" s="9" t="str">
        <f ca="1">+WORLDCUP!BD63</f>
        <v>Japón</v>
      </c>
      <c r="I110" s="9" t="str">
        <f ca="1">+WORLDCUP!BD62</f>
        <v>Ecuador</v>
      </c>
      <c r="J110" s="9" t="str">
        <f ca="1">+WORLDCUP!BD66</f>
        <v>Noruega</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Austria</v>
      </c>
      <c r="E111" s="9" t="str">
        <f ca="1">+WORLDCUP!BD59</f>
        <v>Catar</v>
      </c>
      <c r="F111" s="9" t="str">
        <f ca="1">+WORLDCUP!BD60</f>
        <v>Marruecos</v>
      </c>
      <c r="G111" s="9" t="str">
        <f ca="1">+WORLDCUP!BD66</f>
        <v>Noruega</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Noruega</v>
      </c>
      <c r="D112" s="9" t="str">
        <f ca="1">+WORLDCUP!BD64</f>
        <v>Bélgica</v>
      </c>
      <c r="E112" s="9" t="str">
        <f ca="1">+WORLDCUP!BD59</f>
        <v>Catar</v>
      </c>
      <c r="F112" s="9" t="str">
        <f ca="1">+WORLDCUP!BD60</f>
        <v>Marruecos</v>
      </c>
      <c r="G112" s="9" t="str">
        <f ca="1">+WORLDCUP!BD67</f>
        <v>Austria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Catar</v>
      </c>
      <c r="F113" s="9" t="str">
        <f ca="1">+WORLDCUP!BD60</f>
        <v>Marruecos</v>
      </c>
      <c r="G113" s="9" t="str">
        <f ca="1">+WORLDCUP!BD67</f>
        <v>Austria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Catar</v>
      </c>
      <c r="F114" s="9" t="str">
        <f ca="1">+WORLDCUP!BD60</f>
        <v>Marruecos</v>
      </c>
      <c r="G114" s="9" t="str">
        <f ca="1">+WORLDCUP!BD66</f>
        <v>Noruega</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Catar</v>
      </c>
      <c r="F115" s="9" t="str">
        <f ca="1">+WORLDCUP!BD60</f>
        <v>Marruecos</v>
      </c>
      <c r="G115" s="9" t="str">
        <f ca="1">+WORLDCUP!BD67</f>
        <v>Austria</v>
      </c>
      <c r="H115" s="9" t="str">
        <f ca="1">+WORLDCUP!BD61</f>
        <v>Turquía</v>
      </c>
      <c r="I115" s="9" t="str">
        <f ca="1">+WORLDCUP!BD69</f>
        <v>Ghana</v>
      </c>
      <c r="J115" s="9" t="str">
        <f ca="1">+WORLDCUP!BD66</f>
        <v>Noruega</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Catar</v>
      </c>
      <c r="F116" s="9" t="str">
        <f ca="1">+WORLDCUP!BD60</f>
        <v>Marruecos</v>
      </c>
      <c r="G116" s="9" t="str">
        <f ca="1">+WORLDCUP!BD67</f>
        <v>Austria</v>
      </c>
      <c r="H116" s="9" t="str">
        <f ca="1">+WORLDCUP!BD61</f>
        <v>Turquía</v>
      </c>
      <c r="I116" s="9" t="str">
        <f ca="1">+WORLDCUP!BD66</f>
        <v>Noruega</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Austria</v>
      </c>
      <c r="E117" s="9" t="str">
        <f ca="1">+WORLDCUP!BD59</f>
        <v>Catar</v>
      </c>
      <c r="F117" s="9" t="str">
        <f ca="1">+WORLDCUP!BD61</f>
        <v>Turquía</v>
      </c>
      <c r="G117" s="9" t="str">
        <f ca="1">+WORLDCUP!BD66</f>
        <v>Noruega</v>
      </c>
      <c r="H117" s="9" t="str">
        <f ca="1">+WORLDCUP!BD63</f>
        <v>Japón</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Austria</v>
      </c>
      <c r="E118" s="9" t="str">
        <f ca="1">+WORLDCUP!BD59</f>
        <v>Catar</v>
      </c>
      <c r="F118" s="9" t="str">
        <f ca="1">+WORLDCUP!BD61</f>
        <v>Turquía</v>
      </c>
      <c r="G118" s="9" t="str">
        <f ca="1">+WORLDCUP!BD65</f>
        <v>España</v>
      </c>
      <c r="H118" s="9" t="str">
        <f ca="1">+WORLDCUP!BD63</f>
        <v>Japón</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Noruega</v>
      </c>
      <c r="E119" s="9" t="str">
        <f ca="1">+WORLDCUP!BD59</f>
        <v>Catar</v>
      </c>
      <c r="F119" s="9" t="str">
        <f ca="1">+WORLDCUP!BD61</f>
        <v>Turquía</v>
      </c>
      <c r="G119" s="9" t="str">
        <f ca="1">+WORLDCUP!BD65</f>
        <v>España</v>
      </c>
      <c r="H119" s="9" t="str">
        <f ca="1">+WORLDCUP!BD63</f>
        <v>Japón</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Austria</v>
      </c>
      <c r="E120" s="9" t="str">
        <f ca="1">+WORLDCUP!BD59</f>
        <v>Catar</v>
      </c>
      <c r="F120" s="9" t="str">
        <f ca="1">+WORLDCUP!BD61</f>
        <v>Turquía</v>
      </c>
      <c r="G120" s="9" t="str">
        <f ca="1">+WORLDCUP!BD65</f>
        <v>España</v>
      </c>
      <c r="H120" s="9" t="str">
        <f ca="1">+WORLDCUP!BD63</f>
        <v>Japón</v>
      </c>
      <c r="I120" s="9" t="str">
        <f ca="1">+WORLDCUP!BD69</f>
        <v>Ghana</v>
      </c>
      <c r="J120" s="9" t="str">
        <f ca="1">+WORLDCUP!BD66</f>
        <v>Noruega</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Austria</v>
      </c>
      <c r="E121" s="9" t="str">
        <f ca="1">+WORLDCUP!BD59</f>
        <v>Catar</v>
      </c>
      <c r="F121" s="9" t="str">
        <f ca="1">+WORLDCUP!BD61</f>
        <v>Turquía</v>
      </c>
      <c r="G121" s="9" t="str">
        <f ca="1">+WORLDCUP!BD65</f>
        <v>España</v>
      </c>
      <c r="H121" s="9" t="str">
        <f ca="1">+WORLDCUP!BD63</f>
        <v>Japón</v>
      </c>
      <c r="I121" s="9" t="str">
        <f ca="1">+WORLDCUP!BD66</f>
        <v>Noruega</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Bélgica</v>
      </c>
      <c r="E122" s="9" t="str">
        <f ca="1">+WORLDCUP!BD59</f>
        <v>Catar</v>
      </c>
      <c r="F122" s="9" t="str">
        <f ca="1">+WORLDCUP!BD61</f>
        <v>Turquía</v>
      </c>
      <c r="G122" s="9" t="str">
        <f ca="1">+WORLDCUP!BD67</f>
        <v>Austria</v>
      </c>
      <c r="H122" s="9" t="str">
        <f ca="1">+WORLDCUP!BD63</f>
        <v>Japón</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Bélgica</v>
      </c>
      <c r="E123" s="9" t="str">
        <f ca="1">+WORLDCUP!BD59</f>
        <v>Catar</v>
      </c>
      <c r="F123" s="9" t="str">
        <f ca="1">+WORLDCUP!BD61</f>
        <v>Turquía</v>
      </c>
      <c r="G123" s="9" t="str">
        <f ca="1">+WORLDCUP!BD66</f>
        <v>Noruega</v>
      </c>
      <c r="H123" s="9" t="str">
        <f ca="1">+WORLDCUP!BD63</f>
        <v>Japón</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Bélgica</v>
      </c>
      <c r="E124" s="9" t="str">
        <f ca="1">+WORLDCUP!BD59</f>
        <v>Catar</v>
      </c>
      <c r="F124" s="9" t="str">
        <f ca="1">+WORLDCUP!BD61</f>
        <v>Turquía</v>
      </c>
      <c r="G124" s="9" t="str">
        <f ca="1">+WORLDCUP!BD67</f>
        <v>Austria</v>
      </c>
      <c r="H124" s="9" t="str">
        <f ca="1">+WORLDCUP!BD63</f>
        <v>Japón</v>
      </c>
      <c r="I124" s="9" t="str">
        <f ca="1">+WORLDCUP!BD69</f>
        <v>Ghana</v>
      </c>
      <c r="J124" s="9" t="str">
        <f ca="1">+WORLDCUP!BD66</f>
        <v>Noruega</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Bélgica</v>
      </c>
      <c r="E125" s="9" t="str">
        <f ca="1">+WORLDCUP!BD59</f>
        <v>Catar</v>
      </c>
      <c r="F125" s="9" t="str">
        <f ca="1">+WORLDCUP!BD61</f>
        <v>Turquía</v>
      </c>
      <c r="G125" s="9" t="str">
        <f ca="1">+WORLDCUP!BD67</f>
        <v>Austria</v>
      </c>
      <c r="H125" s="9" t="str">
        <f ca="1">+WORLDCUP!BD63</f>
        <v>Japón</v>
      </c>
      <c r="I125" s="9" t="str">
        <f ca="1">+WORLDCUP!BD66</f>
        <v>Noruega</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Bélgica</v>
      </c>
      <c r="E126" s="9" t="str">
        <f ca="1">+WORLDCUP!BD59</f>
        <v>Catar</v>
      </c>
      <c r="F126" s="9" t="str">
        <f ca="1">+WORLDCUP!BD61</f>
        <v>Turquía</v>
      </c>
      <c r="G126" s="9" t="str">
        <f ca="1">+WORLDCUP!BD65</f>
        <v>España</v>
      </c>
      <c r="H126" s="9" t="str">
        <f ca="1">+WORLDCUP!BD63</f>
        <v>Japón</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Bélgica</v>
      </c>
      <c r="E127" s="9" t="str">
        <f ca="1">+WORLDCUP!BD59</f>
        <v>Catar</v>
      </c>
      <c r="F127" s="9" t="str">
        <f ca="1">+WORLDCUP!BD61</f>
        <v>Turquía</v>
      </c>
      <c r="G127" s="9" t="str">
        <f ca="1">+WORLDCUP!BD65</f>
        <v>España</v>
      </c>
      <c r="H127" s="9" t="str">
        <f ca="1">+WORLDCUP!BD63</f>
        <v>Japón</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Catar</v>
      </c>
      <c r="F128" s="9" t="str">
        <f ca="1">+WORLDCUP!BD60</f>
        <v>Marruecos</v>
      </c>
      <c r="G128" s="9" t="str">
        <f ca="1">+WORLDCUP!BD67</f>
        <v>Austria</v>
      </c>
      <c r="H128" s="9" t="str">
        <f ca="1">+WORLDCUP!BD63</f>
        <v>Japón</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Bélgica</v>
      </c>
      <c r="E129" s="9" t="str">
        <f ca="1">+WORLDCUP!BD59</f>
        <v>Catar</v>
      </c>
      <c r="F129" s="9" t="str">
        <f ca="1">+WORLDCUP!BD61</f>
        <v>Turquía</v>
      </c>
      <c r="G129" s="9" t="str">
        <f ca="1">+WORLDCUP!BD65</f>
        <v>España</v>
      </c>
      <c r="H129" s="9" t="str">
        <f ca="1">+WORLDCUP!BD63</f>
        <v>Japón</v>
      </c>
      <c r="I129" s="9" t="str">
        <f ca="1">+WORLDCUP!BD69</f>
        <v>Ghana</v>
      </c>
      <c r="J129" s="9" t="str">
        <f ca="1">+WORLDCUP!BD66</f>
        <v>Noruega</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Bélgica</v>
      </c>
      <c r="E130" s="9" t="str">
        <f ca="1">+WORLDCUP!BD59</f>
        <v>Catar</v>
      </c>
      <c r="F130" s="9" t="str">
        <f ca="1">+WORLDCUP!BD61</f>
        <v>Turquía</v>
      </c>
      <c r="G130" s="9" t="str">
        <f ca="1">+WORLDCUP!BD65</f>
        <v>España</v>
      </c>
      <c r="H130" s="9" t="str">
        <f ca="1">+WORLDCUP!BD63</f>
        <v>Japón</v>
      </c>
      <c r="I130" s="9" t="str">
        <f ca="1">+WORLDCUP!BD66</f>
        <v>Noruega</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Catar</v>
      </c>
      <c r="F131" s="9" t="str">
        <f ca="1">+WORLDCUP!BD60</f>
        <v>Marruecos</v>
      </c>
      <c r="G131" s="9" t="str">
        <f ca="1">+WORLDCUP!BD67</f>
        <v>Austria</v>
      </c>
      <c r="H131" s="9" t="str">
        <f ca="1">+WORLDCUP!BD63</f>
        <v>Japón</v>
      </c>
      <c r="I131" s="9" t="str">
        <f ca="1">+WORLDCUP!BD61</f>
        <v>Turquía</v>
      </c>
      <c r="J131" s="9" t="str">
        <f ca="1">+WORLDCUP!BD66</f>
        <v>Noruega</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Austria</v>
      </c>
      <c r="E132" s="9" t="str">
        <f ca="1">+WORLDCUP!BD59</f>
        <v>Catar</v>
      </c>
      <c r="F132" s="9" t="str">
        <f ca="1">+WORLDCUP!BD60</f>
        <v>Marruecos</v>
      </c>
      <c r="G132" s="9" t="str">
        <f ca="1">+WORLDCUP!BD66</f>
        <v>Noruega</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Austria</v>
      </c>
      <c r="E133" s="9" t="str">
        <f ca="1">+WORLDCUP!BD59</f>
        <v>Catar</v>
      </c>
      <c r="F133" s="9" t="str">
        <f ca="1">+WORLDCUP!BD60</f>
        <v>Marruecos</v>
      </c>
      <c r="G133" s="9" t="str">
        <f ca="1">+WORLDCUP!BD65</f>
        <v>España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Noruega</v>
      </c>
      <c r="E134" s="9" t="str">
        <f ca="1">+WORLDCUP!BD59</f>
        <v>Catar</v>
      </c>
      <c r="F134" s="9" t="str">
        <f ca="1">+WORLDCUP!BD60</f>
        <v>Marruecos</v>
      </c>
      <c r="G134" s="9" t="str">
        <f ca="1">+WORLDCUP!BD65</f>
        <v>España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Austria</v>
      </c>
      <c r="E135" s="9" t="str">
        <f ca="1">+WORLDCUP!BD59</f>
        <v>Catar</v>
      </c>
      <c r="F135" s="9" t="str">
        <f ca="1">+WORLDCUP!BD60</f>
        <v>Marruecos</v>
      </c>
      <c r="G135" s="9" t="str">
        <f ca="1">+WORLDCUP!BD65</f>
        <v>España</v>
      </c>
      <c r="H135" s="9" t="str">
        <f ca="1">+WORLDCUP!BD61</f>
        <v>Turquía</v>
      </c>
      <c r="I135" s="9" t="str">
        <f ca="1">+WORLDCUP!BD69</f>
        <v>Ghana</v>
      </c>
      <c r="J135" s="9" t="str">
        <f ca="1">+WORLDCUP!BD66</f>
        <v>Noruega</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Austria</v>
      </c>
      <c r="E136" s="9" t="str">
        <f ca="1">+WORLDCUP!BD59</f>
        <v>Catar</v>
      </c>
      <c r="F136" s="9" t="str">
        <f ca="1">+WORLDCUP!BD60</f>
        <v>Marruecos</v>
      </c>
      <c r="G136" s="9" t="str">
        <f ca="1">+WORLDCUP!BD65</f>
        <v>España</v>
      </c>
      <c r="H136" s="9" t="str">
        <f ca="1">+WORLDCUP!BD61</f>
        <v>Turquía</v>
      </c>
      <c r="I136" s="9" t="str">
        <f ca="1">+WORLDCUP!BD66</f>
        <v>Noruega</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Catar</v>
      </c>
      <c r="F137" s="9" t="str">
        <f ca="1">+WORLDCUP!BD60</f>
        <v>Marruecos</v>
      </c>
      <c r="G137" s="9" t="str">
        <f ca="1">+WORLDCUP!BD67</f>
        <v>Austria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Catar</v>
      </c>
      <c r="F138" s="9" t="str">
        <f ca="1">+WORLDCUP!BD60</f>
        <v>Marruecos</v>
      </c>
      <c r="G138" s="9" t="str">
        <f ca="1">+WORLDCUP!BD66</f>
        <v>Noruega</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Catar</v>
      </c>
      <c r="F139" s="9" t="str">
        <f ca="1">+WORLDCUP!BD60</f>
        <v>Marruecos</v>
      </c>
      <c r="G139" s="9" t="str">
        <f ca="1">+WORLDCUP!BD67</f>
        <v>Austria</v>
      </c>
      <c r="H139" s="9" t="str">
        <f ca="1">+WORLDCUP!BD61</f>
        <v>Turquía</v>
      </c>
      <c r="I139" s="9" t="str">
        <f ca="1">+WORLDCUP!BD69</f>
        <v>Ghana</v>
      </c>
      <c r="J139" s="9" t="str">
        <f ca="1">+WORLDCUP!BD66</f>
        <v>Noruega</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Catar</v>
      </c>
      <c r="F140" s="9" t="str">
        <f ca="1">+WORLDCUP!BD60</f>
        <v>Marruecos</v>
      </c>
      <c r="G140" s="9" t="str">
        <f ca="1">+WORLDCUP!BD67</f>
        <v>Austria</v>
      </c>
      <c r="H140" s="9" t="str">
        <f ca="1">+WORLDCUP!BD61</f>
        <v>Turquía</v>
      </c>
      <c r="I140" s="9" t="str">
        <f ca="1">+WORLDCUP!BD66</f>
        <v>Noruega</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Catar</v>
      </c>
      <c r="F141" s="9" t="str">
        <f ca="1">+WORLDCUP!BD60</f>
        <v>Marruecos</v>
      </c>
      <c r="G141" s="9" t="str">
        <f ca="1">+WORLDCUP!BD65</f>
        <v>España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Catar</v>
      </c>
      <c r="F142" s="9" t="str">
        <f ca="1">+WORLDCUP!BD60</f>
        <v>Marruecos</v>
      </c>
      <c r="G142" s="9" t="str">
        <f ca="1">+WORLDCUP!BD67</f>
        <v>Austria</v>
      </c>
      <c r="H142" s="9" t="str">
        <f ca="1">+WORLDCUP!BD61</f>
        <v>Turquía</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Catar</v>
      </c>
      <c r="F143" s="9" t="str">
        <f ca="1">+WORLDCUP!BD60</f>
        <v>Marruecos</v>
      </c>
      <c r="G143" s="9" t="str">
        <f ca="1">+WORLDCUP!BD67</f>
        <v>Austria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Catar</v>
      </c>
      <c r="F144" s="9" t="str">
        <f ca="1">+WORLDCUP!BD60</f>
        <v>Marruecos</v>
      </c>
      <c r="G144" s="9" t="str">
        <f ca="1">+WORLDCUP!BD65</f>
        <v>España</v>
      </c>
      <c r="H144" s="9" t="str">
        <f ca="1">+WORLDCUP!BD61</f>
        <v>Turquía</v>
      </c>
      <c r="I144" s="9" t="str">
        <f ca="1">+WORLDCUP!BD69</f>
        <v>Ghana</v>
      </c>
      <c r="J144" s="9" t="str">
        <f ca="1">+WORLDCUP!BD66</f>
        <v>Noruega</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Catar</v>
      </c>
      <c r="F145" s="9" t="str">
        <f ca="1">+WORLDCUP!BD60</f>
        <v>Marruecos</v>
      </c>
      <c r="G145" s="9" t="str">
        <f ca="1">+WORLDCUP!BD65</f>
        <v>España</v>
      </c>
      <c r="H145" s="9" t="str">
        <f ca="1">+WORLDCUP!BD61</f>
        <v>Turquía</v>
      </c>
      <c r="I145" s="9" t="str">
        <f ca="1">+WORLDCUP!BD66</f>
        <v>Noruega</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Catar</v>
      </c>
      <c r="F146" s="9" t="str">
        <f ca="1">+WORLDCUP!BD60</f>
        <v>Marruecos</v>
      </c>
      <c r="G146" s="9" t="str">
        <f ca="1">+WORLDCUP!BD67</f>
        <v>Austria</v>
      </c>
      <c r="H146" s="9" t="str">
        <f ca="1">+WORLDCUP!BD61</f>
        <v>Turquía</v>
      </c>
      <c r="I146" s="9" t="str">
        <f ca="1">+WORLDCUP!BD62</f>
        <v>Ecuador</v>
      </c>
      <c r="J146" s="9" t="str">
        <f ca="1">+WORLDCUP!BD66</f>
        <v>Noruega</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Austria</v>
      </c>
      <c r="E147" s="9" t="str">
        <f ca="1">+WORLDCUP!BD59</f>
        <v>Catar</v>
      </c>
      <c r="F147" s="9" t="str">
        <f ca="1">+WORLDCUP!BD61</f>
        <v>Turquía</v>
      </c>
      <c r="G147" s="9" t="str">
        <f ca="1">+WORLDCUP!BD62</f>
        <v>Ecuador</v>
      </c>
      <c r="H147" s="9" t="str">
        <f ca="1">+WORLDCUP!BD63</f>
        <v>Japón</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Catar</v>
      </c>
      <c r="F148" s="9" t="str">
        <f ca="1">+WORLDCUP!BD61</f>
        <v>Turquía</v>
      </c>
      <c r="G148" s="9" t="str">
        <f ca="1">+WORLDCUP!BD66</f>
        <v>Noruega</v>
      </c>
      <c r="H148" s="9" t="str">
        <f ca="1">+WORLDCUP!BD63</f>
        <v>Japón</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Austria</v>
      </c>
      <c r="E149" s="9" t="str">
        <f ca="1">+WORLDCUP!BD59</f>
        <v>Catar</v>
      </c>
      <c r="F149" s="9" t="str">
        <f ca="1">+WORLDCUP!BD61</f>
        <v>Turquía</v>
      </c>
      <c r="G149" s="9" t="str">
        <f ca="1">+WORLDCUP!BD62</f>
        <v>Ecuador</v>
      </c>
      <c r="H149" s="9" t="str">
        <f ca="1">+WORLDCUP!BD63</f>
        <v>Japón</v>
      </c>
      <c r="I149" s="9" t="str">
        <f ca="1">+WORLDCUP!BD69</f>
        <v>Ghana</v>
      </c>
      <c r="J149" s="9" t="str">
        <f ca="1">+WORLDCUP!BD66</f>
        <v>Noruega</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Austria</v>
      </c>
      <c r="E150" s="9" t="str">
        <f ca="1">+WORLDCUP!BD59</f>
        <v>Catar</v>
      </c>
      <c r="F150" s="9" t="str">
        <f ca="1">+WORLDCUP!BD61</f>
        <v>Turquía</v>
      </c>
      <c r="G150" s="9" t="str">
        <f ca="1">+WORLDCUP!BD62</f>
        <v>Ecuador</v>
      </c>
      <c r="H150" s="9" t="str">
        <f ca="1">+WORLDCUP!BD63</f>
        <v>Japón</v>
      </c>
      <c r="I150" s="9" t="str">
        <f ca="1">+WORLDCUP!BD66</f>
        <v>Noruega</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Catar</v>
      </c>
      <c r="F151" s="9" t="str">
        <f ca="1">+WORLDCUP!BD61</f>
        <v>Turquía</v>
      </c>
      <c r="G151" s="9" t="str">
        <f ca="1">+WORLDCUP!BD65</f>
        <v>España</v>
      </c>
      <c r="H151" s="9" t="str">
        <f ca="1">+WORLDCUP!BD63</f>
        <v>Japón</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Austria</v>
      </c>
      <c r="E152" s="9" t="str">
        <f ca="1">+WORLDCUP!BD59</f>
        <v>Catar</v>
      </c>
      <c r="F152" s="9" t="str">
        <f ca="1">+WORLDCUP!BD61</f>
        <v>Turquía</v>
      </c>
      <c r="G152" s="9" t="str">
        <f ca="1">+WORLDCUP!BD65</f>
        <v>España</v>
      </c>
      <c r="H152" s="9" t="str">
        <f ca="1">+WORLDCUP!BD63</f>
        <v>Japón</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Austria</v>
      </c>
      <c r="E153" s="9" t="str">
        <f ca="1">+WORLDCUP!BD59</f>
        <v>Catar</v>
      </c>
      <c r="F153" s="9" t="str">
        <f ca="1">+WORLDCUP!BD61</f>
        <v>Turquía</v>
      </c>
      <c r="G153" s="9" t="str">
        <f ca="1">+WORLDCUP!BD65</f>
        <v>España</v>
      </c>
      <c r="H153" s="9" t="str">
        <f ca="1">+WORLDCUP!BD63</f>
        <v>Japón</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Catar</v>
      </c>
      <c r="F154" s="9" t="str">
        <f ca="1">+WORLDCUP!BD61</f>
        <v>Turquía</v>
      </c>
      <c r="G154" s="9" t="str">
        <f ca="1">+WORLDCUP!BD65</f>
        <v>España</v>
      </c>
      <c r="H154" s="9" t="str">
        <f ca="1">+WORLDCUP!BD63</f>
        <v>Japón</v>
      </c>
      <c r="I154" s="9" t="str">
        <f ca="1">+WORLDCUP!BD69</f>
        <v>Ghana</v>
      </c>
      <c r="J154" s="9" t="str">
        <f ca="1">+WORLDCUP!BD66</f>
        <v>Noruega</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Catar</v>
      </c>
      <c r="F155" s="9" t="str">
        <f ca="1">+WORLDCUP!BD61</f>
        <v>Turquía</v>
      </c>
      <c r="G155" s="9" t="str">
        <f ca="1">+WORLDCUP!BD65</f>
        <v>España</v>
      </c>
      <c r="H155" s="9" t="str">
        <f ca="1">+WORLDCUP!BD63</f>
        <v>Japón</v>
      </c>
      <c r="I155" s="9" t="str">
        <f ca="1">+WORLDCUP!BD66</f>
        <v>Noruega</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Austria</v>
      </c>
      <c r="E156" s="9" t="str">
        <f ca="1">+WORLDCUP!BD59</f>
        <v>Catar</v>
      </c>
      <c r="F156" s="9" t="str">
        <f ca="1">+WORLDCUP!BD61</f>
        <v>Turquía</v>
      </c>
      <c r="G156" s="9" t="str">
        <f ca="1">+WORLDCUP!BD65</f>
        <v>España</v>
      </c>
      <c r="H156" s="9" t="str">
        <f ca="1">+WORLDCUP!BD63</f>
        <v>Japón</v>
      </c>
      <c r="I156" s="9" t="str">
        <f ca="1">+WORLDCUP!BD62</f>
        <v>Ecuador</v>
      </c>
      <c r="J156" s="9" t="str">
        <f ca="1">+WORLDCUP!BD66</f>
        <v>Noruega</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Bélgica</v>
      </c>
      <c r="E157" s="9" t="str">
        <f ca="1">+WORLDCUP!BD59</f>
        <v>Catar</v>
      </c>
      <c r="F157" s="9" t="str">
        <f ca="1">+WORLDCUP!BD61</f>
        <v>Turquía</v>
      </c>
      <c r="G157" s="9" t="str">
        <f ca="1">+WORLDCUP!BD62</f>
        <v>Ecuador</v>
      </c>
      <c r="H157" s="9" t="str">
        <f ca="1">+WORLDCUP!BD63</f>
        <v>Japón</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Bélgica</v>
      </c>
      <c r="E158" s="9" t="str">
        <f ca="1">+WORLDCUP!BD59</f>
        <v>Catar</v>
      </c>
      <c r="F158" s="9" t="str">
        <f ca="1">+WORLDCUP!BD61</f>
        <v>Turquía</v>
      </c>
      <c r="G158" s="9" t="str">
        <f ca="1">+WORLDCUP!BD67</f>
        <v>Austria</v>
      </c>
      <c r="H158" s="9" t="str">
        <f ca="1">+WORLDCUP!BD63</f>
        <v>Japón</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Bélgica</v>
      </c>
      <c r="E159" s="9" t="str">
        <f ca="1">+WORLDCUP!BD59</f>
        <v>Catar</v>
      </c>
      <c r="F159" s="9" t="str">
        <f ca="1">+WORLDCUP!BD61</f>
        <v>Turquía</v>
      </c>
      <c r="G159" s="9" t="str">
        <f ca="1">+WORLDCUP!BD67</f>
        <v>Austria</v>
      </c>
      <c r="H159" s="9" t="str">
        <f ca="1">+WORLDCUP!BD63</f>
        <v>Japón</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Bélgica</v>
      </c>
      <c r="E160" s="9" t="str">
        <f ca="1">+WORLDCUP!BD59</f>
        <v>Catar</v>
      </c>
      <c r="F160" s="9" t="str">
        <f ca="1">+WORLDCUP!BD61</f>
        <v>Turquía</v>
      </c>
      <c r="G160" s="9" t="str">
        <f ca="1">+WORLDCUP!BD62</f>
        <v>Ecuador</v>
      </c>
      <c r="H160" s="9" t="str">
        <f ca="1">+WORLDCUP!BD63</f>
        <v>Japón</v>
      </c>
      <c r="I160" s="9" t="str">
        <f ca="1">+WORLDCUP!BD69</f>
        <v>Ghana</v>
      </c>
      <c r="J160" s="9" t="str">
        <f ca="1">+WORLDCUP!BD66</f>
        <v>Noruega</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Bélgica</v>
      </c>
      <c r="E161" s="9" t="str">
        <f ca="1">+WORLDCUP!BD59</f>
        <v>Catar</v>
      </c>
      <c r="F161" s="9" t="str">
        <f ca="1">+WORLDCUP!BD61</f>
        <v>Turquía</v>
      </c>
      <c r="G161" s="9" t="str">
        <f ca="1">+WORLDCUP!BD62</f>
        <v>Ecuador</v>
      </c>
      <c r="H161" s="9" t="str">
        <f ca="1">+WORLDCUP!BD63</f>
        <v>Japón</v>
      </c>
      <c r="I161" s="9" t="str">
        <f ca="1">+WORLDCUP!BD66</f>
        <v>Noruega</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Bélgica</v>
      </c>
      <c r="E162" s="9" t="str">
        <f ca="1">+WORLDCUP!BD59</f>
        <v>Catar</v>
      </c>
      <c r="F162" s="9" t="str">
        <f ca="1">+WORLDCUP!BD61</f>
        <v>Turquía</v>
      </c>
      <c r="G162" s="9" t="str">
        <f ca="1">+WORLDCUP!BD67</f>
        <v>Austria</v>
      </c>
      <c r="H162" s="9" t="str">
        <f ca="1">+WORLDCUP!BD63</f>
        <v>Japón</v>
      </c>
      <c r="I162" s="9" t="str">
        <f ca="1">+WORLDCUP!BD62</f>
        <v>Ecuador</v>
      </c>
      <c r="J162" s="9" t="str">
        <f ca="1">+WORLDCUP!BD66</f>
        <v>Noruega</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Bélgica</v>
      </c>
      <c r="E163" s="9" t="str">
        <f ca="1">+WORLDCUP!BD59</f>
        <v>Catar</v>
      </c>
      <c r="F163" s="9" t="str">
        <f ca="1">+WORLDCUP!BD61</f>
        <v>Turquía</v>
      </c>
      <c r="G163" s="9" t="str">
        <f ca="1">+WORLDCUP!BD65</f>
        <v>España</v>
      </c>
      <c r="H163" s="9" t="str">
        <f ca="1">+WORLDCUP!BD63</f>
        <v>Japón</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Bélgica</v>
      </c>
      <c r="E164" s="9" t="str">
        <f ca="1">+WORLDCUP!BD59</f>
        <v>Catar</v>
      </c>
      <c r="F164" s="9" t="str">
        <f ca="1">+WORLDCUP!BD61</f>
        <v>Turquía</v>
      </c>
      <c r="G164" s="9" t="str">
        <f ca="1">+WORLDCUP!BD65</f>
        <v>España</v>
      </c>
      <c r="H164" s="9" t="str">
        <f ca="1">+WORLDCUP!BD63</f>
        <v>Japón</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Catar</v>
      </c>
      <c r="F165" s="9" t="str">
        <f ca="1">+WORLDCUP!BD60</f>
        <v>Marruecos</v>
      </c>
      <c r="G165" s="9" t="str">
        <f ca="1">+WORLDCUP!BD67</f>
        <v>Austria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Bélgica</v>
      </c>
      <c r="E166" s="9" t="str">
        <f ca="1">+WORLDCUP!BD59</f>
        <v>Catar</v>
      </c>
      <c r="F166" s="9" t="str">
        <f ca="1">+WORLDCUP!BD61</f>
        <v>Turquía</v>
      </c>
      <c r="G166" s="9" t="str">
        <f ca="1">+WORLDCUP!BD65</f>
        <v>España</v>
      </c>
      <c r="H166" s="9" t="str">
        <f ca="1">+WORLDCUP!BD63</f>
        <v>Japón</v>
      </c>
      <c r="I166" s="9" t="str">
        <f ca="1">+WORLDCUP!BD62</f>
        <v>Ecuador</v>
      </c>
      <c r="J166" s="9" t="str">
        <f ca="1">+WORLDCUP!BD66</f>
        <v>Noruega</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Austria</v>
      </c>
      <c r="E167" s="9" t="str">
        <f ca="1">+WORLDCUP!BD66</f>
        <v>Noruega</v>
      </c>
      <c r="F167" s="9" t="str">
        <f ca="1">+WORLDCUP!BD63</f>
        <v>Japón</v>
      </c>
      <c r="G167" s="9" t="str">
        <f ca="1">+WORLDCUP!BD58</f>
        <v>República Checa</v>
      </c>
      <c r="H167" s="9" t="str">
        <f ca="1">+WORLDCUP!BD64</f>
        <v>Bélgica</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Austria</v>
      </c>
      <c r="E168" s="9" t="str">
        <f ca="1">+WORLDCUP!BD66</f>
        <v>Noruega</v>
      </c>
      <c r="F168" s="9" t="str">
        <f ca="1">+WORLDCUP!BD58</f>
        <v>República Checa</v>
      </c>
      <c r="G168" s="9" t="str">
        <f ca="1">+WORLDCUP!BD65</f>
        <v>España</v>
      </c>
      <c r="H168" s="9" t="str">
        <f ca="1">+WORLDCUP!BD64</f>
        <v>Bélgica</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Austria</v>
      </c>
      <c r="E169" s="9" t="str">
        <f ca="1">+WORLDCUP!BD66</f>
        <v>Noruega</v>
      </c>
      <c r="F169" s="9" t="str">
        <f ca="1">+WORLDCUP!BD63</f>
        <v>Japón</v>
      </c>
      <c r="G169" s="9" t="str">
        <f ca="1">+WORLDCUP!BD58</f>
        <v>República Checa</v>
      </c>
      <c r="H169" s="9" t="str">
        <f ca="1">+WORLDCUP!BD65</f>
        <v>España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Austria</v>
      </c>
      <c r="E170" s="9" t="str">
        <f ca="1">+WORLDCUP!BD66</f>
        <v>Noruega</v>
      </c>
      <c r="F170" s="9" t="str">
        <f ca="1">+WORLDCUP!BD63</f>
        <v>Japón</v>
      </c>
      <c r="G170" s="9" t="str">
        <f ca="1">+WORLDCUP!BD58</f>
        <v>República Checa</v>
      </c>
      <c r="H170" s="9" t="str">
        <f ca="1">+WORLDCUP!BD64</f>
        <v>Bélgica</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Austria</v>
      </c>
      <c r="F171" s="9" t="str">
        <f ca="1">+WORLDCUP!BD63</f>
        <v>Japón</v>
      </c>
      <c r="G171" s="9" t="str">
        <f ca="1">+WORLDCUP!BD58</f>
        <v>República Checa</v>
      </c>
      <c r="H171" s="9" t="str">
        <f ca="1">+WORLDCUP!BD65</f>
        <v>España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Noruega</v>
      </c>
      <c r="F172" s="9" t="str">
        <f ca="1">+WORLDCUP!BD63</f>
        <v>Japón</v>
      </c>
      <c r="G172" s="9" t="str">
        <f ca="1">+WORLDCUP!BD58</f>
        <v>República Checa</v>
      </c>
      <c r="H172" s="9" t="str">
        <f ca="1">+WORLDCUP!BD65</f>
        <v>España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Austria</v>
      </c>
      <c r="F173" s="9" t="str">
        <f ca="1">+WORLDCUP!BD63</f>
        <v>Japón</v>
      </c>
      <c r="G173" s="9" t="str">
        <f ca="1">+WORLDCUP!BD58</f>
        <v>República Checa</v>
      </c>
      <c r="H173" s="9" t="str">
        <f ca="1">+WORLDCUP!BD65</f>
        <v>España</v>
      </c>
      <c r="I173" s="9" t="str">
        <f ca="1">+WORLDCUP!BD69</f>
        <v>Ghana</v>
      </c>
      <c r="J173" s="9" t="str">
        <f ca="1">+WORLDCUP!BD66</f>
        <v>Noruega</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Austria</v>
      </c>
      <c r="F174" s="9" t="str">
        <f ca="1">+WORLDCUP!BD63</f>
        <v>Japón</v>
      </c>
      <c r="G174" s="9" t="str">
        <f ca="1">+WORLDCUP!BD58</f>
        <v>República Checa</v>
      </c>
      <c r="H174" s="9" t="str">
        <f ca="1">+WORLDCUP!BD65</f>
        <v>España</v>
      </c>
      <c r="I174" s="9" t="str">
        <f ca="1">+WORLDCUP!BD66</f>
        <v>Noruega</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Austria</v>
      </c>
      <c r="E175" s="9" t="str">
        <f ca="1">+WORLDCUP!BD66</f>
        <v>Noruega</v>
      </c>
      <c r="F175" s="9" t="str">
        <f ca="1">+WORLDCUP!BD61</f>
        <v>Turquía</v>
      </c>
      <c r="G175" s="9" t="str">
        <f ca="1">+WORLDCUP!BD58</f>
        <v>República Checa</v>
      </c>
      <c r="H175" s="9" t="str">
        <f ca="1">+WORLDCUP!BD64</f>
        <v>Bélgica</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Austria</v>
      </c>
      <c r="E176" s="9" t="str">
        <f ca="1">+WORLDCUP!BD66</f>
        <v>Noruega</v>
      </c>
      <c r="F176" s="9" t="str">
        <f ca="1">+WORLDCUP!BD61</f>
        <v>Turquía</v>
      </c>
      <c r="G176" s="9" t="str">
        <f ca="1">+WORLDCUP!BD58</f>
        <v>República Checa</v>
      </c>
      <c r="H176" s="9" t="str">
        <f ca="1">+WORLDCUP!BD63</f>
        <v>Japón</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Noruega</v>
      </c>
      <c r="D177" s="9" t="str">
        <f ca="1">+WORLDCUP!BD64</f>
        <v>Bélgica</v>
      </c>
      <c r="E177" s="9" t="str">
        <f ca="1">+WORLDCUP!BD67</f>
        <v>Austria</v>
      </c>
      <c r="F177" s="9" t="str">
        <f ca="1">+WORLDCUP!BD61</f>
        <v>Turquía</v>
      </c>
      <c r="G177" s="9" t="str">
        <f ca="1">+WORLDCUP!BD58</f>
        <v>República Checa</v>
      </c>
      <c r="H177" s="9" t="str">
        <f ca="1">+WORLDCUP!BD63</f>
        <v>Japón</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Austria</v>
      </c>
      <c r="F178" s="9" t="str">
        <f ca="1">+WORLDCUP!BD61</f>
        <v>Turquía</v>
      </c>
      <c r="G178" s="9" t="str">
        <f ca="1">+WORLDCUP!BD58</f>
        <v>República Checa</v>
      </c>
      <c r="H178" s="9" t="str">
        <f ca="1">+WORLDCUP!BD63</f>
        <v>Japón</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Noruega</v>
      </c>
      <c r="F179" s="9" t="str">
        <f ca="1">+WORLDCUP!BD61</f>
        <v>Turquía</v>
      </c>
      <c r="G179" s="9" t="str">
        <f ca="1">+WORLDCUP!BD58</f>
        <v>República Checa</v>
      </c>
      <c r="H179" s="9" t="str">
        <f ca="1">+WORLDCUP!BD63</f>
        <v>Japón</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Austria</v>
      </c>
      <c r="F180" s="9" t="str">
        <f ca="1">+WORLDCUP!BD61</f>
        <v>Turquía</v>
      </c>
      <c r="G180" s="9" t="str">
        <f ca="1">+WORLDCUP!BD58</f>
        <v>República Checa</v>
      </c>
      <c r="H180" s="9" t="str">
        <f ca="1">+WORLDCUP!BD63</f>
        <v>Japón</v>
      </c>
      <c r="I180" s="9" t="str">
        <f ca="1">+WORLDCUP!BD69</f>
        <v>Ghana</v>
      </c>
      <c r="J180" s="9" t="str">
        <f ca="1">+WORLDCUP!BD66</f>
        <v>Noruega</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Austria</v>
      </c>
      <c r="F181" s="9" t="str">
        <f ca="1">+WORLDCUP!BD61</f>
        <v>Turquía</v>
      </c>
      <c r="G181" s="9" t="str">
        <f ca="1">+WORLDCUP!BD58</f>
        <v>República Checa</v>
      </c>
      <c r="H181" s="9" t="str">
        <f ca="1">+WORLDCUP!BD63</f>
        <v>Japón</v>
      </c>
      <c r="I181" s="9" t="str">
        <f ca="1">+WORLDCUP!BD66</f>
        <v>Noruega</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Austria</v>
      </c>
      <c r="E182" s="9" t="str">
        <f ca="1">+WORLDCUP!BD66</f>
        <v>Noruega</v>
      </c>
      <c r="F182" s="9" t="str">
        <f ca="1">+WORLDCUP!BD61</f>
        <v>Turquía</v>
      </c>
      <c r="G182" s="9" t="str">
        <f ca="1">+WORLDCUP!BD58</f>
        <v>República Checa</v>
      </c>
      <c r="H182" s="9" t="str">
        <f ca="1">+WORLDCUP!BD65</f>
        <v>España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Austria</v>
      </c>
      <c r="E183" s="9" t="str">
        <f ca="1">+WORLDCUP!BD66</f>
        <v>Noruega</v>
      </c>
      <c r="F183" s="9" t="str">
        <f ca="1">+WORLDCUP!BD61</f>
        <v>Turquía</v>
      </c>
      <c r="G183" s="9" t="str">
        <f ca="1">+WORLDCUP!BD58</f>
        <v>República Checa</v>
      </c>
      <c r="H183" s="9" t="str">
        <f ca="1">+WORLDCUP!BD64</f>
        <v>Bélgica</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Austria</v>
      </c>
      <c r="F184" s="9" t="str">
        <f ca="1">+WORLDCUP!BD61</f>
        <v>Turquía</v>
      </c>
      <c r="G184" s="9" t="str">
        <f ca="1">+WORLDCUP!BD58</f>
        <v>República Checa</v>
      </c>
      <c r="H184" s="9" t="str">
        <f ca="1">+WORLDCUP!BD65</f>
        <v>España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Noruega</v>
      </c>
      <c r="F185" s="9" t="str">
        <f ca="1">+WORLDCUP!BD61</f>
        <v>Turquía</v>
      </c>
      <c r="G185" s="9" t="str">
        <f ca="1">+WORLDCUP!BD58</f>
        <v>República Checa</v>
      </c>
      <c r="H185" s="9" t="str">
        <f ca="1">+WORLDCUP!BD65</f>
        <v>España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Austria</v>
      </c>
      <c r="F186" s="9" t="str">
        <f ca="1">+WORLDCUP!BD61</f>
        <v>Turquía</v>
      </c>
      <c r="G186" s="9" t="str">
        <f ca="1">+WORLDCUP!BD58</f>
        <v>República Checa</v>
      </c>
      <c r="H186" s="9" t="str">
        <f ca="1">+WORLDCUP!BD65</f>
        <v>España</v>
      </c>
      <c r="I186" s="9" t="str">
        <f ca="1">+WORLDCUP!BD69</f>
        <v>Ghana</v>
      </c>
      <c r="J186" s="9" t="str">
        <f ca="1">+WORLDCUP!BD66</f>
        <v>Noruega</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Austria</v>
      </c>
      <c r="F187" s="9" t="str">
        <f ca="1">+WORLDCUP!BD61</f>
        <v>Turquía</v>
      </c>
      <c r="G187" s="9" t="str">
        <f ca="1">+WORLDCUP!BD58</f>
        <v>República Checa</v>
      </c>
      <c r="H187" s="9" t="str">
        <f ca="1">+WORLDCUP!BD65</f>
        <v>España</v>
      </c>
      <c r="I187" s="9" t="str">
        <f ca="1">+WORLDCUP!BD66</f>
        <v>Noruega</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Austria</v>
      </c>
      <c r="E188" s="9" t="str">
        <f ca="1">+WORLDCUP!BD66</f>
        <v>Noruega</v>
      </c>
      <c r="F188" s="9" t="str">
        <f ca="1">+WORLDCUP!BD61</f>
        <v>Turquía</v>
      </c>
      <c r="G188" s="9" t="str">
        <f ca="1">+WORLDCUP!BD58</f>
        <v>República Checa</v>
      </c>
      <c r="H188" s="9" t="str">
        <f ca="1">+WORLDCUP!BD63</f>
        <v>Japón</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Austria</v>
      </c>
      <c r="E189" s="9" t="str">
        <f ca="1">+WORLDCUP!BD62</f>
        <v>Ecuador</v>
      </c>
      <c r="F189" s="9" t="str">
        <f ca="1">+WORLDCUP!BD61</f>
        <v>Turquía</v>
      </c>
      <c r="G189" s="9" t="str">
        <f ca="1">+WORLDCUP!BD58</f>
        <v>República Checa</v>
      </c>
      <c r="H189" s="9" t="str">
        <f ca="1">+WORLDCUP!BD63</f>
        <v>Japón</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Noruega</v>
      </c>
      <c r="F190" s="9" t="str">
        <f ca="1">+WORLDCUP!BD61</f>
        <v>Turquía</v>
      </c>
      <c r="G190" s="9" t="str">
        <f ca="1">+WORLDCUP!BD58</f>
        <v>República Checa</v>
      </c>
      <c r="H190" s="9" t="str">
        <f ca="1">+WORLDCUP!BD63</f>
        <v>Japón</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Austria</v>
      </c>
      <c r="E191" s="9" t="str">
        <f ca="1">+WORLDCUP!BD62</f>
        <v>Ecuador</v>
      </c>
      <c r="F191" s="9" t="str">
        <f ca="1">+WORLDCUP!BD61</f>
        <v>Turquía</v>
      </c>
      <c r="G191" s="9" t="str">
        <f ca="1">+WORLDCUP!BD58</f>
        <v>República Checa</v>
      </c>
      <c r="H191" s="9" t="str">
        <f ca="1">+WORLDCUP!BD63</f>
        <v>Japón</v>
      </c>
      <c r="I191" s="9" t="str">
        <f ca="1">+WORLDCUP!BD69</f>
        <v>Ghana</v>
      </c>
      <c r="J191" s="9" t="str">
        <f ca="1">+WORLDCUP!BD66</f>
        <v>Noruega</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Austria</v>
      </c>
      <c r="E192" s="9" t="str">
        <f ca="1">+WORLDCUP!BD62</f>
        <v>Ecuador</v>
      </c>
      <c r="F192" s="9" t="str">
        <f ca="1">+WORLDCUP!BD61</f>
        <v>Turquía</v>
      </c>
      <c r="G192" s="9" t="str">
        <f ca="1">+WORLDCUP!BD58</f>
        <v>República Checa</v>
      </c>
      <c r="H192" s="9" t="str">
        <f ca="1">+WORLDCUP!BD63</f>
        <v>Japón</v>
      </c>
      <c r="I192" s="9" t="str">
        <f ca="1">+WORLDCUP!BD66</f>
        <v>Noruega</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Austria</v>
      </c>
      <c r="F193" s="9" t="str">
        <f ca="1">+WORLDCUP!BD61</f>
        <v>Turquía</v>
      </c>
      <c r="G193" s="9" t="str">
        <f ca="1">+WORLDCUP!BD58</f>
        <v>República Checa</v>
      </c>
      <c r="H193" s="9" t="str">
        <f ca="1">+WORLDCUP!BD63</f>
        <v>Japón</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Noruega</v>
      </c>
      <c r="F194" s="9" t="str">
        <f ca="1">+WORLDCUP!BD61</f>
        <v>Turquía</v>
      </c>
      <c r="G194" s="9" t="str">
        <f ca="1">+WORLDCUP!BD58</f>
        <v>República Checa</v>
      </c>
      <c r="H194" s="9" t="str">
        <f ca="1">+WORLDCUP!BD63</f>
        <v>Japón</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Austria</v>
      </c>
      <c r="F195" s="9" t="str">
        <f ca="1">+WORLDCUP!BD61</f>
        <v>Turquía</v>
      </c>
      <c r="G195" s="9" t="str">
        <f ca="1">+WORLDCUP!BD58</f>
        <v>República Checa</v>
      </c>
      <c r="H195" s="9" t="str">
        <f ca="1">+WORLDCUP!BD63</f>
        <v>Japón</v>
      </c>
      <c r="I195" s="9" t="str">
        <f ca="1">+WORLDCUP!BD69</f>
        <v>Ghana</v>
      </c>
      <c r="J195" s="9" t="str">
        <f ca="1">+WORLDCUP!BD66</f>
        <v>Noruega</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Austria</v>
      </c>
      <c r="F196" s="9" t="str">
        <f ca="1">+WORLDCUP!BD61</f>
        <v>Turquía</v>
      </c>
      <c r="G196" s="9" t="str">
        <f ca="1">+WORLDCUP!BD58</f>
        <v>República Checa</v>
      </c>
      <c r="H196" s="9" t="str">
        <f ca="1">+WORLDCUP!BD63</f>
        <v>Japón</v>
      </c>
      <c r="I196" s="9" t="str">
        <f ca="1">+WORLDCUP!BD66</f>
        <v>Noruega</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Austria</v>
      </c>
      <c r="F198" s="9" t="str">
        <f ca="1">+WORLDCUP!BD61</f>
        <v>Turquía</v>
      </c>
      <c r="G198" s="9" t="str">
        <f ca="1">+WORLDCUP!BD58</f>
        <v>República Checa</v>
      </c>
      <c r="H198" s="9" t="str">
        <f ca="1">+WORLDCUP!BD63</f>
        <v>Japón</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Austria</v>
      </c>
      <c r="F199" s="9" t="str">
        <f ca="1">+WORLDCUP!BD61</f>
        <v>Turquía</v>
      </c>
      <c r="G199" s="9" t="str">
        <f ca="1">+WORLDCUP!BD58</f>
        <v>República Checa</v>
      </c>
      <c r="H199" s="9" t="str">
        <f ca="1">+WORLDCUP!BD63</f>
        <v>Japón</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Ghana</v>
      </c>
      <c r="J200" s="9" t="str">
        <f ca="1">+WORLDCUP!BD66</f>
        <v>Noruega</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Noruega</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Austria</v>
      </c>
      <c r="F202" s="9" t="str">
        <f ca="1">+WORLDCUP!BD61</f>
        <v>Turquía</v>
      </c>
      <c r="G202" s="9" t="str">
        <f ca="1">+WORLDCUP!BD58</f>
        <v>República Checa</v>
      </c>
      <c r="H202" s="9" t="str">
        <f ca="1">+WORLDCUP!BD63</f>
        <v>Japón</v>
      </c>
      <c r="I202" s="9" t="str">
        <f ca="1">+WORLDCUP!BD62</f>
        <v>Ecuador</v>
      </c>
      <c r="J202" s="9" t="str">
        <f ca="1">+WORLDCUP!BD66</f>
        <v>Noruega</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Austria</v>
      </c>
      <c r="E203" s="9" t="str">
        <f ca="1">+WORLDCUP!BD66</f>
        <v>Noruega</v>
      </c>
      <c r="F203" s="9" t="str">
        <f ca="1">+WORLDCUP!BD60</f>
        <v>Marruecos</v>
      </c>
      <c r="G203" s="9" t="str">
        <f ca="1">+WORLDCUP!BD58</f>
        <v>República Checa</v>
      </c>
      <c r="H203" s="9" t="str">
        <f ca="1">+WORLDCUP!BD64</f>
        <v>Bélgica</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Austria</v>
      </c>
      <c r="E204" s="9" t="str">
        <f ca="1">+WORLDCUP!BD66</f>
        <v>Noruega</v>
      </c>
      <c r="F204" s="9" t="str">
        <f ca="1">+WORLDCUP!BD60</f>
        <v>Marruecos</v>
      </c>
      <c r="G204" s="9" t="str">
        <f ca="1">+WORLDCUP!BD58</f>
        <v>República Checa</v>
      </c>
      <c r="H204" s="9" t="str">
        <f ca="1">+WORLDCUP!BD63</f>
        <v>Japón</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Noruega</v>
      </c>
      <c r="D205" s="9" t="str">
        <f ca="1">+WORLDCUP!BD64</f>
        <v>Bélgica</v>
      </c>
      <c r="E205" s="9" t="str">
        <f ca="1">+WORLDCUP!BD67</f>
        <v>Austria</v>
      </c>
      <c r="F205" s="9" t="str">
        <f ca="1">+WORLDCUP!BD60</f>
        <v>Marruecos</v>
      </c>
      <c r="G205" s="9" t="str">
        <f ca="1">+WORLDCUP!BD58</f>
        <v>República Checa</v>
      </c>
      <c r="H205" s="9" t="str">
        <f ca="1">+WORLDCUP!BD63</f>
        <v>Japón</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Austria</v>
      </c>
      <c r="F206" s="9" t="str">
        <f ca="1">+WORLDCUP!BD60</f>
        <v>Marruecos</v>
      </c>
      <c r="G206" s="9" t="str">
        <f ca="1">+WORLDCUP!BD58</f>
        <v>República Checa</v>
      </c>
      <c r="H206" s="9" t="str">
        <f ca="1">+WORLDCUP!BD63</f>
        <v>Japón</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Noruega</v>
      </c>
      <c r="F207" s="9" t="str">
        <f ca="1">+WORLDCUP!BD60</f>
        <v>Marruecos</v>
      </c>
      <c r="G207" s="9" t="str">
        <f ca="1">+WORLDCUP!BD58</f>
        <v>República Checa</v>
      </c>
      <c r="H207" s="9" t="str">
        <f ca="1">+WORLDCUP!BD63</f>
        <v>Japón</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Austria</v>
      </c>
      <c r="F208" s="9" t="str">
        <f ca="1">+WORLDCUP!BD60</f>
        <v>Marruecos</v>
      </c>
      <c r="G208" s="9" t="str">
        <f ca="1">+WORLDCUP!BD58</f>
        <v>República Checa</v>
      </c>
      <c r="H208" s="9" t="str">
        <f ca="1">+WORLDCUP!BD63</f>
        <v>Japón</v>
      </c>
      <c r="I208" s="9" t="str">
        <f ca="1">+WORLDCUP!BD69</f>
        <v>Ghana</v>
      </c>
      <c r="J208" s="9" t="str">
        <f ca="1">+WORLDCUP!BD66</f>
        <v>Noruega</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Austria</v>
      </c>
      <c r="F209" s="9" t="str">
        <f ca="1">+WORLDCUP!BD60</f>
        <v>Marruecos</v>
      </c>
      <c r="G209" s="9" t="str">
        <f ca="1">+WORLDCUP!BD58</f>
        <v>República Checa</v>
      </c>
      <c r="H209" s="9" t="str">
        <f ca="1">+WORLDCUP!BD63</f>
        <v>Japón</v>
      </c>
      <c r="I209" s="9" t="str">
        <f ca="1">+WORLDCUP!BD66</f>
        <v>Noruega</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Austria</v>
      </c>
      <c r="E210" s="9" t="str">
        <f ca="1">+WORLDCUP!BD66</f>
        <v>Noruega</v>
      </c>
      <c r="F210" s="9" t="str">
        <f ca="1">+WORLDCUP!BD60</f>
        <v>Marruecos</v>
      </c>
      <c r="G210" s="9" t="str">
        <f ca="1">+WORLDCUP!BD58</f>
        <v>República Checa</v>
      </c>
      <c r="H210" s="9" t="str">
        <f ca="1">+WORLDCUP!BD65</f>
        <v>España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Austria</v>
      </c>
      <c r="E211" s="9" t="str">
        <f ca="1">+WORLDCUP!BD66</f>
        <v>Noruega</v>
      </c>
      <c r="F211" s="9" t="str">
        <f ca="1">+WORLDCUP!BD60</f>
        <v>Marruecos</v>
      </c>
      <c r="G211" s="9" t="str">
        <f ca="1">+WORLDCUP!BD58</f>
        <v>República Checa</v>
      </c>
      <c r="H211" s="9" t="str">
        <f ca="1">+WORLDCUP!BD64</f>
        <v>Bélgica</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Austria</v>
      </c>
      <c r="F212" s="9" t="str">
        <f ca="1">+WORLDCUP!BD60</f>
        <v>Marruecos</v>
      </c>
      <c r="G212" s="9" t="str">
        <f ca="1">+WORLDCUP!BD58</f>
        <v>República Checa</v>
      </c>
      <c r="H212" s="9" t="str">
        <f ca="1">+WORLDCUP!BD65</f>
        <v>España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Noruega</v>
      </c>
      <c r="F213" s="9" t="str">
        <f ca="1">+WORLDCUP!BD60</f>
        <v>Marruecos</v>
      </c>
      <c r="G213" s="9" t="str">
        <f ca="1">+WORLDCUP!BD58</f>
        <v>República Checa</v>
      </c>
      <c r="H213" s="9" t="str">
        <f ca="1">+WORLDCUP!BD65</f>
        <v>España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Austria</v>
      </c>
      <c r="F214" s="9" t="str">
        <f ca="1">+WORLDCUP!BD60</f>
        <v>Marruecos</v>
      </c>
      <c r="G214" s="9" t="str">
        <f ca="1">+WORLDCUP!BD58</f>
        <v>República Checa</v>
      </c>
      <c r="H214" s="9" t="str">
        <f ca="1">+WORLDCUP!BD65</f>
        <v>España</v>
      </c>
      <c r="I214" s="9" t="str">
        <f ca="1">+WORLDCUP!BD69</f>
        <v>Ghana</v>
      </c>
      <c r="J214" s="9" t="str">
        <f ca="1">+WORLDCUP!BD66</f>
        <v>Noruega</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Austria</v>
      </c>
      <c r="F215" s="9" t="str">
        <f ca="1">+WORLDCUP!BD60</f>
        <v>Marruecos</v>
      </c>
      <c r="G215" s="9" t="str">
        <f ca="1">+WORLDCUP!BD58</f>
        <v>República Checa</v>
      </c>
      <c r="H215" s="9" t="str">
        <f ca="1">+WORLDCUP!BD65</f>
        <v>España</v>
      </c>
      <c r="I215" s="9" t="str">
        <f ca="1">+WORLDCUP!BD66</f>
        <v>Noruega</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Austria</v>
      </c>
      <c r="E216" s="9" t="str">
        <f ca="1">+WORLDCUP!BD66</f>
        <v>Noruega</v>
      </c>
      <c r="F216" s="9" t="str">
        <f ca="1">+WORLDCUP!BD60</f>
        <v>Marruecos</v>
      </c>
      <c r="G216" s="9" t="str">
        <f ca="1">+WORLDCUP!BD58</f>
        <v>República Checa</v>
      </c>
      <c r="H216" s="9" t="str">
        <f ca="1">+WORLDCUP!BD63</f>
        <v>Japón</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Austria</v>
      </c>
      <c r="E217" s="9" t="str">
        <f ca="1">+WORLDCUP!BD62</f>
        <v>Ecuador</v>
      </c>
      <c r="F217" s="9" t="str">
        <f ca="1">+WORLDCUP!BD60</f>
        <v>Marruecos</v>
      </c>
      <c r="G217" s="9" t="str">
        <f ca="1">+WORLDCUP!BD58</f>
        <v>República Checa</v>
      </c>
      <c r="H217" s="9" t="str">
        <f ca="1">+WORLDCUP!BD63</f>
        <v>Japón</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Noruega</v>
      </c>
      <c r="F218" s="9" t="str">
        <f ca="1">+WORLDCUP!BD60</f>
        <v>Marruecos</v>
      </c>
      <c r="G218" s="9" t="str">
        <f ca="1">+WORLDCUP!BD58</f>
        <v>República Checa</v>
      </c>
      <c r="H218" s="9" t="str">
        <f ca="1">+WORLDCUP!BD63</f>
        <v>Japón</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Austria</v>
      </c>
      <c r="E219" s="9" t="str">
        <f ca="1">+WORLDCUP!BD62</f>
        <v>Ecuador</v>
      </c>
      <c r="F219" s="9" t="str">
        <f ca="1">+WORLDCUP!BD60</f>
        <v>Marruecos</v>
      </c>
      <c r="G219" s="9" t="str">
        <f ca="1">+WORLDCUP!BD58</f>
        <v>República Checa</v>
      </c>
      <c r="H219" s="9" t="str">
        <f ca="1">+WORLDCUP!BD63</f>
        <v>Japón</v>
      </c>
      <c r="I219" s="9" t="str">
        <f ca="1">+WORLDCUP!BD69</f>
        <v>Ghana</v>
      </c>
      <c r="J219" s="9" t="str">
        <f ca="1">+WORLDCUP!BD66</f>
        <v>Noruega</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Austria</v>
      </c>
      <c r="E220" s="9" t="str">
        <f ca="1">+WORLDCUP!BD62</f>
        <v>Ecuador</v>
      </c>
      <c r="F220" s="9" t="str">
        <f ca="1">+WORLDCUP!BD60</f>
        <v>Marruecos</v>
      </c>
      <c r="G220" s="9" t="str">
        <f ca="1">+WORLDCUP!BD58</f>
        <v>República Checa</v>
      </c>
      <c r="H220" s="9" t="str">
        <f ca="1">+WORLDCUP!BD63</f>
        <v>Japón</v>
      </c>
      <c r="I220" s="9" t="str">
        <f ca="1">+WORLDCUP!BD66</f>
        <v>Noruega</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Austria</v>
      </c>
      <c r="F221" s="9" t="str">
        <f ca="1">+WORLDCUP!BD60</f>
        <v>Marruecos</v>
      </c>
      <c r="G221" s="9" t="str">
        <f ca="1">+WORLDCUP!BD58</f>
        <v>República Checa</v>
      </c>
      <c r="H221" s="9" t="str">
        <f ca="1">+WORLDCUP!BD63</f>
        <v>Japón</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Noruega</v>
      </c>
      <c r="F222" s="9" t="str">
        <f ca="1">+WORLDCUP!BD60</f>
        <v>Marruecos</v>
      </c>
      <c r="G222" s="9" t="str">
        <f ca="1">+WORLDCUP!BD58</f>
        <v>República Checa</v>
      </c>
      <c r="H222" s="9" t="str">
        <f ca="1">+WORLDCUP!BD63</f>
        <v>Japón</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Austria</v>
      </c>
      <c r="F223" s="9" t="str">
        <f ca="1">+WORLDCUP!BD60</f>
        <v>Marruecos</v>
      </c>
      <c r="G223" s="9" t="str">
        <f ca="1">+WORLDCUP!BD58</f>
        <v>República Checa</v>
      </c>
      <c r="H223" s="9" t="str">
        <f ca="1">+WORLDCUP!BD63</f>
        <v>Japón</v>
      </c>
      <c r="I223" s="9" t="str">
        <f ca="1">+WORLDCUP!BD69</f>
        <v>Ghana</v>
      </c>
      <c r="J223" s="9" t="str">
        <f ca="1">+WORLDCUP!BD66</f>
        <v>Noruega</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Austria</v>
      </c>
      <c r="F224" s="9" t="str">
        <f ca="1">+WORLDCUP!BD60</f>
        <v>Marruecos</v>
      </c>
      <c r="G224" s="9" t="str">
        <f ca="1">+WORLDCUP!BD58</f>
        <v>República Checa</v>
      </c>
      <c r="H224" s="9" t="str">
        <f ca="1">+WORLDCUP!BD63</f>
        <v>Japón</v>
      </c>
      <c r="I224" s="9" t="str">
        <f ca="1">+WORLDCUP!BD66</f>
        <v>Noruega</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Austria</v>
      </c>
      <c r="F226" s="9" t="str">
        <f ca="1">+WORLDCUP!BD60</f>
        <v>Marruecos</v>
      </c>
      <c r="G226" s="9" t="str">
        <f ca="1">+WORLDCUP!BD58</f>
        <v>República Checa</v>
      </c>
      <c r="H226" s="9" t="str">
        <f ca="1">+WORLDCUP!BD63</f>
        <v>Japón</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Austria</v>
      </c>
      <c r="F227" s="9" t="str">
        <f ca="1">+WORLDCUP!BD60</f>
        <v>Marruecos</v>
      </c>
      <c r="G227" s="9" t="str">
        <f ca="1">+WORLDCUP!BD58</f>
        <v>República Checa</v>
      </c>
      <c r="H227" s="9" t="str">
        <f ca="1">+WORLDCUP!BD63</f>
        <v>Japón</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Ghana</v>
      </c>
      <c r="J228" s="9" t="str">
        <f ca="1">+WORLDCUP!BD66</f>
        <v>Noruega</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Noruega</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Austria</v>
      </c>
      <c r="F230" s="9" t="str">
        <f ca="1">+WORLDCUP!BD60</f>
        <v>Marruecos</v>
      </c>
      <c r="G230" s="9" t="str">
        <f ca="1">+WORLDCUP!BD58</f>
        <v>República Checa</v>
      </c>
      <c r="H230" s="9" t="str">
        <f ca="1">+WORLDCUP!BD63</f>
        <v>Japón</v>
      </c>
      <c r="I230" s="9" t="str">
        <f ca="1">+WORLDCUP!BD62</f>
        <v>Ecuador</v>
      </c>
      <c r="J230" s="9" t="str">
        <f ca="1">+WORLDCUP!BD66</f>
        <v>Noruega</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Austria</v>
      </c>
      <c r="E231" s="9" t="str">
        <f ca="1">+WORLDCUP!BD66</f>
        <v>Noruega</v>
      </c>
      <c r="F231" s="9" t="str">
        <f ca="1">+WORLDCUP!BD60</f>
        <v>Marruecos</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Noruega</v>
      </c>
      <c r="D232" s="9" t="str">
        <f ca="1">+WORLDCUP!BD64</f>
        <v>Bélgica</v>
      </c>
      <c r="E232" s="9" t="str">
        <f ca="1">+WORLDCUP!BD67</f>
        <v>Austria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Austria</v>
      </c>
      <c r="F233" s="9" t="str">
        <f ca="1">+WORLDCUP!BD60</f>
        <v>Marruecos</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Noruega</v>
      </c>
      <c r="F234" s="9" t="str">
        <f ca="1">+WORLDCUP!BD60</f>
        <v>Marruecos</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Austria</v>
      </c>
      <c r="F235" s="9" t="str">
        <f ca="1">+WORLDCUP!BD60</f>
        <v>Marruecos</v>
      </c>
      <c r="G235" s="9" t="str">
        <f ca="1">+WORLDCUP!BD58</f>
        <v>República Checa</v>
      </c>
      <c r="H235" s="9" t="str">
        <f ca="1">+WORLDCUP!BD61</f>
        <v>Turquía</v>
      </c>
      <c r="I235" s="9" t="str">
        <f ca="1">+WORLDCUP!BD69</f>
        <v>Ghana</v>
      </c>
      <c r="J235" s="9" t="str">
        <f ca="1">+WORLDCUP!BD66</f>
        <v>Noruega</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Austria</v>
      </c>
      <c r="F236" s="9" t="str">
        <f ca="1">+WORLDCUP!BD60</f>
        <v>Marruecos</v>
      </c>
      <c r="G236" s="9" t="str">
        <f ca="1">+WORLDCUP!BD58</f>
        <v>República Checa</v>
      </c>
      <c r="H236" s="9" t="str">
        <f ca="1">+WORLDCUP!BD61</f>
        <v>Turquía</v>
      </c>
      <c r="I236" s="9" t="str">
        <f ca="1">+WORLDCUP!BD66</f>
        <v>Noruega</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Austria</v>
      </c>
      <c r="E237" s="9" t="str">
        <f ca="1">+WORLDCUP!BD66</f>
        <v>Noruega</v>
      </c>
      <c r="F237" s="9" t="str">
        <f ca="1">+WORLDCUP!BD61</f>
        <v>Turquía</v>
      </c>
      <c r="G237" s="9" t="str">
        <f ca="1">+WORLDCUP!BD58</f>
        <v>República Checa</v>
      </c>
      <c r="H237" s="9" t="str">
        <f ca="1">+WORLDCUP!BD63</f>
        <v>Japón</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Austria</v>
      </c>
      <c r="E238" s="9" t="str">
        <f ca="1">+WORLDCUP!BD63</f>
        <v>Japón</v>
      </c>
      <c r="F238" s="9" t="str">
        <f ca="1">+WORLDCUP!BD60</f>
        <v>Marruecos</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Noruega</v>
      </c>
      <c r="F239" s="9" t="str">
        <f ca="1">+WORLDCUP!BD60</f>
        <v>Marruecos</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Austria</v>
      </c>
      <c r="E240" s="9" t="str">
        <f ca="1">+WORLDCUP!BD63</f>
        <v>Japón</v>
      </c>
      <c r="F240" s="9" t="str">
        <f ca="1">+WORLDCUP!BD60</f>
        <v>Marruecos</v>
      </c>
      <c r="G240" s="9" t="str">
        <f ca="1">+WORLDCUP!BD58</f>
        <v>República Checa</v>
      </c>
      <c r="H240" s="9" t="str">
        <f ca="1">+WORLDCUP!BD61</f>
        <v>Turquía</v>
      </c>
      <c r="I240" s="9" t="str">
        <f ca="1">+WORLDCUP!BD69</f>
        <v>Ghana</v>
      </c>
      <c r="J240" s="9" t="str">
        <f ca="1">+WORLDCUP!BD66</f>
        <v>Noruega</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Austria</v>
      </c>
      <c r="E241" s="9" t="str">
        <f ca="1">+WORLDCUP!BD63</f>
        <v>Japón</v>
      </c>
      <c r="F241" s="9" t="str">
        <f ca="1">+WORLDCUP!BD60</f>
        <v>Marruecos</v>
      </c>
      <c r="G241" s="9" t="str">
        <f ca="1">+WORLDCUP!BD58</f>
        <v>República Checa</v>
      </c>
      <c r="H241" s="9" t="str">
        <f ca="1">+WORLDCUP!BD61</f>
        <v>Turquía</v>
      </c>
      <c r="I241" s="9" t="str">
        <f ca="1">+WORLDCUP!BD66</f>
        <v>Noruega</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Bélgica</v>
      </c>
      <c r="E242" s="9" t="str">
        <f ca="1">+WORLDCUP!BD67</f>
        <v>Austria</v>
      </c>
      <c r="F242" s="9" t="str">
        <f ca="1">+WORLDCUP!BD61</f>
        <v>Turquía</v>
      </c>
      <c r="G242" s="9" t="str">
        <f ca="1">+WORLDCUP!BD58</f>
        <v>República Checa</v>
      </c>
      <c r="H242" s="9" t="str">
        <f ca="1">+WORLDCUP!BD63</f>
        <v>Japón</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Bélgica</v>
      </c>
      <c r="E243" s="9" t="str">
        <f ca="1">+WORLDCUP!BD66</f>
        <v>Noruega</v>
      </c>
      <c r="F243" s="9" t="str">
        <f ca="1">+WORLDCUP!BD61</f>
        <v>Turquía</v>
      </c>
      <c r="G243" s="9" t="str">
        <f ca="1">+WORLDCUP!BD58</f>
        <v>República Checa</v>
      </c>
      <c r="H243" s="9" t="str">
        <f ca="1">+WORLDCUP!BD63</f>
        <v>Japón</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Bélgica</v>
      </c>
      <c r="E244" s="9" t="str">
        <f ca="1">+WORLDCUP!BD67</f>
        <v>Austria</v>
      </c>
      <c r="F244" s="9" t="str">
        <f ca="1">+WORLDCUP!BD61</f>
        <v>Turquía</v>
      </c>
      <c r="G244" s="9" t="str">
        <f ca="1">+WORLDCUP!BD58</f>
        <v>República Checa</v>
      </c>
      <c r="H244" s="9" t="str">
        <f ca="1">+WORLDCUP!BD63</f>
        <v>Japón</v>
      </c>
      <c r="I244" s="9" t="str">
        <f ca="1">+WORLDCUP!BD69</f>
        <v>Ghana</v>
      </c>
      <c r="J244" s="9" t="str">
        <f ca="1">+WORLDCUP!BD66</f>
        <v>Noruega</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Bélgica</v>
      </c>
      <c r="E245" s="9" t="str">
        <f ca="1">+WORLDCUP!BD67</f>
        <v>Austria</v>
      </c>
      <c r="F245" s="9" t="str">
        <f ca="1">+WORLDCUP!BD61</f>
        <v>Turquía</v>
      </c>
      <c r="G245" s="9" t="str">
        <f ca="1">+WORLDCUP!BD58</f>
        <v>República Checa</v>
      </c>
      <c r="H245" s="9" t="str">
        <f ca="1">+WORLDCUP!BD63</f>
        <v>Japón</v>
      </c>
      <c r="I245" s="9" t="str">
        <f ca="1">+WORLDCUP!BD66</f>
        <v>Noruega</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Bélgica</v>
      </c>
      <c r="E247" s="9" t="str">
        <f ca="1">+WORLDCUP!BD67</f>
        <v>Austria</v>
      </c>
      <c r="F247" s="9" t="str">
        <f ca="1">+WORLDCUP!BD61</f>
        <v>Turquía</v>
      </c>
      <c r="G247" s="9" t="str">
        <f ca="1">+WORLDCUP!BD58</f>
        <v>República Checa</v>
      </c>
      <c r="H247" s="9" t="str">
        <f ca="1">+WORLDCUP!BD63</f>
        <v>Japón</v>
      </c>
      <c r="I247" s="9" t="str">
        <f ca="1">+WORLDCUP!BD69</f>
        <v>Ghana</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Austria</v>
      </c>
      <c r="F248" s="9" t="str">
        <f ca="1">+WORLDCUP!BD60</f>
        <v>Marruecos</v>
      </c>
      <c r="G248" s="9" t="str">
        <f ca="1">+WORLDCUP!BD58</f>
        <v>República Checa</v>
      </c>
      <c r="H248" s="9" t="str">
        <f ca="1">+WORLDCUP!BD63</f>
        <v>Japón</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Ghana</v>
      </c>
      <c r="J249" s="9" t="str">
        <f ca="1">+WORLDCUP!BD66</f>
        <v>Noruega</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Noruega</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Austria</v>
      </c>
      <c r="F251" s="9" t="str">
        <f ca="1">+WORLDCUP!BD60</f>
        <v>Marruecos</v>
      </c>
      <c r="G251" s="9" t="str">
        <f ca="1">+WORLDCUP!BD58</f>
        <v>República Checa</v>
      </c>
      <c r="H251" s="9" t="str">
        <f ca="1">+WORLDCUP!BD63</f>
        <v>Japón</v>
      </c>
      <c r="I251" s="9" t="str">
        <f ca="1">+WORLDCUP!BD61</f>
        <v>Turquía</v>
      </c>
      <c r="J251" s="9" t="str">
        <f ca="1">+WORLDCUP!BD66</f>
        <v>Noruega</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Austria</v>
      </c>
      <c r="E252" s="9" t="str">
        <f ca="1">+WORLDCUP!BD66</f>
        <v>Noruega</v>
      </c>
      <c r="F252" s="9" t="str">
        <f ca="1">+WORLDCUP!BD60</f>
        <v>Marruecos</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Austria</v>
      </c>
      <c r="E253" s="9" t="str">
        <f ca="1">+WORLDCUP!BD62</f>
        <v>Ecuador</v>
      </c>
      <c r="F253" s="9" t="str">
        <f ca="1">+WORLDCUP!BD60</f>
        <v>Marruecos</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Noruega</v>
      </c>
      <c r="F254" s="9" t="str">
        <f ca="1">+WORLDCUP!BD60</f>
        <v>Marruecos</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Austria</v>
      </c>
      <c r="E255" s="9" t="str">
        <f ca="1">+WORLDCUP!BD62</f>
        <v>Ecuador</v>
      </c>
      <c r="F255" s="9" t="str">
        <f ca="1">+WORLDCUP!BD60</f>
        <v>Marruecos</v>
      </c>
      <c r="G255" s="9" t="str">
        <f ca="1">+WORLDCUP!BD58</f>
        <v>República Checa</v>
      </c>
      <c r="H255" s="9" t="str">
        <f ca="1">+WORLDCUP!BD61</f>
        <v>Turquía</v>
      </c>
      <c r="I255" s="9" t="str">
        <f ca="1">+WORLDCUP!BD69</f>
        <v>Ghana</v>
      </c>
      <c r="J255" s="9" t="str">
        <f ca="1">+WORLDCUP!BD66</f>
        <v>Noruega</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Austria</v>
      </c>
      <c r="E256" s="9" t="str">
        <f ca="1">+WORLDCUP!BD62</f>
        <v>Ecuador</v>
      </c>
      <c r="F256" s="9" t="str">
        <f ca="1">+WORLDCUP!BD60</f>
        <v>Marruecos</v>
      </c>
      <c r="G256" s="9" t="str">
        <f ca="1">+WORLDCUP!BD58</f>
        <v>República Checa</v>
      </c>
      <c r="H256" s="9" t="str">
        <f ca="1">+WORLDCUP!BD61</f>
        <v>Turquía</v>
      </c>
      <c r="I256" s="9" t="str">
        <f ca="1">+WORLDCUP!BD66</f>
        <v>Noruega</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Austria</v>
      </c>
      <c r="F257" s="9" t="str">
        <f ca="1">+WORLDCUP!BD60</f>
        <v>Marruecos</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Noruega</v>
      </c>
      <c r="F258" s="9" t="str">
        <f ca="1">+WORLDCUP!BD60</f>
        <v>Marruecos</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Austria</v>
      </c>
      <c r="F259" s="9" t="str">
        <f ca="1">+WORLDCUP!BD60</f>
        <v>Marruecos</v>
      </c>
      <c r="G259" s="9" t="str">
        <f ca="1">+WORLDCUP!BD58</f>
        <v>República Checa</v>
      </c>
      <c r="H259" s="9" t="str">
        <f ca="1">+WORLDCUP!BD61</f>
        <v>Turquía</v>
      </c>
      <c r="I259" s="9" t="str">
        <f ca="1">+WORLDCUP!BD69</f>
        <v>Ghana</v>
      </c>
      <c r="J259" s="9" t="str">
        <f ca="1">+WORLDCUP!BD66</f>
        <v>Noruega</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Austria</v>
      </c>
      <c r="F260" s="9" t="str">
        <f ca="1">+WORLDCUP!BD60</f>
        <v>Marruecos</v>
      </c>
      <c r="G260" s="9" t="str">
        <f ca="1">+WORLDCUP!BD58</f>
        <v>República Checa</v>
      </c>
      <c r="H260" s="9" t="str">
        <f ca="1">+WORLDCUP!BD61</f>
        <v>Turquía</v>
      </c>
      <c r="I260" s="9" t="str">
        <f ca="1">+WORLDCUP!BD66</f>
        <v>Noruega</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Austria</v>
      </c>
      <c r="F262" s="9" t="str">
        <f ca="1">+WORLDCUP!BD60</f>
        <v>Marruecos</v>
      </c>
      <c r="G262" s="9" t="str">
        <f ca="1">+WORLDCUP!BD58</f>
        <v>República Checa</v>
      </c>
      <c r="H262" s="9" t="str">
        <f ca="1">+WORLDCUP!BD61</f>
        <v>Turquía</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Austria</v>
      </c>
      <c r="F263" s="9" t="str">
        <f ca="1">+WORLDCUP!BD60</f>
        <v>Marruecos</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Ghana</v>
      </c>
      <c r="J264" s="9" t="str">
        <f ca="1">+WORLDCUP!BD66</f>
        <v>Noruega</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Noruega</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Austria</v>
      </c>
      <c r="F266" s="9" t="str">
        <f ca="1">+WORLDCUP!BD60</f>
        <v>Marruecos</v>
      </c>
      <c r="G266" s="9" t="str">
        <f ca="1">+WORLDCUP!BD58</f>
        <v>República Checa</v>
      </c>
      <c r="H266" s="9" t="str">
        <f ca="1">+WORLDCUP!BD61</f>
        <v>Turquía</v>
      </c>
      <c r="I266" s="9" t="str">
        <f ca="1">+WORLDCUP!BD62</f>
        <v>Ecuador</v>
      </c>
      <c r="J266" s="9" t="str">
        <f ca="1">+WORLDCUP!BD66</f>
        <v>Noruega</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Austria</v>
      </c>
      <c r="E267" s="9" t="str">
        <f ca="1">+WORLDCUP!BD62</f>
        <v>Ecuador</v>
      </c>
      <c r="F267" s="9" t="str">
        <f ca="1">+WORLDCUP!BD61</f>
        <v>Turquía</v>
      </c>
      <c r="G267" s="9" t="str">
        <f ca="1">+WORLDCUP!BD58</f>
        <v>República Checa</v>
      </c>
      <c r="H267" s="9" t="str">
        <f ca="1">+WORLDCUP!BD63</f>
        <v>Japón</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Noruega</v>
      </c>
      <c r="F268" s="9" t="str">
        <f ca="1">+WORLDCUP!BD61</f>
        <v>Turquía</v>
      </c>
      <c r="G268" s="9" t="str">
        <f ca="1">+WORLDCUP!BD58</f>
        <v>República Checa</v>
      </c>
      <c r="H268" s="9" t="str">
        <f ca="1">+WORLDCUP!BD63</f>
        <v>Japón</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Austria</v>
      </c>
      <c r="E269" s="9" t="str">
        <f ca="1">+WORLDCUP!BD62</f>
        <v>Ecuador</v>
      </c>
      <c r="F269" s="9" t="str">
        <f ca="1">+WORLDCUP!BD61</f>
        <v>Turquía</v>
      </c>
      <c r="G269" s="9" t="str">
        <f ca="1">+WORLDCUP!BD58</f>
        <v>República Checa</v>
      </c>
      <c r="H269" s="9" t="str">
        <f ca="1">+WORLDCUP!BD63</f>
        <v>Japón</v>
      </c>
      <c r="I269" s="9" t="str">
        <f ca="1">+WORLDCUP!BD69</f>
        <v>Ghana</v>
      </c>
      <c r="J269" s="9" t="str">
        <f ca="1">+WORLDCUP!BD66</f>
        <v>Noruega</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Austria</v>
      </c>
      <c r="E270" s="9" t="str">
        <f ca="1">+WORLDCUP!BD62</f>
        <v>Ecuador</v>
      </c>
      <c r="F270" s="9" t="str">
        <f ca="1">+WORLDCUP!BD61</f>
        <v>Turquía</v>
      </c>
      <c r="G270" s="9" t="str">
        <f ca="1">+WORLDCUP!BD58</f>
        <v>República Checa</v>
      </c>
      <c r="H270" s="9" t="str">
        <f ca="1">+WORLDCUP!BD63</f>
        <v>Japón</v>
      </c>
      <c r="I270" s="9" t="str">
        <f ca="1">+WORLDCUP!BD66</f>
        <v>Noruega</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Austria</v>
      </c>
      <c r="E272" s="9" t="str">
        <f ca="1">+WORLDCUP!BD63</f>
        <v>Japón</v>
      </c>
      <c r="F272" s="9" t="str">
        <f ca="1">+WORLDCUP!BD60</f>
        <v>Marruecos</v>
      </c>
      <c r="G272" s="9" t="str">
        <f ca="1">+WORLDCUP!BD58</f>
        <v>República Checa</v>
      </c>
      <c r="H272" s="9" t="str">
        <f ca="1">+WORLDCUP!BD61</f>
        <v>Turquía</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Austria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Ghana</v>
      </c>
      <c r="J274" s="9" t="str">
        <f ca="1">+WORLDCUP!BD66</f>
        <v>Noruega</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Noruega</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Austria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Noruega</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Bélgica</v>
      </c>
      <c r="E278" s="9" t="str">
        <f ca="1">+WORLDCUP!BD67</f>
        <v>Austria</v>
      </c>
      <c r="F278" s="9" t="str">
        <f ca="1">+WORLDCUP!BD61</f>
        <v>Turquía</v>
      </c>
      <c r="G278" s="9" t="str">
        <f ca="1">+WORLDCUP!BD58</f>
        <v>República Checa</v>
      </c>
      <c r="H278" s="9" t="str">
        <f ca="1">+WORLDCUP!BD63</f>
        <v>Japón</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Bélgica</v>
      </c>
      <c r="E279" s="9" t="str">
        <f ca="1">+WORLDCUP!BD67</f>
        <v>Austria</v>
      </c>
      <c r="F279" s="9" t="str">
        <f ca="1">+WORLDCUP!BD61</f>
        <v>Turquía</v>
      </c>
      <c r="G279" s="9" t="str">
        <f ca="1">+WORLDCUP!BD58</f>
        <v>República Checa</v>
      </c>
      <c r="H279" s="9" t="str">
        <f ca="1">+WORLDCUP!BD63</f>
        <v>Japón</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Ghana</v>
      </c>
      <c r="J280" s="9" t="str">
        <f ca="1">+WORLDCUP!BD66</f>
        <v>Noruega</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Noruega</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Bélgica</v>
      </c>
      <c r="E282" s="9" t="str">
        <f ca="1">+WORLDCUP!BD67</f>
        <v>Austria</v>
      </c>
      <c r="F282" s="9" t="str">
        <f ca="1">+WORLDCUP!BD61</f>
        <v>Turquía</v>
      </c>
      <c r="G282" s="9" t="str">
        <f ca="1">+WORLDCUP!BD58</f>
        <v>República Checa</v>
      </c>
      <c r="H282" s="9" t="str">
        <f ca="1">+WORLDCUP!BD63</f>
        <v>Japón</v>
      </c>
      <c r="I282" s="9" t="str">
        <f ca="1">+WORLDCUP!BD62</f>
        <v>Ecuador</v>
      </c>
      <c r="J282" s="9" t="str">
        <f ca="1">+WORLDCUP!BD66</f>
        <v>Noruega</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Austria</v>
      </c>
      <c r="F285" s="9" t="str">
        <f ca="1">+WORLDCUP!BD60</f>
        <v>Marruecos</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Noruega</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Austria</v>
      </c>
      <c r="E287" s="9" t="str">
        <f ca="1">+WORLDCUP!BD59</f>
        <v>Catar</v>
      </c>
      <c r="F287" s="9" t="str">
        <f ca="1">+WORLDCUP!BD58</f>
        <v>República Checa</v>
      </c>
      <c r="G287" s="9" t="str">
        <f ca="1">+WORLDCUP!BD66</f>
        <v>Noruega</v>
      </c>
      <c r="H287" s="9" t="str">
        <f ca="1">+WORLDCUP!BD64</f>
        <v>Bélgica</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Austria</v>
      </c>
      <c r="E288" s="9" t="str">
        <f ca="1">+WORLDCUP!BD59</f>
        <v>Catar</v>
      </c>
      <c r="F288" s="9" t="str">
        <f ca="1">+WORLDCUP!BD58</f>
        <v>República Checa</v>
      </c>
      <c r="G288" s="9" t="str">
        <f ca="1">+WORLDCUP!BD66</f>
        <v>Noruega</v>
      </c>
      <c r="H288" s="9" t="str">
        <f ca="1">+WORLDCUP!BD63</f>
        <v>Japón</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Noruega</v>
      </c>
      <c r="D289" s="9" t="str">
        <f ca="1">+WORLDCUP!BD67</f>
        <v>Austria</v>
      </c>
      <c r="E289" s="9" t="str">
        <f ca="1">+WORLDCUP!BD59</f>
        <v>Catar</v>
      </c>
      <c r="F289" s="9" t="str">
        <f ca="1">+WORLDCUP!BD63</f>
        <v>Japón</v>
      </c>
      <c r="G289" s="9" t="str">
        <f ca="1">+WORLDCUP!BD58</f>
        <v>República Checa</v>
      </c>
      <c r="H289" s="9" t="str">
        <f ca="1">+WORLDCUP!BD64</f>
        <v>Bélgica</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Austria</v>
      </c>
      <c r="E290" s="9" t="str">
        <f ca="1">+WORLDCUP!BD59</f>
        <v>Catar</v>
      </c>
      <c r="F290" s="9" t="str">
        <f ca="1">+WORLDCUP!BD63</f>
        <v>Japón</v>
      </c>
      <c r="G290" s="9" t="str">
        <f ca="1">+WORLDCUP!BD58</f>
        <v>República Checa</v>
      </c>
      <c r="H290" s="9" t="str">
        <f ca="1">+WORLDCUP!BD64</f>
        <v>Bélgica</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Catar</v>
      </c>
      <c r="F291" s="9" t="str">
        <f ca="1">+WORLDCUP!BD58</f>
        <v>República Checa</v>
      </c>
      <c r="G291" s="9" t="str">
        <f ca="1">+WORLDCUP!BD66</f>
        <v>Noruega</v>
      </c>
      <c r="H291" s="9" t="str">
        <f ca="1">+WORLDCUP!BD63</f>
        <v>Japón</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Austria</v>
      </c>
      <c r="E292" s="9" t="str">
        <f ca="1">+WORLDCUP!BD59</f>
        <v>Catar</v>
      </c>
      <c r="F292" s="9" t="str">
        <f ca="1">+WORLDCUP!BD63</f>
        <v>Japón</v>
      </c>
      <c r="G292" s="9" t="str">
        <f ca="1">+WORLDCUP!BD58</f>
        <v>República Checa</v>
      </c>
      <c r="H292" s="9" t="str">
        <f ca="1">+WORLDCUP!BD64</f>
        <v>Bélgica</v>
      </c>
      <c r="I292" s="9" t="str">
        <f ca="1">+WORLDCUP!BD69</f>
        <v>Ghana</v>
      </c>
      <c r="J292" s="9" t="str">
        <f ca="1">+WORLDCUP!BD66</f>
        <v>Noruega</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Austria</v>
      </c>
      <c r="E293" s="9" t="str">
        <f ca="1">+WORLDCUP!BD59</f>
        <v>Catar</v>
      </c>
      <c r="F293" s="9" t="str">
        <f ca="1">+WORLDCUP!BD63</f>
        <v>Japón</v>
      </c>
      <c r="G293" s="9" t="str">
        <f ca="1">+WORLDCUP!BD58</f>
        <v>República Checa</v>
      </c>
      <c r="H293" s="9" t="str">
        <f ca="1">+WORLDCUP!BD64</f>
        <v>Bélgica</v>
      </c>
      <c r="I293" s="9" t="str">
        <f ca="1">+WORLDCUP!BD66</f>
        <v>Noruega</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Austria</v>
      </c>
      <c r="E294" s="9" t="str">
        <f ca="1">+WORLDCUP!BD59</f>
        <v>Catar</v>
      </c>
      <c r="F294" s="9" t="str">
        <f ca="1">+WORLDCUP!BD58</f>
        <v>República Checa</v>
      </c>
      <c r="G294" s="9" t="str">
        <f ca="1">+WORLDCUP!BD66</f>
        <v>Noruega</v>
      </c>
      <c r="H294" s="9" t="str">
        <f ca="1">+WORLDCUP!BD65</f>
        <v>España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Austria</v>
      </c>
      <c r="E295" s="9" t="str">
        <f ca="1">+WORLDCUP!BD59</f>
        <v>Catar</v>
      </c>
      <c r="F295" s="9" t="str">
        <f ca="1">+WORLDCUP!BD58</f>
        <v>República Checa</v>
      </c>
      <c r="G295" s="9" t="str">
        <f ca="1">+WORLDCUP!BD66</f>
        <v>Noruega</v>
      </c>
      <c r="H295" s="9" t="str">
        <f ca="1">+WORLDCUP!BD64</f>
        <v>Bélgica</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Austria</v>
      </c>
      <c r="E296" s="9" t="str">
        <f ca="1">+WORLDCUP!BD59</f>
        <v>Catar</v>
      </c>
      <c r="F296" s="9" t="str">
        <f ca="1">+WORLDCUP!BD58</f>
        <v>República Checa</v>
      </c>
      <c r="G296" s="9" t="str">
        <f ca="1">+WORLDCUP!BD65</f>
        <v>España</v>
      </c>
      <c r="H296" s="9" t="str">
        <f ca="1">+WORLDCUP!BD64</f>
        <v>Bélgica</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Catar</v>
      </c>
      <c r="F297" s="9" t="str">
        <f ca="1">+WORLDCUP!BD58</f>
        <v>República Checa</v>
      </c>
      <c r="G297" s="9" t="str">
        <f ca="1">+WORLDCUP!BD66</f>
        <v>Noruega</v>
      </c>
      <c r="H297" s="9" t="str">
        <f ca="1">+WORLDCUP!BD65</f>
        <v>España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Austria</v>
      </c>
      <c r="E298" s="9" t="str">
        <f ca="1">+WORLDCUP!BD59</f>
        <v>Catar</v>
      </c>
      <c r="F298" s="9" t="str">
        <f ca="1">+WORLDCUP!BD58</f>
        <v>República Checa</v>
      </c>
      <c r="G298" s="9" t="str">
        <f ca="1">+WORLDCUP!BD65</f>
        <v>España</v>
      </c>
      <c r="H298" s="9" t="str">
        <f ca="1">+WORLDCUP!BD64</f>
        <v>Bélgica</v>
      </c>
      <c r="I298" s="9" t="str">
        <f ca="1">+WORLDCUP!BD69</f>
        <v>Ghana</v>
      </c>
      <c r="J298" s="9" t="str">
        <f ca="1">+WORLDCUP!BD66</f>
        <v>Noruega</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Austria</v>
      </c>
      <c r="E299" s="9" t="str">
        <f ca="1">+WORLDCUP!BD59</f>
        <v>Catar</v>
      </c>
      <c r="F299" s="9" t="str">
        <f ca="1">+WORLDCUP!BD58</f>
        <v>República Checa</v>
      </c>
      <c r="G299" s="9" t="str">
        <f ca="1">+WORLDCUP!BD65</f>
        <v>España</v>
      </c>
      <c r="H299" s="9" t="str">
        <f ca="1">+WORLDCUP!BD64</f>
        <v>Bélgica</v>
      </c>
      <c r="I299" s="9" t="str">
        <f ca="1">+WORLDCUP!BD66</f>
        <v>Noruega</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Austria</v>
      </c>
      <c r="E300" s="9" t="str">
        <f ca="1">+WORLDCUP!BD59</f>
        <v>Catar</v>
      </c>
      <c r="F300" s="9" t="str">
        <f ca="1">+WORLDCUP!BD58</f>
        <v>República Checa</v>
      </c>
      <c r="G300" s="9" t="str">
        <f ca="1">+WORLDCUP!BD66</f>
        <v>Noruega</v>
      </c>
      <c r="H300" s="9" t="str">
        <f ca="1">+WORLDCUP!BD63</f>
        <v>Japón</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Austria</v>
      </c>
      <c r="E301" s="9" t="str">
        <f ca="1">+WORLDCUP!BD59</f>
        <v>Catar</v>
      </c>
      <c r="F301" s="9" t="str">
        <f ca="1">+WORLDCUP!BD63</f>
        <v>Japón</v>
      </c>
      <c r="G301" s="9" t="str">
        <f ca="1">+WORLDCUP!BD58</f>
        <v>República Checa</v>
      </c>
      <c r="H301" s="9" t="str">
        <f ca="1">+WORLDCUP!BD65</f>
        <v>España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Noruega</v>
      </c>
      <c r="E302" s="9" t="str">
        <f ca="1">+WORLDCUP!BD59</f>
        <v>Catar</v>
      </c>
      <c r="F302" s="9" t="str">
        <f ca="1">+WORLDCUP!BD63</f>
        <v>Japón</v>
      </c>
      <c r="G302" s="9" t="str">
        <f ca="1">+WORLDCUP!BD58</f>
        <v>República Checa</v>
      </c>
      <c r="H302" s="9" t="str">
        <f ca="1">+WORLDCUP!BD65</f>
        <v>España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Austria</v>
      </c>
      <c r="E303" s="9" t="str">
        <f ca="1">+WORLDCUP!BD59</f>
        <v>Catar</v>
      </c>
      <c r="F303" s="9" t="str">
        <f ca="1">+WORLDCUP!BD63</f>
        <v>Japón</v>
      </c>
      <c r="G303" s="9" t="str">
        <f ca="1">+WORLDCUP!BD58</f>
        <v>República Checa</v>
      </c>
      <c r="H303" s="9" t="str">
        <f ca="1">+WORLDCUP!BD65</f>
        <v>España</v>
      </c>
      <c r="I303" s="9" t="str">
        <f ca="1">+WORLDCUP!BD69</f>
        <v>Ghana</v>
      </c>
      <c r="J303" s="9" t="str">
        <f ca="1">+WORLDCUP!BD66</f>
        <v>Noruega</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Austria</v>
      </c>
      <c r="E304" s="9" t="str">
        <f ca="1">+WORLDCUP!BD59</f>
        <v>Catar</v>
      </c>
      <c r="F304" s="9" t="str">
        <f ca="1">+WORLDCUP!BD63</f>
        <v>Japón</v>
      </c>
      <c r="G304" s="9" t="str">
        <f ca="1">+WORLDCUP!BD58</f>
        <v>República Checa</v>
      </c>
      <c r="H304" s="9" t="str">
        <f ca="1">+WORLDCUP!BD65</f>
        <v>España</v>
      </c>
      <c r="I304" s="9" t="str">
        <f ca="1">+WORLDCUP!BD66</f>
        <v>Noruega</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Austria</v>
      </c>
      <c r="E305" s="9" t="str">
        <f ca="1">+WORLDCUP!BD59</f>
        <v>Catar</v>
      </c>
      <c r="F305" s="9" t="str">
        <f ca="1">+WORLDCUP!BD63</f>
        <v>Japón</v>
      </c>
      <c r="G305" s="9" t="str">
        <f ca="1">+WORLDCUP!BD58</f>
        <v>República Checa</v>
      </c>
      <c r="H305" s="9" t="str">
        <f ca="1">+WORLDCUP!BD64</f>
        <v>Bélgica</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Catar</v>
      </c>
      <c r="F306" s="9" t="str">
        <f ca="1">+WORLDCUP!BD58</f>
        <v>República Checa</v>
      </c>
      <c r="G306" s="9" t="str">
        <f ca="1">+WORLDCUP!BD66</f>
        <v>Noruega</v>
      </c>
      <c r="H306" s="9" t="str">
        <f ca="1">+WORLDCUP!BD63</f>
        <v>Japón</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Austria</v>
      </c>
      <c r="E307" s="9" t="str">
        <f ca="1">+WORLDCUP!BD59</f>
        <v>Catar</v>
      </c>
      <c r="F307" s="9" t="str">
        <f ca="1">+WORLDCUP!BD63</f>
        <v>Japón</v>
      </c>
      <c r="G307" s="9" t="str">
        <f ca="1">+WORLDCUP!BD58</f>
        <v>República Checa</v>
      </c>
      <c r="H307" s="9" t="str">
        <f ca="1">+WORLDCUP!BD64</f>
        <v>Bélgica</v>
      </c>
      <c r="I307" s="9" t="str">
        <f ca="1">+WORLDCUP!BD69</f>
        <v>Ghana</v>
      </c>
      <c r="J307" s="9" t="str">
        <f ca="1">+WORLDCUP!BD66</f>
        <v>Noruega</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Austria</v>
      </c>
      <c r="E308" s="9" t="str">
        <f ca="1">+WORLDCUP!BD59</f>
        <v>Catar</v>
      </c>
      <c r="F308" s="9" t="str">
        <f ca="1">+WORLDCUP!BD63</f>
        <v>Japón</v>
      </c>
      <c r="G308" s="9" t="str">
        <f ca="1">+WORLDCUP!BD58</f>
        <v>República Checa</v>
      </c>
      <c r="H308" s="9" t="str">
        <f ca="1">+WORLDCUP!BD64</f>
        <v>Bélgica</v>
      </c>
      <c r="I308" s="9" t="str">
        <f ca="1">+WORLDCUP!BD66</f>
        <v>Noruega</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Catar</v>
      </c>
      <c r="F309" s="9" t="str">
        <f ca="1">+WORLDCUP!BD63</f>
        <v>Japón</v>
      </c>
      <c r="G309" s="9" t="str">
        <f ca="1">+WORLDCUP!BD58</f>
        <v>República Checa</v>
      </c>
      <c r="H309" s="9" t="str">
        <f ca="1">+WORLDCUP!BD65</f>
        <v>España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Austria</v>
      </c>
      <c r="E310" s="9" t="str">
        <f ca="1">+WORLDCUP!BD59</f>
        <v>Catar</v>
      </c>
      <c r="F310" s="9" t="str">
        <f ca="1">+WORLDCUP!BD63</f>
        <v>Japón</v>
      </c>
      <c r="G310" s="9" t="str">
        <f ca="1">+WORLDCUP!BD58</f>
        <v>República Checa</v>
      </c>
      <c r="H310" s="9" t="str">
        <f ca="1">+WORLDCUP!BD64</f>
        <v>Bélgica</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Austria</v>
      </c>
      <c r="E311" s="9" t="str">
        <f ca="1">+WORLDCUP!BD59</f>
        <v>Catar</v>
      </c>
      <c r="F311" s="9" t="str">
        <f ca="1">+WORLDCUP!BD63</f>
        <v>Japón</v>
      </c>
      <c r="G311" s="9" t="str">
        <f ca="1">+WORLDCUP!BD58</f>
        <v>República Checa</v>
      </c>
      <c r="H311" s="9" t="str">
        <f ca="1">+WORLDCUP!BD64</f>
        <v>Bélgica</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Catar</v>
      </c>
      <c r="F312" s="9" t="str">
        <f ca="1">+WORLDCUP!BD63</f>
        <v>Japón</v>
      </c>
      <c r="G312" s="9" t="str">
        <f ca="1">+WORLDCUP!BD58</f>
        <v>República Checa</v>
      </c>
      <c r="H312" s="9" t="str">
        <f ca="1">+WORLDCUP!BD65</f>
        <v>España</v>
      </c>
      <c r="I312" s="9" t="str">
        <f ca="1">+WORLDCUP!BD69</f>
        <v>Ghana</v>
      </c>
      <c r="J312" s="9" t="str">
        <f ca="1">+WORLDCUP!BD66</f>
        <v>Noruega</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Catar</v>
      </c>
      <c r="F313" s="9" t="str">
        <f ca="1">+WORLDCUP!BD63</f>
        <v>Japón</v>
      </c>
      <c r="G313" s="9" t="str">
        <f ca="1">+WORLDCUP!BD58</f>
        <v>República Checa</v>
      </c>
      <c r="H313" s="9" t="str">
        <f ca="1">+WORLDCUP!BD65</f>
        <v>España</v>
      </c>
      <c r="I313" s="9" t="str">
        <f ca="1">+WORLDCUP!BD66</f>
        <v>Noruega</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Austria</v>
      </c>
      <c r="E314" s="9" t="str">
        <f ca="1">+WORLDCUP!BD59</f>
        <v>Catar</v>
      </c>
      <c r="F314" s="9" t="str">
        <f ca="1">+WORLDCUP!BD63</f>
        <v>Japón</v>
      </c>
      <c r="G314" s="9" t="str">
        <f ca="1">+WORLDCUP!BD58</f>
        <v>República Checa</v>
      </c>
      <c r="H314" s="9" t="str">
        <f ca="1">+WORLDCUP!BD64</f>
        <v>Bélgica</v>
      </c>
      <c r="I314" s="9" t="str">
        <f ca="1">+WORLDCUP!BD62</f>
        <v>Ecuador</v>
      </c>
      <c r="J314" s="9" t="str">
        <f ca="1">+WORLDCUP!BD66</f>
        <v>Noruega</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Noruega</v>
      </c>
      <c r="D315" s="9" t="str">
        <f ca="1">+WORLDCUP!BD67</f>
        <v>Austria</v>
      </c>
      <c r="E315" s="9" t="str">
        <f ca="1">+WORLDCUP!BD59</f>
        <v>Catar</v>
      </c>
      <c r="F315" s="9" t="str">
        <f ca="1">+WORLDCUP!BD61</f>
        <v>Turquía</v>
      </c>
      <c r="G315" s="9" t="str">
        <f ca="1">+WORLDCUP!BD58</f>
        <v>República Checa</v>
      </c>
      <c r="H315" s="9" t="str">
        <f ca="1">+WORLDCUP!BD65</f>
        <v>España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Noruega</v>
      </c>
      <c r="D316" s="9" t="str">
        <f ca="1">+WORLDCUP!BD67</f>
        <v>Austria</v>
      </c>
      <c r="E316" s="9" t="str">
        <f ca="1">+WORLDCUP!BD59</f>
        <v>Catar</v>
      </c>
      <c r="F316" s="9" t="str">
        <f ca="1">+WORLDCUP!BD61</f>
        <v>Turquía</v>
      </c>
      <c r="G316" s="9" t="str">
        <f ca="1">+WORLDCUP!BD58</f>
        <v>República Checa</v>
      </c>
      <c r="H316" s="9" t="str">
        <f ca="1">+WORLDCUP!BD64</f>
        <v>Bélgica</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Austria</v>
      </c>
      <c r="E317" s="9" t="str">
        <f ca="1">+WORLDCUP!BD59</f>
        <v>Catar</v>
      </c>
      <c r="F317" s="9" t="str">
        <f ca="1">+WORLDCUP!BD61</f>
        <v>Turquía</v>
      </c>
      <c r="G317" s="9" t="str">
        <f ca="1">+WORLDCUP!BD58</f>
        <v>República Checa</v>
      </c>
      <c r="H317" s="9" t="str">
        <f ca="1">+WORLDCUP!BD64</f>
        <v>Bélgica</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Noruega</v>
      </c>
      <c r="D318" s="9" t="str">
        <f ca="1">+WORLDCUP!BD64</f>
        <v>Bélgica</v>
      </c>
      <c r="E318" s="9" t="str">
        <f ca="1">+WORLDCUP!BD59</f>
        <v>Catar</v>
      </c>
      <c r="F318" s="9" t="str">
        <f ca="1">+WORLDCUP!BD61</f>
        <v>Turquía</v>
      </c>
      <c r="G318" s="9" t="str">
        <f ca="1">+WORLDCUP!BD58</f>
        <v>República Checa</v>
      </c>
      <c r="H318" s="9" t="str">
        <f ca="1">+WORLDCUP!BD65</f>
        <v>España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Austria</v>
      </c>
      <c r="E319" s="9" t="str">
        <f ca="1">+WORLDCUP!BD59</f>
        <v>Catar</v>
      </c>
      <c r="F319" s="9" t="str">
        <f ca="1">+WORLDCUP!BD61</f>
        <v>Turquía</v>
      </c>
      <c r="G319" s="9" t="str">
        <f ca="1">+WORLDCUP!BD58</f>
        <v>República Checa</v>
      </c>
      <c r="H319" s="9" t="str">
        <f ca="1">+WORLDCUP!BD64</f>
        <v>Bélgica</v>
      </c>
      <c r="I319" s="9" t="str">
        <f ca="1">+WORLDCUP!BD69</f>
        <v>Ghana</v>
      </c>
      <c r="J319" s="9" t="str">
        <f ca="1">+WORLDCUP!BD66</f>
        <v>Noruega</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Austria</v>
      </c>
      <c r="E320" s="9" t="str">
        <f ca="1">+WORLDCUP!BD59</f>
        <v>Catar</v>
      </c>
      <c r="F320" s="9" t="str">
        <f ca="1">+WORLDCUP!BD61</f>
        <v>Turquía</v>
      </c>
      <c r="G320" s="9" t="str">
        <f ca="1">+WORLDCUP!BD58</f>
        <v>República Checa</v>
      </c>
      <c r="H320" s="9" t="str">
        <f ca="1">+WORLDCUP!BD64</f>
        <v>Bélgica</v>
      </c>
      <c r="I320" s="9" t="str">
        <f ca="1">+WORLDCUP!BD66</f>
        <v>Noruega</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Noruega</v>
      </c>
      <c r="D321" s="9" t="str">
        <f ca="1">+WORLDCUP!BD67</f>
        <v>Austria</v>
      </c>
      <c r="E321" s="9" t="str">
        <f ca="1">+WORLDCUP!BD59</f>
        <v>Catar</v>
      </c>
      <c r="F321" s="9" t="str">
        <f ca="1">+WORLDCUP!BD61</f>
        <v>Turquía</v>
      </c>
      <c r="G321" s="9" t="str">
        <f ca="1">+WORLDCUP!BD58</f>
        <v>República Checa</v>
      </c>
      <c r="H321" s="9" t="str">
        <f ca="1">+WORLDCUP!BD63</f>
        <v>Japón</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Austria</v>
      </c>
      <c r="E322" s="9" t="str">
        <f ca="1">+WORLDCUP!BD59</f>
        <v>Catar</v>
      </c>
      <c r="F322" s="9" t="str">
        <f ca="1">+WORLDCUP!BD61</f>
        <v>Turquía</v>
      </c>
      <c r="G322" s="9" t="str">
        <f ca="1">+WORLDCUP!BD58</f>
        <v>República Checa</v>
      </c>
      <c r="H322" s="9" t="str">
        <f ca="1">+WORLDCUP!BD63</f>
        <v>Japón</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Noruega</v>
      </c>
      <c r="E323" s="9" t="str">
        <f ca="1">+WORLDCUP!BD59</f>
        <v>Catar</v>
      </c>
      <c r="F323" s="9" t="str">
        <f ca="1">+WORLDCUP!BD61</f>
        <v>Turquía</v>
      </c>
      <c r="G323" s="9" t="str">
        <f ca="1">+WORLDCUP!BD58</f>
        <v>República Checa</v>
      </c>
      <c r="H323" s="9" t="str">
        <f ca="1">+WORLDCUP!BD63</f>
        <v>Japón</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Austria</v>
      </c>
      <c r="E324" s="9" t="str">
        <f ca="1">+WORLDCUP!BD59</f>
        <v>Catar</v>
      </c>
      <c r="F324" s="9" t="str">
        <f ca="1">+WORLDCUP!BD61</f>
        <v>Turquía</v>
      </c>
      <c r="G324" s="9" t="str">
        <f ca="1">+WORLDCUP!BD58</f>
        <v>República Checa</v>
      </c>
      <c r="H324" s="9" t="str">
        <f ca="1">+WORLDCUP!BD63</f>
        <v>Japón</v>
      </c>
      <c r="I324" s="9" t="str">
        <f ca="1">+WORLDCUP!BD69</f>
        <v>Ghana</v>
      </c>
      <c r="J324" s="9" t="str">
        <f ca="1">+WORLDCUP!BD66</f>
        <v>Noruega</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Austria</v>
      </c>
      <c r="E325" s="9" t="str">
        <f ca="1">+WORLDCUP!BD59</f>
        <v>Catar</v>
      </c>
      <c r="F325" s="9" t="str">
        <f ca="1">+WORLDCUP!BD61</f>
        <v>Turquía</v>
      </c>
      <c r="G325" s="9" t="str">
        <f ca="1">+WORLDCUP!BD58</f>
        <v>República Checa</v>
      </c>
      <c r="H325" s="9" t="str">
        <f ca="1">+WORLDCUP!BD63</f>
        <v>Japón</v>
      </c>
      <c r="I325" s="9" t="str">
        <f ca="1">+WORLDCUP!BD66</f>
        <v>Noruega</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Austria</v>
      </c>
      <c r="E326" s="9" t="str">
        <f ca="1">+WORLDCUP!BD59</f>
        <v>Catar</v>
      </c>
      <c r="F326" s="9" t="str">
        <f ca="1">+WORLDCUP!BD61</f>
        <v>Turquía</v>
      </c>
      <c r="G326" s="9" t="str">
        <f ca="1">+WORLDCUP!BD58</f>
        <v>República Checa</v>
      </c>
      <c r="H326" s="9" t="str">
        <f ca="1">+WORLDCUP!BD64</f>
        <v>Bélgica</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Noruega</v>
      </c>
      <c r="D327" s="9" t="str">
        <f ca="1">+WORLDCUP!BD64</f>
        <v>Bélgica</v>
      </c>
      <c r="E327" s="9" t="str">
        <f ca="1">+WORLDCUP!BD59</f>
        <v>Catar</v>
      </c>
      <c r="F327" s="9" t="str">
        <f ca="1">+WORLDCUP!BD61</f>
        <v>Turquía</v>
      </c>
      <c r="G327" s="9" t="str">
        <f ca="1">+WORLDCUP!BD58</f>
        <v>República Checa</v>
      </c>
      <c r="H327" s="9" t="str">
        <f ca="1">+WORLDCUP!BD63</f>
        <v>Japón</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Austria</v>
      </c>
      <c r="E328" s="9" t="str">
        <f ca="1">+WORLDCUP!BD59</f>
        <v>Catar</v>
      </c>
      <c r="F328" s="9" t="str">
        <f ca="1">+WORLDCUP!BD61</f>
        <v>Turquía</v>
      </c>
      <c r="G328" s="9" t="str">
        <f ca="1">+WORLDCUP!BD58</f>
        <v>República Checa</v>
      </c>
      <c r="H328" s="9" t="str">
        <f ca="1">+WORLDCUP!BD64</f>
        <v>Bélgica</v>
      </c>
      <c r="I328" s="9" t="str">
        <f ca="1">+WORLDCUP!BD69</f>
        <v>Ghana</v>
      </c>
      <c r="J328" s="9" t="str">
        <f ca="1">+WORLDCUP!BD66</f>
        <v>Noruega</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Austria</v>
      </c>
      <c r="E329" s="9" t="str">
        <f ca="1">+WORLDCUP!BD59</f>
        <v>Catar</v>
      </c>
      <c r="F329" s="9" t="str">
        <f ca="1">+WORLDCUP!BD61</f>
        <v>Turquía</v>
      </c>
      <c r="G329" s="9" t="str">
        <f ca="1">+WORLDCUP!BD58</f>
        <v>República Checa</v>
      </c>
      <c r="H329" s="9" t="str">
        <f ca="1">+WORLDCUP!BD64</f>
        <v>Bélgica</v>
      </c>
      <c r="I329" s="9" t="str">
        <f ca="1">+WORLDCUP!BD66</f>
        <v>Noruega</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Catar</v>
      </c>
      <c r="F330" s="9" t="str">
        <f ca="1">+WORLDCUP!BD61</f>
        <v>Turquía</v>
      </c>
      <c r="G330" s="9" t="str">
        <f ca="1">+WORLDCUP!BD58</f>
        <v>República Checa</v>
      </c>
      <c r="H330" s="9" t="str">
        <f ca="1">+WORLDCUP!BD63</f>
        <v>Japón</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Catar</v>
      </c>
      <c r="F331" s="9" t="str">
        <f ca="1">+WORLDCUP!BD61</f>
        <v>Turquía</v>
      </c>
      <c r="G331" s="9" t="str">
        <f ca="1">+WORLDCUP!BD58</f>
        <v>República Checa</v>
      </c>
      <c r="H331" s="9" t="str">
        <f ca="1">+WORLDCUP!BD63</f>
        <v>Japón</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Catar</v>
      </c>
      <c r="F332" s="9" t="str">
        <f ca="1">+WORLDCUP!BD61</f>
        <v>Turquía</v>
      </c>
      <c r="G332" s="9" t="str">
        <f ca="1">+WORLDCUP!BD58</f>
        <v>República Checa</v>
      </c>
      <c r="H332" s="9" t="str">
        <f ca="1">+WORLDCUP!BD63</f>
        <v>Japón</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Catar</v>
      </c>
      <c r="F333" s="9" t="str">
        <f ca="1">+WORLDCUP!BD61</f>
        <v>Turquía</v>
      </c>
      <c r="G333" s="9" t="str">
        <f ca="1">+WORLDCUP!BD58</f>
        <v>República Checa</v>
      </c>
      <c r="H333" s="9" t="str">
        <f ca="1">+WORLDCUP!BD63</f>
        <v>Japón</v>
      </c>
      <c r="I333" s="9" t="str">
        <f ca="1">+WORLDCUP!BD69</f>
        <v>Ghana</v>
      </c>
      <c r="J333" s="9" t="str">
        <f ca="1">+WORLDCUP!BD66</f>
        <v>Noruega</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Catar</v>
      </c>
      <c r="F334" s="9" t="str">
        <f ca="1">+WORLDCUP!BD61</f>
        <v>Turquía</v>
      </c>
      <c r="G334" s="9" t="str">
        <f ca="1">+WORLDCUP!BD58</f>
        <v>República Checa</v>
      </c>
      <c r="H334" s="9" t="str">
        <f ca="1">+WORLDCUP!BD63</f>
        <v>Japón</v>
      </c>
      <c r="I334" s="9" t="str">
        <f ca="1">+WORLDCUP!BD66</f>
        <v>Noruega</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Catar</v>
      </c>
      <c r="F335" s="9" t="str">
        <f ca="1">+WORLDCUP!BD61</f>
        <v>Turquía</v>
      </c>
      <c r="G335" s="9" t="str">
        <f ca="1">+WORLDCUP!BD58</f>
        <v>República Checa</v>
      </c>
      <c r="H335" s="9" t="str">
        <f ca="1">+WORLDCUP!BD63</f>
        <v>Japón</v>
      </c>
      <c r="I335" s="9" t="str">
        <f ca="1">+WORLDCUP!BD66</f>
        <v>Noruega</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Austria</v>
      </c>
      <c r="E336" s="9" t="str">
        <f ca="1">+WORLDCUP!BD59</f>
        <v>Catar</v>
      </c>
      <c r="F336" s="9" t="str">
        <f ca="1">+WORLDCUP!BD58</f>
        <v>República Checa</v>
      </c>
      <c r="G336" s="9" t="str">
        <f ca="1">+WORLDCUP!BD66</f>
        <v>Noruega</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Austria</v>
      </c>
      <c r="E337" s="9" t="str">
        <f ca="1">+WORLDCUP!BD59</f>
        <v>Catar</v>
      </c>
      <c r="F337" s="9" t="str">
        <f ca="1">+WORLDCUP!BD61</f>
        <v>Turquía</v>
      </c>
      <c r="G337" s="9" t="str">
        <f ca="1">+WORLDCUP!BD58</f>
        <v>República Checa</v>
      </c>
      <c r="H337" s="9" t="str">
        <f ca="1">+WORLDCUP!BD65</f>
        <v>España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Noruega</v>
      </c>
      <c r="E338" s="9" t="str">
        <f ca="1">+WORLDCUP!BD59</f>
        <v>Catar</v>
      </c>
      <c r="F338" s="9" t="str">
        <f ca="1">+WORLDCUP!BD61</f>
        <v>Turquía</v>
      </c>
      <c r="G338" s="9" t="str">
        <f ca="1">+WORLDCUP!BD58</f>
        <v>República Checa</v>
      </c>
      <c r="H338" s="9" t="str">
        <f ca="1">+WORLDCUP!BD65</f>
        <v>España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Austria</v>
      </c>
      <c r="E339" s="9" t="str">
        <f ca="1">+WORLDCUP!BD59</f>
        <v>Catar</v>
      </c>
      <c r="F339" s="9" t="str">
        <f ca="1">+WORLDCUP!BD61</f>
        <v>Turquía</v>
      </c>
      <c r="G339" s="9" t="str">
        <f ca="1">+WORLDCUP!BD58</f>
        <v>República Checa</v>
      </c>
      <c r="H339" s="9" t="str">
        <f ca="1">+WORLDCUP!BD65</f>
        <v>España</v>
      </c>
      <c r="I339" s="9" t="str">
        <f ca="1">+WORLDCUP!BD69</f>
        <v>Ghana</v>
      </c>
      <c r="J339" s="9" t="str">
        <f ca="1">+WORLDCUP!BD66</f>
        <v>Noruega</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Austria</v>
      </c>
      <c r="E340" s="9" t="str">
        <f ca="1">+WORLDCUP!BD59</f>
        <v>Catar</v>
      </c>
      <c r="F340" s="9" t="str">
        <f ca="1">+WORLDCUP!BD61</f>
        <v>Turquía</v>
      </c>
      <c r="G340" s="9" t="str">
        <f ca="1">+WORLDCUP!BD58</f>
        <v>República Checa</v>
      </c>
      <c r="H340" s="9" t="str">
        <f ca="1">+WORLDCUP!BD65</f>
        <v>España</v>
      </c>
      <c r="I340" s="9" t="str">
        <f ca="1">+WORLDCUP!BD66</f>
        <v>Noruega</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Austria</v>
      </c>
      <c r="E341" s="9" t="str">
        <f ca="1">+WORLDCUP!BD59</f>
        <v>Catar</v>
      </c>
      <c r="F341" s="9" t="str">
        <f ca="1">+WORLDCUP!BD61</f>
        <v>Turquía</v>
      </c>
      <c r="G341" s="9" t="str">
        <f ca="1">+WORLDCUP!BD58</f>
        <v>República Checa</v>
      </c>
      <c r="H341" s="9" t="str">
        <f ca="1">+WORLDCUP!BD64</f>
        <v>Bélgica</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Catar</v>
      </c>
      <c r="F342" s="9" t="str">
        <f ca="1">+WORLDCUP!BD58</f>
        <v>República Checa</v>
      </c>
      <c r="G342" s="9" t="str">
        <f ca="1">+WORLDCUP!BD66</f>
        <v>Noruega</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Austria</v>
      </c>
      <c r="E343" s="9" t="str">
        <f ca="1">+WORLDCUP!BD59</f>
        <v>Catar</v>
      </c>
      <c r="F343" s="9" t="str">
        <f ca="1">+WORLDCUP!BD61</f>
        <v>Turquía</v>
      </c>
      <c r="G343" s="9" t="str">
        <f ca="1">+WORLDCUP!BD58</f>
        <v>República Checa</v>
      </c>
      <c r="H343" s="9" t="str">
        <f ca="1">+WORLDCUP!BD64</f>
        <v>Bélgica</v>
      </c>
      <c r="I343" s="9" t="str">
        <f ca="1">+WORLDCUP!BD69</f>
        <v>Ghana</v>
      </c>
      <c r="J343" s="9" t="str">
        <f ca="1">+WORLDCUP!BD66</f>
        <v>Noruega</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Austria</v>
      </c>
      <c r="E344" s="9" t="str">
        <f ca="1">+WORLDCUP!BD59</f>
        <v>Catar</v>
      </c>
      <c r="F344" s="9" t="str">
        <f ca="1">+WORLDCUP!BD61</f>
        <v>Turquía</v>
      </c>
      <c r="G344" s="9" t="str">
        <f ca="1">+WORLDCUP!BD58</f>
        <v>República Checa</v>
      </c>
      <c r="H344" s="9" t="str">
        <f ca="1">+WORLDCUP!BD64</f>
        <v>Bélgica</v>
      </c>
      <c r="I344" s="9" t="str">
        <f ca="1">+WORLDCUP!BD66</f>
        <v>Noruega</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Catar</v>
      </c>
      <c r="F345" s="9" t="str">
        <f ca="1">+WORLDCUP!BD61</f>
        <v>Turquía</v>
      </c>
      <c r="G345" s="9" t="str">
        <f ca="1">+WORLDCUP!BD58</f>
        <v>República Checa</v>
      </c>
      <c r="H345" s="9" t="str">
        <f ca="1">+WORLDCUP!BD65</f>
        <v>España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Austria</v>
      </c>
      <c r="E346" s="9" t="str">
        <f ca="1">+WORLDCUP!BD59</f>
        <v>Catar</v>
      </c>
      <c r="F346" s="9" t="str">
        <f ca="1">+WORLDCUP!BD61</f>
        <v>Turquía</v>
      </c>
      <c r="G346" s="9" t="str">
        <f ca="1">+WORLDCUP!BD58</f>
        <v>República Checa</v>
      </c>
      <c r="H346" s="9" t="str">
        <f ca="1">+WORLDCUP!BD64</f>
        <v>Bélgica</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Austria</v>
      </c>
      <c r="E347" s="9" t="str">
        <f ca="1">+WORLDCUP!BD59</f>
        <v>Catar</v>
      </c>
      <c r="F347" s="9" t="str">
        <f ca="1">+WORLDCUP!BD61</f>
        <v>Turquía</v>
      </c>
      <c r="G347" s="9" t="str">
        <f ca="1">+WORLDCUP!BD58</f>
        <v>República Checa</v>
      </c>
      <c r="H347" s="9" t="str">
        <f ca="1">+WORLDCUP!BD64</f>
        <v>Bélgica</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Catar</v>
      </c>
      <c r="F348" s="9" t="str">
        <f ca="1">+WORLDCUP!BD61</f>
        <v>Turquía</v>
      </c>
      <c r="G348" s="9" t="str">
        <f ca="1">+WORLDCUP!BD58</f>
        <v>República Checa</v>
      </c>
      <c r="H348" s="9" t="str">
        <f ca="1">+WORLDCUP!BD65</f>
        <v>España</v>
      </c>
      <c r="I348" s="9" t="str">
        <f ca="1">+WORLDCUP!BD69</f>
        <v>Ghana</v>
      </c>
      <c r="J348" s="9" t="str">
        <f ca="1">+WORLDCUP!BD66</f>
        <v>Noruega</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Catar</v>
      </c>
      <c r="F349" s="9" t="str">
        <f ca="1">+WORLDCUP!BD61</f>
        <v>Turquía</v>
      </c>
      <c r="G349" s="9" t="str">
        <f ca="1">+WORLDCUP!BD58</f>
        <v>República Checa</v>
      </c>
      <c r="H349" s="9" t="str">
        <f ca="1">+WORLDCUP!BD65</f>
        <v>España</v>
      </c>
      <c r="I349" s="9" t="str">
        <f ca="1">+WORLDCUP!BD66</f>
        <v>Noruega</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Austria</v>
      </c>
      <c r="E350" s="9" t="str">
        <f ca="1">+WORLDCUP!BD59</f>
        <v>Catar</v>
      </c>
      <c r="F350" s="9" t="str">
        <f ca="1">+WORLDCUP!BD61</f>
        <v>Turquía</v>
      </c>
      <c r="G350" s="9" t="str">
        <f ca="1">+WORLDCUP!BD58</f>
        <v>República Checa</v>
      </c>
      <c r="H350" s="9" t="str">
        <f ca="1">+WORLDCUP!BD64</f>
        <v>Bélgica</v>
      </c>
      <c r="I350" s="9" t="str">
        <f ca="1">+WORLDCUP!BD62</f>
        <v>Ecuador</v>
      </c>
      <c r="J350" s="9" t="str">
        <f ca="1">+WORLDCUP!BD66</f>
        <v>Noruega</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Austria</v>
      </c>
      <c r="E351" s="9" t="str">
        <f ca="1">+WORLDCUP!BD59</f>
        <v>Catar</v>
      </c>
      <c r="F351" s="9" t="str">
        <f ca="1">+WORLDCUP!BD61</f>
        <v>Turquía</v>
      </c>
      <c r="G351" s="9" t="str">
        <f ca="1">+WORLDCUP!BD58</f>
        <v>República Checa</v>
      </c>
      <c r="H351" s="9" t="str">
        <f ca="1">+WORLDCUP!BD63</f>
        <v>Japón</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Noruega</v>
      </c>
      <c r="E352" s="9" t="str">
        <f ca="1">+WORLDCUP!BD59</f>
        <v>Catar</v>
      </c>
      <c r="F352" s="9" t="str">
        <f ca="1">+WORLDCUP!BD61</f>
        <v>Turquía</v>
      </c>
      <c r="G352" s="9" t="str">
        <f ca="1">+WORLDCUP!BD58</f>
        <v>República Checa</v>
      </c>
      <c r="H352" s="9" t="str">
        <f ca="1">+WORLDCUP!BD63</f>
        <v>Japón</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Austria</v>
      </c>
      <c r="E353" s="9" t="str">
        <f ca="1">+WORLDCUP!BD59</f>
        <v>Catar</v>
      </c>
      <c r="F353" s="9" t="str">
        <f ca="1">+WORLDCUP!BD61</f>
        <v>Turquía</v>
      </c>
      <c r="G353" s="9" t="str">
        <f ca="1">+WORLDCUP!BD58</f>
        <v>República Checa</v>
      </c>
      <c r="H353" s="9" t="str">
        <f ca="1">+WORLDCUP!BD63</f>
        <v>Japón</v>
      </c>
      <c r="I353" s="9" t="str">
        <f ca="1">+WORLDCUP!BD69</f>
        <v>Ghana</v>
      </c>
      <c r="J353" s="9" t="str">
        <f ca="1">+WORLDCUP!BD66</f>
        <v>Noruega</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Austria</v>
      </c>
      <c r="E354" s="9" t="str">
        <f ca="1">+WORLDCUP!BD59</f>
        <v>Catar</v>
      </c>
      <c r="F354" s="9" t="str">
        <f ca="1">+WORLDCUP!BD61</f>
        <v>Turquía</v>
      </c>
      <c r="G354" s="9" t="str">
        <f ca="1">+WORLDCUP!BD58</f>
        <v>República Checa</v>
      </c>
      <c r="H354" s="9" t="str">
        <f ca="1">+WORLDCUP!BD63</f>
        <v>Japón</v>
      </c>
      <c r="I354" s="9" t="str">
        <f ca="1">+WORLDCUP!BD66</f>
        <v>Noruega</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Austria</v>
      </c>
      <c r="E356" s="9" t="str">
        <f ca="1">+WORLDCUP!BD59</f>
        <v>Catar</v>
      </c>
      <c r="F356" s="9" t="str">
        <f ca="1">+WORLDCUP!BD61</f>
        <v>Turquía</v>
      </c>
      <c r="G356" s="9" t="str">
        <f ca="1">+WORLDCUP!BD58</f>
        <v>República Checa</v>
      </c>
      <c r="H356" s="9" t="str">
        <f ca="1">+WORLDCUP!BD63</f>
        <v>Japón</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Austria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Ghana</v>
      </c>
      <c r="J358" s="9" t="str">
        <f ca="1">+WORLDCUP!BD66</f>
        <v>Noruega</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Noruega</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Austria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Noruega</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Catar</v>
      </c>
      <c r="F361" s="9" t="str">
        <f ca="1">+WORLDCUP!BD61</f>
        <v>Turquía</v>
      </c>
      <c r="G361" s="9" t="str">
        <f ca="1">+WORLDCUP!BD58</f>
        <v>República Checa</v>
      </c>
      <c r="H361" s="9" t="str">
        <f ca="1">+WORLDCUP!BD63</f>
        <v>Japón</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Catar</v>
      </c>
      <c r="F362" s="9" t="str">
        <f ca="1">+WORLDCUP!BD61</f>
        <v>Turquía</v>
      </c>
      <c r="G362" s="9" t="str">
        <f ca="1">+WORLDCUP!BD58</f>
        <v>República Checa</v>
      </c>
      <c r="H362" s="9" t="str">
        <f ca="1">+WORLDCUP!BD63</f>
        <v>Japón</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Catar</v>
      </c>
      <c r="F363" s="9" t="str">
        <f ca="1">+WORLDCUP!BD61</f>
        <v>Turquía</v>
      </c>
      <c r="G363" s="9" t="str">
        <f ca="1">+WORLDCUP!BD58</f>
        <v>República Checa</v>
      </c>
      <c r="H363" s="9" t="str">
        <f ca="1">+WORLDCUP!BD63</f>
        <v>Japón</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Catar</v>
      </c>
      <c r="F364" s="9" t="str">
        <f ca="1">+WORLDCUP!BD61</f>
        <v>Turquía</v>
      </c>
      <c r="G364" s="9" t="str">
        <f ca="1">+WORLDCUP!BD58</f>
        <v>República Checa</v>
      </c>
      <c r="H364" s="9" t="str">
        <f ca="1">+WORLDCUP!BD63</f>
        <v>Japón</v>
      </c>
      <c r="I364" s="9" t="str">
        <f ca="1">+WORLDCUP!BD69</f>
        <v>Ghana</v>
      </c>
      <c r="J364" s="9" t="str">
        <f ca="1">+WORLDCUP!BD66</f>
        <v>Noruega</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Catar</v>
      </c>
      <c r="F365" s="9" t="str">
        <f ca="1">+WORLDCUP!BD61</f>
        <v>Turquía</v>
      </c>
      <c r="G365" s="9" t="str">
        <f ca="1">+WORLDCUP!BD58</f>
        <v>República Checa</v>
      </c>
      <c r="H365" s="9" t="str">
        <f ca="1">+WORLDCUP!BD63</f>
        <v>Japón</v>
      </c>
      <c r="I365" s="9" t="str">
        <f ca="1">+WORLDCUP!BD66</f>
        <v>Noruega</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Catar</v>
      </c>
      <c r="F366" s="9" t="str">
        <f ca="1">+WORLDCUP!BD61</f>
        <v>Turquía</v>
      </c>
      <c r="G366" s="9" t="str">
        <f ca="1">+WORLDCUP!BD58</f>
        <v>República Checa</v>
      </c>
      <c r="H366" s="9" t="str">
        <f ca="1">+WORLDCUP!BD63</f>
        <v>Japón</v>
      </c>
      <c r="I366" s="9" t="str">
        <f ca="1">+WORLDCUP!BD66</f>
        <v>Noruega</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Catar</v>
      </c>
      <c r="F367" s="9" t="str">
        <f ca="1">+WORLDCUP!BD61</f>
        <v>Turquía</v>
      </c>
      <c r="G367" s="9" t="str">
        <f ca="1">+WORLDCUP!BD58</f>
        <v>República Checa</v>
      </c>
      <c r="H367" s="9" t="str">
        <f ca="1">+WORLDCUP!BD63</f>
        <v>Japón</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Noruega</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Noruega</v>
      </c>
      <c r="D371" s="9" t="str">
        <f ca="1">+WORLDCUP!BD67</f>
        <v>Austria</v>
      </c>
      <c r="E371" s="9" t="str">
        <f ca="1">+WORLDCUP!BD59</f>
        <v>Catar</v>
      </c>
      <c r="F371" s="9" t="str">
        <f ca="1">+WORLDCUP!BD60</f>
        <v>Marruecos</v>
      </c>
      <c r="G371" s="9" t="str">
        <f ca="1">+WORLDCUP!BD58</f>
        <v>República Checa</v>
      </c>
      <c r="H371" s="9" t="str">
        <f ca="1">+WORLDCUP!BD65</f>
        <v>España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Noruega</v>
      </c>
      <c r="D372" s="9" t="str">
        <f ca="1">+WORLDCUP!BD67</f>
        <v>Austria</v>
      </c>
      <c r="E372" s="9" t="str">
        <f ca="1">+WORLDCUP!BD59</f>
        <v>Catar</v>
      </c>
      <c r="F372" s="9" t="str">
        <f ca="1">+WORLDCUP!BD60</f>
        <v>Marruecos</v>
      </c>
      <c r="G372" s="9" t="str">
        <f ca="1">+WORLDCUP!BD58</f>
        <v>República Checa</v>
      </c>
      <c r="H372" s="9" t="str">
        <f ca="1">+WORLDCUP!BD64</f>
        <v>Bélgica</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Austria</v>
      </c>
      <c r="E373" s="9" t="str">
        <f ca="1">+WORLDCUP!BD59</f>
        <v>Catar</v>
      </c>
      <c r="F373" s="9" t="str">
        <f ca="1">+WORLDCUP!BD60</f>
        <v>Marruecos</v>
      </c>
      <c r="G373" s="9" t="str">
        <f ca="1">+WORLDCUP!BD58</f>
        <v>República Checa</v>
      </c>
      <c r="H373" s="9" t="str">
        <f ca="1">+WORLDCUP!BD64</f>
        <v>Bélgica</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Noruega</v>
      </c>
      <c r="D374" s="9" t="str">
        <f ca="1">+WORLDCUP!BD64</f>
        <v>Bélgica</v>
      </c>
      <c r="E374" s="9" t="str">
        <f ca="1">+WORLDCUP!BD59</f>
        <v>Catar</v>
      </c>
      <c r="F374" s="9" t="str">
        <f ca="1">+WORLDCUP!BD60</f>
        <v>Marruecos</v>
      </c>
      <c r="G374" s="9" t="str">
        <f ca="1">+WORLDCUP!BD58</f>
        <v>República Checa</v>
      </c>
      <c r="H374" s="9" t="str">
        <f ca="1">+WORLDCUP!BD65</f>
        <v>España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Austria</v>
      </c>
      <c r="E375" s="9" t="str">
        <f ca="1">+WORLDCUP!BD59</f>
        <v>Catar</v>
      </c>
      <c r="F375" s="9" t="str">
        <f ca="1">+WORLDCUP!BD60</f>
        <v>Marruecos</v>
      </c>
      <c r="G375" s="9" t="str">
        <f ca="1">+WORLDCUP!BD58</f>
        <v>República Checa</v>
      </c>
      <c r="H375" s="9" t="str">
        <f ca="1">+WORLDCUP!BD64</f>
        <v>Bélgica</v>
      </c>
      <c r="I375" s="9" t="str">
        <f ca="1">+WORLDCUP!BD69</f>
        <v>Ghana</v>
      </c>
      <c r="J375" s="9" t="str">
        <f ca="1">+WORLDCUP!BD66</f>
        <v>Noruega</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Austria</v>
      </c>
      <c r="E376" s="9" t="str">
        <f ca="1">+WORLDCUP!BD59</f>
        <v>Catar</v>
      </c>
      <c r="F376" s="9" t="str">
        <f ca="1">+WORLDCUP!BD60</f>
        <v>Marruecos</v>
      </c>
      <c r="G376" s="9" t="str">
        <f ca="1">+WORLDCUP!BD58</f>
        <v>República Checa</v>
      </c>
      <c r="H376" s="9" t="str">
        <f ca="1">+WORLDCUP!BD64</f>
        <v>Bélgica</v>
      </c>
      <c r="I376" s="9" t="str">
        <f ca="1">+WORLDCUP!BD66</f>
        <v>Noruega</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Noruega</v>
      </c>
      <c r="D377" s="9" t="str">
        <f ca="1">+WORLDCUP!BD67</f>
        <v>Austria</v>
      </c>
      <c r="E377" s="9" t="str">
        <f ca="1">+WORLDCUP!BD59</f>
        <v>Catar</v>
      </c>
      <c r="F377" s="9" t="str">
        <f ca="1">+WORLDCUP!BD60</f>
        <v>Marruecos</v>
      </c>
      <c r="G377" s="9" t="str">
        <f ca="1">+WORLDCUP!BD58</f>
        <v>República Checa</v>
      </c>
      <c r="H377" s="9" t="str">
        <f ca="1">+WORLDCUP!BD63</f>
        <v>Japón</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Austria</v>
      </c>
      <c r="E378" s="9" t="str">
        <f ca="1">+WORLDCUP!BD59</f>
        <v>Catar</v>
      </c>
      <c r="F378" s="9" t="str">
        <f ca="1">+WORLDCUP!BD60</f>
        <v>Marruecos</v>
      </c>
      <c r="G378" s="9" t="str">
        <f ca="1">+WORLDCUP!BD58</f>
        <v>República Checa</v>
      </c>
      <c r="H378" s="9" t="str">
        <f ca="1">+WORLDCUP!BD63</f>
        <v>Japón</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Noruega</v>
      </c>
      <c r="E379" s="9" t="str">
        <f ca="1">+WORLDCUP!BD59</f>
        <v>Catar</v>
      </c>
      <c r="F379" s="9" t="str">
        <f ca="1">+WORLDCUP!BD60</f>
        <v>Marruecos</v>
      </c>
      <c r="G379" s="9" t="str">
        <f ca="1">+WORLDCUP!BD58</f>
        <v>República Checa</v>
      </c>
      <c r="H379" s="9" t="str">
        <f ca="1">+WORLDCUP!BD63</f>
        <v>Japón</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Austria</v>
      </c>
      <c r="E380" s="9" t="str">
        <f ca="1">+WORLDCUP!BD59</f>
        <v>Catar</v>
      </c>
      <c r="F380" s="9" t="str">
        <f ca="1">+WORLDCUP!BD60</f>
        <v>Marruecos</v>
      </c>
      <c r="G380" s="9" t="str">
        <f ca="1">+WORLDCUP!BD58</f>
        <v>República Checa</v>
      </c>
      <c r="H380" s="9" t="str">
        <f ca="1">+WORLDCUP!BD63</f>
        <v>Japón</v>
      </c>
      <c r="I380" s="9" t="str">
        <f ca="1">+WORLDCUP!BD69</f>
        <v>Ghana</v>
      </c>
      <c r="J380" s="9" t="str">
        <f ca="1">+WORLDCUP!BD66</f>
        <v>Noruega</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Austria</v>
      </c>
      <c r="E381" s="9" t="str">
        <f ca="1">+WORLDCUP!BD59</f>
        <v>Catar</v>
      </c>
      <c r="F381" s="9" t="str">
        <f ca="1">+WORLDCUP!BD60</f>
        <v>Marruecos</v>
      </c>
      <c r="G381" s="9" t="str">
        <f ca="1">+WORLDCUP!BD58</f>
        <v>República Checa</v>
      </c>
      <c r="H381" s="9" t="str">
        <f ca="1">+WORLDCUP!BD63</f>
        <v>Japón</v>
      </c>
      <c r="I381" s="9" t="str">
        <f ca="1">+WORLDCUP!BD66</f>
        <v>Noruega</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Austria</v>
      </c>
      <c r="E382" s="9" t="str">
        <f ca="1">+WORLDCUP!BD59</f>
        <v>Catar</v>
      </c>
      <c r="F382" s="9" t="str">
        <f ca="1">+WORLDCUP!BD63</f>
        <v>Japón</v>
      </c>
      <c r="G382" s="9" t="str">
        <f ca="1">+WORLDCUP!BD58</f>
        <v>República Checa</v>
      </c>
      <c r="H382" s="9" t="str">
        <f ca="1">+WORLDCUP!BD64</f>
        <v>Bélgica</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Noruega</v>
      </c>
      <c r="D383" s="9" t="str">
        <f ca="1">+WORLDCUP!BD64</f>
        <v>Bélgica</v>
      </c>
      <c r="E383" s="9" t="str">
        <f ca="1">+WORLDCUP!BD59</f>
        <v>Catar</v>
      </c>
      <c r="F383" s="9" t="str">
        <f ca="1">+WORLDCUP!BD60</f>
        <v>Marruecos</v>
      </c>
      <c r="G383" s="9" t="str">
        <f ca="1">+WORLDCUP!BD58</f>
        <v>República Checa</v>
      </c>
      <c r="H383" s="9" t="str">
        <f ca="1">+WORLDCUP!BD63</f>
        <v>Japón</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Austria</v>
      </c>
      <c r="E384" s="9" t="str">
        <f ca="1">+WORLDCUP!BD59</f>
        <v>Catar</v>
      </c>
      <c r="F384" s="9" t="str">
        <f ca="1">+WORLDCUP!BD63</f>
        <v>Japón</v>
      </c>
      <c r="G384" s="9" t="str">
        <f ca="1">+WORLDCUP!BD58</f>
        <v>República Checa</v>
      </c>
      <c r="H384" s="9" t="str">
        <f ca="1">+WORLDCUP!BD64</f>
        <v>Bélgica</v>
      </c>
      <c r="I384" s="9" t="str">
        <f ca="1">+WORLDCUP!BD69</f>
        <v>Ghana</v>
      </c>
      <c r="J384" s="9" t="str">
        <f ca="1">+WORLDCUP!BD66</f>
        <v>Noruega</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Austria</v>
      </c>
      <c r="E385" s="9" t="str">
        <f ca="1">+WORLDCUP!BD59</f>
        <v>Catar</v>
      </c>
      <c r="F385" s="9" t="str">
        <f ca="1">+WORLDCUP!BD63</f>
        <v>Japón</v>
      </c>
      <c r="G385" s="9" t="str">
        <f ca="1">+WORLDCUP!BD58</f>
        <v>República Checa</v>
      </c>
      <c r="H385" s="9" t="str">
        <f ca="1">+WORLDCUP!BD64</f>
        <v>Bélgica</v>
      </c>
      <c r="I385" s="9" t="str">
        <f ca="1">+WORLDCUP!BD66</f>
        <v>Noruega</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Catar</v>
      </c>
      <c r="F386" s="9" t="str">
        <f ca="1">+WORLDCUP!BD60</f>
        <v>Marruecos</v>
      </c>
      <c r="G386" s="9" t="str">
        <f ca="1">+WORLDCUP!BD58</f>
        <v>República Checa</v>
      </c>
      <c r="H386" s="9" t="str">
        <f ca="1">+WORLDCUP!BD63</f>
        <v>Japón</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Catar</v>
      </c>
      <c r="F387" s="9" t="str">
        <f ca="1">+WORLDCUP!BD60</f>
        <v>Marruecos</v>
      </c>
      <c r="G387" s="9" t="str">
        <f ca="1">+WORLDCUP!BD58</f>
        <v>República Checa</v>
      </c>
      <c r="H387" s="9" t="str">
        <f ca="1">+WORLDCUP!BD63</f>
        <v>Japón</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Catar</v>
      </c>
      <c r="F388" s="9" t="str">
        <f ca="1">+WORLDCUP!BD60</f>
        <v>Marruecos</v>
      </c>
      <c r="G388" s="9" t="str">
        <f ca="1">+WORLDCUP!BD58</f>
        <v>República Checa</v>
      </c>
      <c r="H388" s="9" t="str">
        <f ca="1">+WORLDCUP!BD63</f>
        <v>Japón</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Catar</v>
      </c>
      <c r="F389" s="9" t="str">
        <f ca="1">+WORLDCUP!BD60</f>
        <v>Marruecos</v>
      </c>
      <c r="G389" s="9" t="str">
        <f ca="1">+WORLDCUP!BD58</f>
        <v>República Checa</v>
      </c>
      <c r="H389" s="9" t="str">
        <f ca="1">+WORLDCUP!BD63</f>
        <v>Japón</v>
      </c>
      <c r="I389" s="9" t="str">
        <f ca="1">+WORLDCUP!BD69</f>
        <v>Ghana</v>
      </c>
      <c r="J389" s="9" t="str">
        <f ca="1">+WORLDCUP!BD66</f>
        <v>Noruega</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Catar</v>
      </c>
      <c r="F390" s="9" t="str">
        <f ca="1">+WORLDCUP!BD60</f>
        <v>Marruecos</v>
      </c>
      <c r="G390" s="9" t="str">
        <f ca="1">+WORLDCUP!BD58</f>
        <v>República Checa</v>
      </c>
      <c r="H390" s="9" t="str">
        <f ca="1">+WORLDCUP!BD63</f>
        <v>Japón</v>
      </c>
      <c r="I390" s="9" t="str">
        <f ca="1">+WORLDCUP!BD66</f>
        <v>Noruega</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Catar</v>
      </c>
      <c r="F391" s="9" t="str">
        <f ca="1">+WORLDCUP!BD60</f>
        <v>Marruecos</v>
      </c>
      <c r="G391" s="9" t="str">
        <f ca="1">+WORLDCUP!BD58</f>
        <v>República Checa</v>
      </c>
      <c r="H391" s="9" t="str">
        <f ca="1">+WORLDCUP!BD63</f>
        <v>Japón</v>
      </c>
      <c r="I391" s="9" t="str">
        <f ca="1">+WORLDCUP!BD66</f>
        <v>Noruega</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Austria</v>
      </c>
      <c r="E392" s="9" t="str">
        <f ca="1">+WORLDCUP!BD59</f>
        <v>Catar</v>
      </c>
      <c r="F392" s="9" t="str">
        <f ca="1">+WORLDCUP!BD58</f>
        <v>República Checa</v>
      </c>
      <c r="G392" s="9" t="str">
        <f ca="1">+WORLDCUP!BD66</f>
        <v>Noruega</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Austria</v>
      </c>
      <c r="E393" s="9" t="str">
        <f ca="1">+WORLDCUP!BD59</f>
        <v>Catar</v>
      </c>
      <c r="F393" s="9" t="str">
        <f ca="1">+WORLDCUP!BD60</f>
        <v>Marruecos</v>
      </c>
      <c r="G393" s="9" t="str">
        <f ca="1">+WORLDCUP!BD58</f>
        <v>República Checa</v>
      </c>
      <c r="H393" s="9" t="str">
        <f ca="1">+WORLDCUP!BD65</f>
        <v>España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Noruega</v>
      </c>
      <c r="E394" s="9" t="str">
        <f ca="1">+WORLDCUP!BD59</f>
        <v>Catar</v>
      </c>
      <c r="F394" s="9" t="str">
        <f ca="1">+WORLDCUP!BD60</f>
        <v>Marruecos</v>
      </c>
      <c r="G394" s="9" t="str">
        <f ca="1">+WORLDCUP!BD58</f>
        <v>República Checa</v>
      </c>
      <c r="H394" s="9" t="str">
        <f ca="1">+WORLDCUP!BD65</f>
        <v>España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Austria</v>
      </c>
      <c r="E395" s="9" t="str">
        <f ca="1">+WORLDCUP!BD59</f>
        <v>Catar</v>
      </c>
      <c r="F395" s="9" t="str">
        <f ca="1">+WORLDCUP!BD60</f>
        <v>Marruecos</v>
      </c>
      <c r="G395" s="9" t="str">
        <f ca="1">+WORLDCUP!BD58</f>
        <v>República Checa</v>
      </c>
      <c r="H395" s="9" t="str">
        <f ca="1">+WORLDCUP!BD65</f>
        <v>España</v>
      </c>
      <c r="I395" s="9" t="str">
        <f ca="1">+WORLDCUP!BD69</f>
        <v>Ghana</v>
      </c>
      <c r="J395" s="9" t="str">
        <f ca="1">+WORLDCUP!BD66</f>
        <v>Noruega</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Austria</v>
      </c>
      <c r="E396" s="9" t="str">
        <f ca="1">+WORLDCUP!BD59</f>
        <v>Catar</v>
      </c>
      <c r="F396" s="9" t="str">
        <f ca="1">+WORLDCUP!BD60</f>
        <v>Marruecos</v>
      </c>
      <c r="G396" s="9" t="str">
        <f ca="1">+WORLDCUP!BD58</f>
        <v>República Checa</v>
      </c>
      <c r="H396" s="9" t="str">
        <f ca="1">+WORLDCUP!BD65</f>
        <v>España</v>
      </c>
      <c r="I396" s="9" t="str">
        <f ca="1">+WORLDCUP!BD66</f>
        <v>Noruega</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Austria</v>
      </c>
      <c r="E397" s="9" t="str">
        <f ca="1">+WORLDCUP!BD59</f>
        <v>Catar</v>
      </c>
      <c r="F397" s="9" t="str">
        <f ca="1">+WORLDCUP!BD60</f>
        <v>Marruecos</v>
      </c>
      <c r="G397" s="9" t="str">
        <f ca="1">+WORLDCUP!BD58</f>
        <v>República Checa</v>
      </c>
      <c r="H397" s="9" t="str">
        <f ca="1">+WORLDCUP!BD64</f>
        <v>Bélgica</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Catar</v>
      </c>
      <c r="F398" s="9" t="str">
        <f ca="1">+WORLDCUP!BD58</f>
        <v>República Checa</v>
      </c>
      <c r="G398" s="9" t="str">
        <f ca="1">+WORLDCUP!BD66</f>
        <v>Noruega</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Austria</v>
      </c>
      <c r="E399" s="9" t="str">
        <f ca="1">+WORLDCUP!BD59</f>
        <v>Catar</v>
      </c>
      <c r="F399" s="9" t="str">
        <f ca="1">+WORLDCUP!BD60</f>
        <v>Marruecos</v>
      </c>
      <c r="G399" s="9" t="str">
        <f ca="1">+WORLDCUP!BD58</f>
        <v>República Checa</v>
      </c>
      <c r="H399" s="9" t="str">
        <f ca="1">+WORLDCUP!BD64</f>
        <v>Bélgica</v>
      </c>
      <c r="I399" s="9" t="str">
        <f ca="1">+WORLDCUP!BD69</f>
        <v>Ghana</v>
      </c>
      <c r="J399" s="9" t="str">
        <f ca="1">+WORLDCUP!BD66</f>
        <v>Noruega</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Austria</v>
      </c>
      <c r="E400" s="9" t="str">
        <f ca="1">+WORLDCUP!BD59</f>
        <v>Catar</v>
      </c>
      <c r="F400" s="9" t="str">
        <f ca="1">+WORLDCUP!BD60</f>
        <v>Marruecos</v>
      </c>
      <c r="G400" s="9" t="str">
        <f ca="1">+WORLDCUP!BD58</f>
        <v>República Checa</v>
      </c>
      <c r="H400" s="9" t="str">
        <f ca="1">+WORLDCUP!BD64</f>
        <v>Bélgica</v>
      </c>
      <c r="I400" s="9" t="str">
        <f ca="1">+WORLDCUP!BD66</f>
        <v>Noruega</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Catar</v>
      </c>
      <c r="F401" s="9" t="str">
        <f ca="1">+WORLDCUP!BD60</f>
        <v>Marruecos</v>
      </c>
      <c r="G401" s="9" t="str">
        <f ca="1">+WORLDCUP!BD58</f>
        <v>República Checa</v>
      </c>
      <c r="H401" s="9" t="str">
        <f ca="1">+WORLDCUP!BD65</f>
        <v>España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Austria</v>
      </c>
      <c r="E402" s="9" t="str">
        <f ca="1">+WORLDCUP!BD59</f>
        <v>Catar</v>
      </c>
      <c r="F402" s="9" t="str">
        <f ca="1">+WORLDCUP!BD60</f>
        <v>Marruecos</v>
      </c>
      <c r="G402" s="9" t="str">
        <f ca="1">+WORLDCUP!BD58</f>
        <v>República Checa</v>
      </c>
      <c r="H402" s="9" t="str">
        <f ca="1">+WORLDCUP!BD64</f>
        <v>Bélgica</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Austria</v>
      </c>
      <c r="E403" s="9" t="str">
        <f ca="1">+WORLDCUP!BD59</f>
        <v>Catar</v>
      </c>
      <c r="F403" s="9" t="str">
        <f ca="1">+WORLDCUP!BD60</f>
        <v>Marruecos</v>
      </c>
      <c r="G403" s="9" t="str">
        <f ca="1">+WORLDCUP!BD58</f>
        <v>República Checa</v>
      </c>
      <c r="H403" s="9" t="str">
        <f ca="1">+WORLDCUP!BD64</f>
        <v>Bélgica</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Catar</v>
      </c>
      <c r="F404" s="9" t="str">
        <f ca="1">+WORLDCUP!BD60</f>
        <v>Marruecos</v>
      </c>
      <c r="G404" s="9" t="str">
        <f ca="1">+WORLDCUP!BD58</f>
        <v>República Checa</v>
      </c>
      <c r="H404" s="9" t="str">
        <f ca="1">+WORLDCUP!BD65</f>
        <v>España</v>
      </c>
      <c r="I404" s="9" t="str">
        <f ca="1">+WORLDCUP!BD69</f>
        <v>Ghana</v>
      </c>
      <c r="J404" s="9" t="str">
        <f ca="1">+WORLDCUP!BD66</f>
        <v>Noruega</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Catar</v>
      </c>
      <c r="F405" s="9" t="str">
        <f ca="1">+WORLDCUP!BD60</f>
        <v>Marruecos</v>
      </c>
      <c r="G405" s="9" t="str">
        <f ca="1">+WORLDCUP!BD58</f>
        <v>República Checa</v>
      </c>
      <c r="H405" s="9" t="str">
        <f ca="1">+WORLDCUP!BD65</f>
        <v>España</v>
      </c>
      <c r="I405" s="9" t="str">
        <f ca="1">+WORLDCUP!BD66</f>
        <v>Noruega</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Austria</v>
      </c>
      <c r="E406" s="9" t="str">
        <f ca="1">+WORLDCUP!BD59</f>
        <v>Catar</v>
      </c>
      <c r="F406" s="9" t="str">
        <f ca="1">+WORLDCUP!BD60</f>
        <v>Marruecos</v>
      </c>
      <c r="G406" s="9" t="str">
        <f ca="1">+WORLDCUP!BD58</f>
        <v>República Checa</v>
      </c>
      <c r="H406" s="9" t="str">
        <f ca="1">+WORLDCUP!BD64</f>
        <v>Bélgica</v>
      </c>
      <c r="I406" s="9" t="str">
        <f ca="1">+WORLDCUP!BD62</f>
        <v>Ecuador</v>
      </c>
      <c r="J406" s="9" t="str">
        <f ca="1">+WORLDCUP!BD66</f>
        <v>Noruega</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Austria</v>
      </c>
      <c r="E407" s="9" t="str">
        <f ca="1">+WORLDCUP!BD59</f>
        <v>Catar</v>
      </c>
      <c r="F407" s="9" t="str">
        <f ca="1">+WORLDCUP!BD60</f>
        <v>Marruecos</v>
      </c>
      <c r="G407" s="9" t="str">
        <f ca="1">+WORLDCUP!BD58</f>
        <v>República Checa</v>
      </c>
      <c r="H407" s="9" t="str">
        <f ca="1">+WORLDCUP!BD63</f>
        <v>Japón</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Noruega</v>
      </c>
      <c r="E408" s="9" t="str">
        <f ca="1">+WORLDCUP!BD59</f>
        <v>Catar</v>
      </c>
      <c r="F408" s="9" t="str">
        <f ca="1">+WORLDCUP!BD60</f>
        <v>Marruecos</v>
      </c>
      <c r="G408" s="9" t="str">
        <f ca="1">+WORLDCUP!BD58</f>
        <v>República Checa</v>
      </c>
      <c r="H408" s="9" t="str">
        <f ca="1">+WORLDCUP!BD63</f>
        <v>Japón</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Austria</v>
      </c>
      <c r="E409" s="9" t="str">
        <f ca="1">+WORLDCUP!BD59</f>
        <v>Catar</v>
      </c>
      <c r="F409" s="9" t="str">
        <f ca="1">+WORLDCUP!BD60</f>
        <v>Marruecos</v>
      </c>
      <c r="G409" s="9" t="str">
        <f ca="1">+WORLDCUP!BD58</f>
        <v>República Checa</v>
      </c>
      <c r="H409" s="9" t="str">
        <f ca="1">+WORLDCUP!BD63</f>
        <v>Japón</v>
      </c>
      <c r="I409" s="9" t="str">
        <f ca="1">+WORLDCUP!BD69</f>
        <v>Ghana</v>
      </c>
      <c r="J409" s="9" t="str">
        <f ca="1">+WORLDCUP!BD66</f>
        <v>Noruega</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Austria</v>
      </c>
      <c r="E410" s="9" t="str">
        <f ca="1">+WORLDCUP!BD59</f>
        <v>Catar</v>
      </c>
      <c r="F410" s="9" t="str">
        <f ca="1">+WORLDCUP!BD60</f>
        <v>Marruecos</v>
      </c>
      <c r="G410" s="9" t="str">
        <f ca="1">+WORLDCUP!BD58</f>
        <v>República Checa</v>
      </c>
      <c r="H410" s="9" t="str">
        <f ca="1">+WORLDCUP!BD63</f>
        <v>Japón</v>
      </c>
      <c r="I410" s="9" t="str">
        <f ca="1">+WORLDCUP!BD66</f>
        <v>Noruega</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Austria</v>
      </c>
      <c r="E412" s="9" t="str">
        <f ca="1">+WORLDCUP!BD59</f>
        <v>Catar</v>
      </c>
      <c r="F412" s="9" t="str">
        <f ca="1">+WORLDCUP!BD60</f>
        <v>Marruecos</v>
      </c>
      <c r="G412" s="9" t="str">
        <f ca="1">+WORLDCUP!BD58</f>
        <v>República Checa</v>
      </c>
      <c r="H412" s="9" t="str">
        <f ca="1">+WORLDCUP!BD63</f>
        <v>Japón</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Austria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Ghana</v>
      </c>
      <c r="J414" s="9" t="str">
        <f ca="1">+WORLDCUP!BD66</f>
        <v>Noruega</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Noruega</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Austria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Noruega</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Catar</v>
      </c>
      <c r="F417" s="9" t="str">
        <f ca="1">+WORLDCUP!BD60</f>
        <v>Marruecos</v>
      </c>
      <c r="G417" s="9" t="str">
        <f ca="1">+WORLDCUP!BD58</f>
        <v>República Checa</v>
      </c>
      <c r="H417" s="9" t="str">
        <f ca="1">+WORLDCUP!BD63</f>
        <v>Japón</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Catar</v>
      </c>
      <c r="F418" s="9" t="str">
        <f ca="1">+WORLDCUP!BD60</f>
        <v>Marruecos</v>
      </c>
      <c r="G418" s="9" t="str">
        <f ca="1">+WORLDCUP!BD58</f>
        <v>República Checa</v>
      </c>
      <c r="H418" s="9" t="str">
        <f ca="1">+WORLDCUP!BD63</f>
        <v>Japón</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Catar</v>
      </c>
      <c r="F419" s="9" t="str">
        <f ca="1">+WORLDCUP!BD60</f>
        <v>Marruecos</v>
      </c>
      <c r="G419" s="9" t="str">
        <f ca="1">+WORLDCUP!BD58</f>
        <v>República Checa</v>
      </c>
      <c r="H419" s="9" t="str">
        <f ca="1">+WORLDCUP!BD63</f>
        <v>Japón</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Catar</v>
      </c>
      <c r="F420" s="9" t="str">
        <f ca="1">+WORLDCUP!BD60</f>
        <v>Marruecos</v>
      </c>
      <c r="G420" s="9" t="str">
        <f ca="1">+WORLDCUP!BD58</f>
        <v>República Checa</v>
      </c>
      <c r="H420" s="9" t="str">
        <f ca="1">+WORLDCUP!BD63</f>
        <v>Japón</v>
      </c>
      <c r="I420" s="9" t="str">
        <f ca="1">+WORLDCUP!BD69</f>
        <v>Ghana</v>
      </c>
      <c r="J420" s="9" t="str">
        <f ca="1">+WORLDCUP!BD66</f>
        <v>Noruega</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Catar</v>
      </c>
      <c r="F421" s="9" t="str">
        <f ca="1">+WORLDCUP!BD60</f>
        <v>Marruecos</v>
      </c>
      <c r="G421" s="9" t="str">
        <f ca="1">+WORLDCUP!BD58</f>
        <v>República Checa</v>
      </c>
      <c r="H421" s="9" t="str">
        <f ca="1">+WORLDCUP!BD63</f>
        <v>Japón</v>
      </c>
      <c r="I421" s="9" t="str">
        <f ca="1">+WORLDCUP!BD66</f>
        <v>Noruega</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Catar</v>
      </c>
      <c r="F422" s="9" t="str">
        <f ca="1">+WORLDCUP!BD60</f>
        <v>Marruecos</v>
      </c>
      <c r="G422" s="9" t="str">
        <f ca="1">+WORLDCUP!BD58</f>
        <v>República Checa</v>
      </c>
      <c r="H422" s="9" t="str">
        <f ca="1">+WORLDCUP!BD63</f>
        <v>Japón</v>
      </c>
      <c r="I422" s="9" t="str">
        <f ca="1">+WORLDCUP!BD66</f>
        <v>Noruega</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Catar</v>
      </c>
      <c r="F423" s="9" t="str">
        <f ca="1">+WORLDCUP!BD60</f>
        <v>Marruecos</v>
      </c>
      <c r="G423" s="9" t="str">
        <f ca="1">+WORLDCUP!BD58</f>
        <v>República Checa</v>
      </c>
      <c r="H423" s="9" t="str">
        <f ca="1">+WORLDCUP!BD63</f>
        <v>Japón</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España</v>
      </c>
      <c r="D424" s="9" t="str">
        <f ca="1">+WORLDCUP!BD64</f>
        <v>Bélgica</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Noruega</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Noruega</v>
      </c>
      <c r="D427" s="9" t="str">
        <f ca="1">+WORLDCUP!BD67</f>
        <v>Austria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Austria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Noruega</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Austria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Noruega</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Austria</v>
      </c>
      <c r="E431" s="9" t="str">
        <f ca="1">+WORLDCUP!BD59</f>
        <v>Catar</v>
      </c>
      <c r="F431" s="9" t="str">
        <f ca="1">+WORLDCUP!BD60</f>
        <v>Marruecos</v>
      </c>
      <c r="G431" s="9" t="str">
        <f ca="1">+WORLDCUP!BD58</f>
        <v>República Checa</v>
      </c>
      <c r="H431" s="9" t="str">
        <f ca="1">+WORLDCUP!BD61</f>
        <v>Turquía</v>
      </c>
      <c r="I431" s="9" t="str">
        <f ca="1">+WORLDCUP!BD66</f>
        <v>Noruega</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Austria</v>
      </c>
      <c r="E432" s="9" t="str">
        <f ca="1">+WORLDCUP!BD59</f>
        <v>Catar</v>
      </c>
      <c r="F432" s="9" t="str">
        <f ca="1">+WORLDCUP!BD61</f>
        <v>Turquía</v>
      </c>
      <c r="G432" s="9" t="str">
        <f ca="1">+WORLDCUP!BD58</f>
        <v>República Checa</v>
      </c>
      <c r="H432" s="9" t="str">
        <f ca="1">+WORLDCUP!BD64</f>
        <v>Bélgica</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Noruega</v>
      </c>
      <c r="D433" s="9" t="str">
        <f ca="1">+WORLDCUP!BD64</f>
        <v>Bélgica</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Austria</v>
      </c>
      <c r="E434" s="9" t="str">
        <f ca="1">+WORLDCUP!BD59</f>
        <v>Catar</v>
      </c>
      <c r="F434" s="9" t="str">
        <f ca="1">+WORLDCUP!BD61</f>
        <v>Turquía</v>
      </c>
      <c r="G434" s="9" t="str">
        <f ca="1">+WORLDCUP!BD58</f>
        <v>República Checa</v>
      </c>
      <c r="H434" s="9" t="str">
        <f ca="1">+WORLDCUP!BD64</f>
        <v>Bélgica</v>
      </c>
      <c r="I434" s="9" t="str">
        <f ca="1">+WORLDCUP!BD69</f>
        <v>Ghana</v>
      </c>
      <c r="J434" s="9" t="str">
        <f ca="1">+WORLDCUP!BD66</f>
        <v>Noruega</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Austria</v>
      </c>
      <c r="E435" s="9" t="str">
        <f ca="1">+WORLDCUP!BD59</f>
        <v>Catar</v>
      </c>
      <c r="F435" s="9" t="str">
        <f ca="1">+WORLDCUP!BD61</f>
        <v>Turquía</v>
      </c>
      <c r="G435" s="9" t="str">
        <f ca="1">+WORLDCUP!BD58</f>
        <v>República Checa</v>
      </c>
      <c r="H435" s="9" t="str">
        <f ca="1">+WORLDCUP!BD64</f>
        <v>Bélgica</v>
      </c>
      <c r="I435" s="9" t="str">
        <f ca="1">+WORLDCUP!BD66</f>
        <v>Noruega</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Catar</v>
      </c>
      <c r="F438" s="9" t="str">
        <f ca="1">+WORLDCUP!BD60</f>
        <v>Marruecos</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Noruega</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Catar</v>
      </c>
      <c r="F440" s="9" t="str">
        <f ca="1">+WORLDCUP!BD60</f>
        <v>Marruecos</v>
      </c>
      <c r="G440" s="9" t="str">
        <f ca="1">+WORLDCUP!BD58</f>
        <v>República Checa</v>
      </c>
      <c r="H440" s="9" t="str">
        <f ca="1">+WORLDCUP!BD61</f>
        <v>Turquía</v>
      </c>
      <c r="I440" s="9" t="str">
        <f ca="1">+WORLDCUP!BD66</f>
        <v>Noruega</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Catar</v>
      </c>
      <c r="F441" s="9" t="str">
        <f ca="1">+WORLDCUP!BD60</f>
        <v>Marruecos</v>
      </c>
      <c r="G441" s="9" t="str">
        <f ca="1">+WORLDCUP!BD58</f>
        <v>República Checa</v>
      </c>
      <c r="H441" s="9" t="str">
        <f ca="1">+WORLDCUP!BD61</f>
        <v>Turquía</v>
      </c>
      <c r="I441" s="9" t="str">
        <f ca="1">+WORLDCUP!BD66</f>
        <v>Noruega</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Austria</v>
      </c>
      <c r="E442" s="9" t="str">
        <f ca="1">+WORLDCUP!BD59</f>
        <v>Catar</v>
      </c>
      <c r="F442" s="9" t="str">
        <f ca="1">+WORLDCUP!BD61</f>
        <v>Turquía</v>
      </c>
      <c r="G442" s="9" t="str">
        <f ca="1">+WORLDCUP!BD58</f>
        <v>República Checa</v>
      </c>
      <c r="H442" s="9" t="str">
        <f ca="1">+WORLDCUP!BD63</f>
        <v>Japón</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Noruega</v>
      </c>
      <c r="E443" s="9" t="str">
        <f ca="1">+WORLDCUP!BD59</f>
        <v>Catar</v>
      </c>
      <c r="F443" s="9" t="str">
        <f ca="1">+WORLDCUP!BD61</f>
        <v>Turquía</v>
      </c>
      <c r="G443" s="9" t="str">
        <f ca="1">+WORLDCUP!BD58</f>
        <v>República Checa</v>
      </c>
      <c r="H443" s="9" t="str">
        <f ca="1">+WORLDCUP!BD63</f>
        <v>Japón</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Austria</v>
      </c>
      <c r="E444" s="9" t="str">
        <f ca="1">+WORLDCUP!BD59</f>
        <v>Catar</v>
      </c>
      <c r="F444" s="9" t="str">
        <f ca="1">+WORLDCUP!BD61</f>
        <v>Turquía</v>
      </c>
      <c r="G444" s="9" t="str">
        <f ca="1">+WORLDCUP!BD58</f>
        <v>República Checa</v>
      </c>
      <c r="H444" s="9" t="str">
        <f ca="1">+WORLDCUP!BD63</f>
        <v>Japón</v>
      </c>
      <c r="I444" s="9" t="str">
        <f ca="1">+WORLDCUP!BD69</f>
        <v>Ghana</v>
      </c>
      <c r="J444" s="9" t="str">
        <f ca="1">+WORLDCUP!BD66</f>
        <v>Noruega</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Austria</v>
      </c>
      <c r="E445" s="9" t="str">
        <f ca="1">+WORLDCUP!BD59</f>
        <v>Catar</v>
      </c>
      <c r="F445" s="9" t="str">
        <f ca="1">+WORLDCUP!BD61</f>
        <v>Turquía</v>
      </c>
      <c r="G445" s="9" t="str">
        <f ca="1">+WORLDCUP!BD58</f>
        <v>República Checa</v>
      </c>
      <c r="H445" s="9" t="str">
        <f ca="1">+WORLDCUP!BD63</f>
        <v>Japón</v>
      </c>
      <c r="I445" s="9" t="str">
        <f ca="1">+WORLDCUP!BD66</f>
        <v>Noruega</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Austria</v>
      </c>
      <c r="E447" s="9" t="str">
        <f ca="1">+WORLDCUP!BD59</f>
        <v>Catar</v>
      </c>
      <c r="F447" s="9" t="str">
        <f ca="1">+WORLDCUP!BD61</f>
        <v>Turquía</v>
      </c>
      <c r="G447" s="9" t="str">
        <f ca="1">+WORLDCUP!BD58</f>
        <v>República Checa</v>
      </c>
      <c r="H447" s="9" t="str">
        <f ca="1">+WORLDCUP!BD63</f>
        <v>Japón</v>
      </c>
      <c r="I447" s="9" t="str">
        <f ca="1">+WORLDCUP!BD69</f>
        <v>Ghana</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Austria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Noruega</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Noruega</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Austria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Noruega</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Bélgica</v>
      </c>
      <c r="E452" s="9" t="str">
        <f ca="1">+WORLDCUP!BD59</f>
        <v>Catar</v>
      </c>
      <c r="F452" s="9" t="str">
        <f ca="1">+WORLDCUP!BD61</f>
        <v>Turquía</v>
      </c>
      <c r="G452" s="9" t="str">
        <f ca="1">+WORLDCUP!BD58</f>
        <v>República Checa</v>
      </c>
      <c r="H452" s="9" t="str">
        <f ca="1">+WORLDCUP!BD63</f>
        <v>Japón</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Bélgica</v>
      </c>
      <c r="E453" s="9" t="str">
        <f ca="1">+WORLDCUP!BD59</f>
        <v>Catar</v>
      </c>
      <c r="F453" s="9" t="str">
        <f ca="1">+WORLDCUP!BD61</f>
        <v>Turquía</v>
      </c>
      <c r="G453" s="9" t="str">
        <f ca="1">+WORLDCUP!BD58</f>
        <v>República Checa</v>
      </c>
      <c r="H453" s="9" t="str">
        <f ca="1">+WORLDCUP!BD63</f>
        <v>Japón</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Bélgica</v>
      </c>
      <c r="E454" s="9" t="str">
        <f ca="1">+WORLDCUP!BD59</f>
        <v>Catar</v>
      </c>
      <c r="F454" s="9" t="str">
        <f ca="1">+WORLDCUP!BD61</f>
        <v>Turquía</v>
      </c>
      <c r="G454" s="9" t="str">
        <f ca="1">+WORLDCUP!BD58</f>
        <v>República Checa</v>
      </c>
      <c r="H454" s="9" t="str">
        <f ca="1">+WORLDCUP!BD63</f>
        <v>Japón</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Bélgica</v>
      </c>
      <c r="E455" s="9" t="str">
        <f ca="1">+WORLDCUP!BD59</f>
        <v>Catar</v>
      </c>
      <c r="F455" s="9" t="str">
        <f ca="1">+WORLDCUP!BD61</f>
        <v>Turquía</v>
      </c>
      <c r="G455" s="9" t="str">
        <f ca="1">+WORLDCUP!BD58</f>
        <v>República Checa</v>
      </c>
      <c r="H455" s="9" t="str">
        <f ca="1">+WORLDCUP!BD63</f>
        <v>Japón</v>
      </c>
      <c r="I455" s="9" t="str">
        <f ca="1">+WORLDCUP!BD69</f>
        <v>Ghana</v>
      </c>
      <c r="J455" s="9" t="str">
        <f ca="1">+WORLDCUP!BD66</f>
        <v>Noruega</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Bélgica</v>
      </c>
      <c r="E456" s="9" t="str">
        <f ca="1">+WORLDCUP!BD59</f>
        <v>Catar</v>
      </c>
      <c r="F456" s="9" t="str">
        <f ca="1">+WORLDCUP!BD61</f>
        <v>Turquía</v>
      </c>
      <c r="G456" s="9" t="str">
        <f ca="1">+WORLDCUP!BD58</f>
        <v>República Checa</v>
      </c>
      <c r="H456" s="9" t="str">
        <f ca="1">+WORLDCUP!BD63</f>
        <v>Japón</v>
      </c>
      <c r="I456" s="9" t="str">
        <f ca="1">+WORLDCUP!BD66</f>
        <v>Noruega</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Bélgica</v>
      </c>
      <c r="E457" s="9" t="str">
        <f ca="1">+WORLDCUP!BD59</f>
        <v>Catar</v>
      </c>
      <c r="F457" s="9" t="str">
        <f ca="1">+WORLDCUP!BD61</f>
        <v>Turquía</v>
      </c>
      <c r="G457" s="9" t="str">
        <f ca="1">+WORLDCUP!BD58</f>
        <v>República Checa</v>
      </c>
      <c r="H457" s="9" t="str">
        <f ca="1">+WORLDCUP!BD63</f>
        <v>Japón</v>
      </c>
      <c r="I457" s="9" t="str">
        <f ca="1">+WORLDCUP!BD66</f>
        <v>Noruega</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Bélgica</v>
      </c>
      <c r="E458" s="9" t="str">
        <f ca="1">+WORLDCUP!BD59</f>
        <v>Catar</v>
      </c>
      <c r="F458" s="9" t="str">
        <f ca="1">+WORLDCUP!BD61</f>
        <v>Turquía</v>
      </c>
      <c r="G458" s="9" t="str">
        <f ca="1">+WORLDCUP!BD58</f>
        <v>República Checa</v>
      </c>
      <c r="H458" s="9" t="str">
        <f ca="1">+WORLDCUP!BD63</f>
        <v>Japón</v>
      </c>
      <c r="I458" s="9" t="str">
        <f ca="1">+WORLDCUP!BD69</f>
        <v>Ghana</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España</v>
      </c>
      <c r="D459" s="9" t="str">
        <f ca="1">+WORLDCUP!BD64</f>
        <v>Bélgica</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Noruega</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Austria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Noruega</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Austria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Noruega</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Austria</v>
      </c>
      <c r="E465" s="9" t="str">
        <f ca="1">+WORLDCUP!BD59</f>
        <v>Catar</v>
      </c>
      <c r="F465" s="9" t="str">
        <f ca="1">+WORLDCUP!BD60</f>
        <v>Marruecos</v>
      </c>
      <c r="G465" s="9" t="str">
        <f ca="1">+WORLDCUP!BD58</f>
        <v>República Checa</v>
      </c>
      <c r="H465" s="9" t="str">
        <f ca="1">+WORLDCUP!BD61</f>
        <v>Turquía</v>
      </c>
      <c r="I465" s="9" t="str">
        <f ca="1">+WORLDCUP!BD66</f>
        <v>Noruega</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Austria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Austria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Noruega</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Noruega</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Austria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Noruega</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Catar</v>
      </c>
      <c r="F474" s="9" t="str">
        <f ca="1">+WORLDCUP!BD60</f>
        <v>Marruecos</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Noruega</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Catar</v>
      </c>
      <c r="F476" s="9" t="str">
        <f ca="1">+WORLDCUP!BD60</f>
        <v>Marruecos</v>
      </c>
      <c r="G476" s="9" t="str">
        <f ca="1">+WORLDCUP!BD58</f>
        <v>República Checa</v>
      </c>
      <c r="H476" s="9" t="str">
        <f ca="1">+WORLDCUP!BD61</f>
        <v>Turquía</v>
      </c>
      <c r="I476" s="9" t="str">
        <f ca="1">+WORLDCUP!BD66</f>
        <v>Noruega</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Catar</v>
      </c>
      <c r="F477" s="9" t="str">
        <f ca="1">+WORLDCUP!BD60</f>
        <v>Marruecos</v>
      </c>
      <c r="G477" s="9" t="str">
        <f ca="1">+WORLDCUP!BD58</f>
        <v>República Checa</v>
      </c>
      <c r="H477" s="9" t="str">
        <f ca="1">+WORLDCUP!BD61</f>
        <v>Turquía</v>
      </c>
      <c r="I477" s="9" t="str">
        <f ca="1">+WORLDCUP!BD66</f>
        <v>Noruega</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Noruega</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Austria</v>
      </c>
      <c r="E483" s="9" t="str">
        <f ca="1">+WORLDCUP!BD59</f>
        <v>Catar</v>
      </c>
      <c r="F483" s="9" t="str">
        <f ca="1">+WORLDCUP!BD61</f>
        <v>Turquía</v>
      </c>
      <c r="G483" s="9" t="str">
        <f ca="1">+WORLDCUP!BD58</f>
        <v>República Checa</v>
      </c>
      <c r="H483" s="9" t="str">
        <f ca="1">+WORLDCUP!BD63</f>
        <v>Japón</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Austria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Ghana</v>
      </c>
      <c r="J485" s="9" t="str">
        <f ca="1">+WORLDCUP!BD66</f>
        <v>Noruega</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Noruega</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Austria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Noruega</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Austria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Noruega</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Bélgica</v>
      </c>
      <c r="E492" s="9" t="str">
        <f ca="1">+WORLDCUP!BD59</f>
        <v>Catar</v>
      </c>
      <c r="F492" s="9" t="str">
        <f ca="1">+WORLDCUP!BD61</f>
        <v>Turquía</v>
      </c>
      <c r="G492" s="9" t="str">
        <f ca="1">+WORLDCUP!BD58</f>
        <v>República Checa</v>
      </c>
      <c r="H492" s="9" t="str">
        <f ca="1">+WORLDCUP!BD63</f>
        <v>Japón</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Bélgica</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Bélgica</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Bélgica</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Noruega</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2026-06-16T21:07:09Z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
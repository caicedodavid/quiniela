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54BEE3AE-BA82-2744-8A28-9070651D3EE4}"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Q85" i="2"/>
  <c r="I85" i="2"/>
  <c r="H85" i="2"/>
  <c r="F85" i="2"/>
  <c r="U85" i="2"/>
  <c r="L85" i="2"/>
  <c r="K85" i="2"/>
  <c r="T85" i="2"/>
  <c r="R85" i="2"/>
  <c r="O85" i="2"/>
  <c r="E85" i="2"/>
  <c r="C213" i="3"/>
  <c r="L32" i="2"/>
  <c r="K32" i="2"/>
  <c r="K38" i="2"/>
  <c r="F54" i="2"/>
  <c r="E54" i="2"/>
  <c r="N54" i="2"/>
  <c r="L54" i="2"/>
  <c r="K54" i="2"/>
  <c r="H54" i="2"/>
  <c r="Q54" i="2"/>
  <c r="E64" i="2"/>
  <c r="N85"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E92"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R92" i="2"/>
  <c r="AA159" i="2"/>
  <c r="BA21" i="4"/>
  <c r="R73"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28" i="4" l="1"/>
  <c r="R27" i="4"/>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5" i="4" l="1"/>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T47" i="2"/>
  <c r="F84" i="2" s="1"/>
  <c r="BT43" i="2"/>
  <c r="F76" i="2" s="1"/>
  <c r="BT51" i="2"/>
  <c r="BT41" i="2"/>
  <c r="F69" i="2" s="1"/>
  <c r="BT38" i="2"/>
  <c r="E68" i="2" s="1"/>
  <c r="BT44" i="2"/>
  <c r="E77" i="2" s="1"/>
  <c r="BT14" i="2"/>
  <c r="E20" i="2" s="1"/>
  <c r="BT42" i="2"/>
  <c r="E76" i="2" s="1"/>
  <c r="BT9" i="2"/>
  <c r="E8" i="2" s="1"/>
  <c r="BT37" i="2"/>
  <c r="F61" i="2" s="1"/>
  <c r="BT8" i="2"/>
  <c r="F9" i="2" s="1"/>
  <c r="BT18" i="2"/>
  <c r="E28" i="2" s="1"/>
  <c r="BT11" i="2"/>
  <c r="F12" i="2" s="1"/>
  <c r="BT25" i="2"/>
  <c r="F37" i="2" s="1"/>
  <c r="BT39" i="2"/>
  <c r="F68" i="2" s="1"/>
  <c r="BT52" i="2"/>
  <c r="BT16" i="2"/>
  <c r="E21" i="2" s="1"/>
  <c r="BT32" i="2"/>
  <c r="E53" i="2" s="1"/>
  <c r="BT17" i="2"/>
  <c r="F21" i="2" s="1"/>
  <c r="BT35" i="2"/>
  <c r="F60" i="2" s="1"/>
  <c r="BT26" i="2"/>
  <c r="E44" i="2" s="1"/>
  <c r="BT50" i="2"/>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F77" i="2" s="1"/>
  <c r="BT33" i="2"/>
  <c r="F53" i="2" s="1"/>
  <c r="BT12" i="2"/>
  <c r="E13" i="2" s="1"/>
  <c r="BT6" i="2"/>
  <c r="F8" i="2" s="1"/>
  <c r="BT10" i="2"/>
  <c r="E12" i="2" s="1"/>
  <c r="BT46" i="2"/>
  <c r="E84" i="2" s="1"/>
  <c r="BI112" i="2"/>
  <c r="BT19" i="2"/>
  <c r="F28" i="2" s="1"/>
  <c r="BT29" i="2"/>
  <c r="F45" i="2" s="1"/>
  <c r="BT53" i="2"/>
  <c r="BT36" i="2"/>
  <c r="E61" i="2" s="1"/>
  <c r="BV40" i="2" l="1"/>
  <c r="E69" i="2"/>
  <c r="E5" i="2"/>
  <c r="F7" i="2"/>
  <c r="E4" i="2"/>
  <c r="E7" i="2"/>
  <c r="F5" i="2"/>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H69" i="2" s="1"/>
  <c r="BZ42" i="2"/>
  <c r="BZ45" i="2"/>
  <c r="BZ24" i="2"/>
  <c r="BZ36" i="2"/>
  <c r="BZ39" i="2"/>
  <c r="BZ31" i="2"/>
  <c r="BZ22" i="2"/>
  <c r="BZ23" i="2"/>
  <c r="BZ33" i="2"/>
  <c r="BZ21" i="2"/>
  <c r="BZ27" i="2"/>
  <c r="BZ12" i="2"/>
  <c r="H13" i="2" s="1"/>
  <c r="BZ53" i="2"/>
  <c r="CA53" i="2" s="1"/>
  <c r="BZ25" i="2"/>
  <c r="BZ51" i="2"/>
  <c r="CA51" i="2" s="1"/>
  <c r="BZ16" i="2"/>
  <c r="BZ50" i="2"/>
  <c r="CA50" i="2" s="1"/>
  <c r="BZ34" i="2"/>
  <c r="BZ41" i="2"/>
  <c r="BZ30" i="2"/>
  <c r="BZ9" i="2"/>
  <c r="H8" i="2" s="1"/>
  <c r="BZ32" i="2"/>
  <c r="BZ17" i="2"/>
  <c r="BZ47" i="2"/>
  <c r="BZ6" i="2"/>
  <c r="BZ38" i="2"/>
  <c r="BZ46" i="2"/>
  <c r="BZ15" i="2"/>
  <c r="BZ44" i="2"/>
  <c r="BZ48" i="2"/>
  <c r="CA48" i="2" s="1"/>
  <c r="BZ26" i="2"/>
  <c r="BZ19" i="2"/>
  <c r="BZ20" i="2"/>
  <c r="BZ29" i="2"/>
  <c r="BZ10" i="2"/>
  <c r="BZ8" i="2"/>
  <c r="BZ28" i="2"/>
  <c r="BZ37" i="2"/>
  <c r="BZ52" i="2"/>
  <c r="CB52" i="2" s="1"/>
  <c r="BZ13" i="2"/>
  <c r="BZ35" i="2"/>
  <c r="BZ18" i="2"/>
  <c r="BZ43" i="2"/>
  <c r="BZ11" i="2"/>
  <c r="BZ14" i="2"/>
  <c r="BZ7" i="2"/>
  <c r="H9" i="2" s="1"/>
  <c r="CA49" i="2"/>
  <c r="CB49" i="2"/>
  <c r="CA47" i="2" l="1"/>
  <c r="I84" i="2"/>
  <c r="CA46" i="2"/>
  <c r="H84" i="2"/>
  <c r="CB44" i="2"/>
  <c r="H77" i="2"/>
  <c r="CA45" i="2"/>
  <c r="I77" i="2"/>
  <c r="CB43" i="2"/>
  <c r="I76" i="2"/>
  <c r="CB45" i="2"/>
  <c r="CB42" i="2"/>
  <c r="H76" i="2"/>
  <c r="CB41" i="2"/>
  <c r="I69" i="2"/>
  <c r="I68" i="2"/>
  <c r="CB38" i="2"/>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CA33" i="2"/>
  <c r="CA42" i="2"/>
  <c r="I36" i="2"/>
  <c r="CB22" i="2" s="1"/>
  <c r="H36" i="2"/>
  <c r="CB23" i="2" s="1"/>
  <c r="I29" i="2"/>
  <c r="CB20" i="2" s="1"/>
  <c r="H29" i="2"/>
  <c r="CA21" i="2" s="1"/>
  <c r="CA16" i="2"/>
  <c r="H21" i="2"/>
  <c r="CB17" i="2"/>
  <c r="I21" i="2"/>
  <c r="I20" i="2"/>
  <c r="CB14" i="2" s="1"/>
  <c r="H20" i="2"/>
  <c r="CB15" i="2" s="1"/>
  <c r="CA25" i="2"/>
  <c r="CA13" i="2"/>
  <c r="I13" i="2"/>
  <c r="I28" i="2"/>
  <c r="CB18" i="2" s="1"/>
  <c r="H28" i="2"/>
  <c r="CA19" i="2" s="1"/>
  <c r="I12" i="2"/>
  <c r="CB10" i="2" s="1"/>
  <c r="H12" i="2"/>
  <c r="CA11" i="2" s="1"/>
  <c r="CB28" i="2"/>
  <c r="CC28" i="2" s="1"/>
  <c r="CA17" i="2"/>
  <c r="CC17" i="2" s="1"/>
  <c r="CA29" i="2"/>
  <c r="CC29" i="2" s="1"/>
  <c r="CB53" i="2"/>
  <c r="CC53" i="2" s="1"/>
  <c r="I7" i="2"/>
  <c r="I9" i="2"/>
  <c r="CA32" i="2"/>
  <c r="CB16" i="2"/>
  <c r="CC16" i="2" s="1"/>
  <c r="CA36" i="2"/>
  <c r="H7" i="2"/>
  <c r="I8" i="2"/>
  <c r="CB47" i="2"/>
  <c r="CC47" i="2" s="1"/>
  <c r="I4" i="2"/>
  <c r="CB6" i="2" s="1"/>
  <c r="I6" i="2"/>
  <c r="I5" i="2"/>
  <c r="CB8" i="2" s="1"/>
  <c r="H6" i="2"/>
  <c r="CA44" i="2"/>
  <c r="H5" i="2"/>
  <c r="CA52" i="2"/>
  <c r="CC52" i="2" s="1"/>
  <c r="CB46" i="2"/>
  <c r="CC46" i="2" s="1"/>
  <c r="CB50" i="2"/>
  <c r="CC50" i="2" s="1"/>
  <c r="CB13" i="2"/>
  <c r="CB37" i="2"/>
  <c r="CB51" i="2"/>
  <c r="CC51" i="2" s="1"/>
  <c r="CA38" i="2"/>
  <c r="CB48" i="2"/>
  <c r="CC48" i="2" s="1"/>
  <c r="H4" i="2"/>
  <c r="CA39" i="2"/>
  <c r="CA35" i="2"/>
  <c r="CA41" i="2"/>
  <c r="CC41" i="2" s="1"/>
  <c r="CC49" i="2"/>
  <c r="CC45" i="2"/>
  <c r="CA43" i="2"/>
  <c r="CC43" i="2" s="1"/>
  <c r="CC44" i="2" l="1"/>
  <c r="CB31" i="2"/>
  <c r="CC31" i="2" s="1"/>
  <c r="CC37" i="2"/>
  <c r="CC42" i="2"/>
  <c r="CA20" i="2"/>
  <c r="CC20" i="2" s="1"/>
  <c r="CB19" i="2"/>
  <c r="CC19" i="2" s="1"/>
  <c r="CB24" i="2"/>
  <c r="CC24" i="2" s="1"/>
  <c r="CA26" i="2"/>
  <c r="CC26" i="2" s="1"/>
  <c r="CC38" i="2"/>
  <c r="CB34" i="2"/>
  <c r="CC34" i="2" s="1"/>
  <c r="CA30" i="2"/>
  <c r="CC30" i="2" s="1"/>
  <c r="CC39" i="2"/>
  <c r="CA22" i="2"/>
  <c r="CC22" i="2" s="1"/>
  <c r="CA40" i="2"/>
  <c r="CB40" i="2"/>
  <c r="CC33" i="2"/>
  <c r="CC35" i="2"/>
  <c r="CC36" i="2"/>
  <c r="CA23" i="2"/>
  <c r="CC23" i="2" s="1"/>
  <c r="CC32" i="2"/>
  <c r="CA14" i="2"/>
  <c r="CC14" i="2" s="1"/>
  <c r="CB27" i="2"/>
  <c r="CC27" i="2" s="1"/>
  <c r="CC25" i="2"/>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F51" i="2" s="1"/>
  <c r="CE53" i="2"/>
  <c r="CF53" i="2" s="1"/>
  <c r="CE44" i="2"/>
  <c r="CE52" i="2"/>
  <c r="CF52" i="2" s="1"/>
  <c r="CE24" i="2"/>
  <c r="CE50" i="2"/>
  <c r="CF50" i="2" s="1"/>
  <c r="CE27" i="2"/>
  <c r="CE39" i="2"/>
  <c r="CE36" i="2"/>
  <c r="CE42" i="2"/>
  <c r="CE7" i="2"/>
  <c r="CE25" i="2"/>
  <c r="CE20" i="2"/>
  <c r="CE47" i="2"/>
  <c r="CE34" i="2"/>
  <c r="CE6" i="2"/>
  <c r="L8" i="2" s="1"/>
  <c r="CE33" i="2"/>
  <c r="CE11" i="2"/>
  <c r="CE15" i="2"/>
  <c r="CE32" i="2"/>
  <c r="CE8" i="2"/>
  <c r="L9" i="2" s="1"/>
  <c r="CE31" i="2"/>
  <c r="CE45" i="2"/>
  <c r="CE12" i="2"/>
  <c r="CE22" i="2"/>
  <c r="CE37" i="2"/>
  <c r="CE9" i="2"/>
  <c r="CE49" i="2"/>
  <c r="CF49" i="2" s="1"/>
  <c r="CE28" i="2"/>
  <c r="CE21" i="2"/>
  <c r="CE48" i="2"/>
  <c r="CF48" i="2" s="1"/>
  <c r="CE10" i="2"/>
  <c r="CE13" i="2"/>
  <c r="CE40" i="2"/>
  <c r="CE38" i="2"/>
  <c r="CE35" i="2"/>
  <c r="CE16" i="2"/>
  <c r="CE26" i="2"/>
  <c r="CE19" i="2"/>
  <c r="CE18" i="2"/>
  <c r="CE41" i="2"/>
  <c r="CE43" i="2"/>
  <c r="CE14" i="2"/>
  <c r="CE46" i="2"/>
  <c r="L84" i="2" l="1"/>
  <c r="CF46" i="2"/>
  <c r="K84" i="2"/>
  <c r="CF47" i="2" s="1"/>
  <c r="K77" i="2"/>
  <c r="CF45" i="2"/>
  <c r="L77" i="2"/>
  <c r="CF44" i="2" s="1"/>
  <c r="CF43" i="2"/>
  <c r="L76" i="2"/>
  <c r="CF42" i="2"/>
  <c r="K76" i="2"/>
  <c r="L69" i="2"/>
  <c r="CF40" i="2" s="1"/>
  <c r="K69" i="2"/>
  <c r="CF41" i="2" s="1"/>
  <c r="CF39" i="2"/>
  <c r="L68" i="2"/>
  <c r="CF38" i="2"/>
  <c r="K68" i="2"/>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J7" i="2" s="1"/>
  <c r="CH34" i="2"/>
  <c r="CH16" i="2"/>
  <c r="CI16" i="2" s="1"/>
  <c r="CH44" i="2"/>
  <c r="CH25" i="2"/>
  <c r="CH8" i="2"/>
  <c r="O9" i="2" s="1"/>
  <c r="CH45" i="2"/>
  <c r="CH18" i="2"/>
  <c r="CK18" i="2" s="1"/>
  <c r="CH23" i="2"/>
  <c r="O36" i="2" s="1"/>
  <c r="CH47" i="2"/>
  <c r="CH32" i="2"/>
  <c r="CH43" i="2"/>
  <c r="CH49" i="2"/>
  <c r="CI49" i="2" s="1"/>
  <c r="CH14" i="2"/>
  <c r="CH38" i="2"/>
  <c r="N68" i="2" s="1"/>
  <c r="CH36" i="2"/>
  <c r="CH46" i="2"/>
  <c r="CH48" i="2"/>
  <c r="CJ48" i="2" s="1"/>
  <c r="CH24" i="2"/>
  <c r="CH31" i="2"/>
  <c r="CH12" i="2"/>
  <c r="CH37" i="2"/>
  <c r="CH35" i="2"/>
  <c r="CH53" i="2"/>
  <c r="CJ53" i="2" s="1"/>
  <c r="CK41" i="2"/>
  <c r="CH17" i="2"/>
  <c r="CH19" i="2"/>
  <c r="CH52" i="2"/>
  <c r="CH51" i="2"/>
  <c r="CK51" i="2" s="1"/>
  <c r="CH9" i="2"/>
  <c r="O5" i="2" s="1"/>
  <c r="CH30" i="2"/>
  <c r="CH13" i="2"/>
  <c r="CH42" i="2"/>
  <c r="CH27" i="2"/>
  <c r="CH40" i="2"/>
  <c r="N69" i="2" s="1"/>
  <c r="CI41" i="2" s="1"/>
  <c r="N9" i="2"/>
  <c r="O6" i="2"/>
  <c r="CH26" i="2"/>
  <c r="N44" i="2" s="1"/>
  <c r="CH11" i="2"/>
  <c r="O12" i="2" s="1"/>
  <c r="CH33" i="2"/>
  <c r="O53" i="2" s="1"/>
  <c r="CH22" i="2"/>
  <c r="N36" i="2" s="1"/>
  <c r="CH21" i="2"/>
  <c r="O29" i="2" s="1"/>
  <c r="CH15" i="2"/>
  <c r="CH10" i="2"/>
  <c r="N12" i="2" s="1"/>
  <c r="CH39" i="2"/>
  <c r="O68" i="2" s="1"/>
  <c r="CH29" i="2"/>
  <c r="O45" i="2" s="1"/>
  <c r="CH20" i="2"/>
  <c r="CH50" i="2"/>
  <c r="N7" i="2"/>
  <c r="O8" i="2"/>
  <c r="O7" i="2"/>
  <c r="CI28" i="2"/>
  <c r="CK28" i="2"/>
  <c r="CJ28" i="2"/>
  <c r="CK46" i="2" l="1"/>
  <c r="N84" i="2"/>
  <c r="CI47" i="2"/>
  <c r="O84" i="2"/>
  <c r="CJ45" i="2"/>
  <c r="O77" i="2"/>
  <c r="CI44" i="2"/>
  <c r="N77" i="2"/>
  <c r="CJ43" i="2"/>
  <c r="O76" i="2"/>
  <c r="CI42" i="2"/>
  <c r="N76" i="2"/>
  <c r="N5" i="2"/>
  <c r="CJ41" i="2"/>
  <c r="CL41" i="2" s="1"/>
  <c r="O69" i="2"/>
  <c r="CI32" i="2"/>
  <c r="N53" i="2"/>
  <c r="CI36" i="2"/>
  <c r="N61" i="2"/>
  <c r="CK37" i="2"/>
  <c r="O61" i="2"/>
  <c r="O52" i="2"/>
  <c r="CJ30" i="2"/>
  <c r="N52" i="2"/>
  <c r="CJ31" i="2" s="1"/>
  <c r="O60" i="2"/>
  <c r="CJ34" i="2" s="1"/>
  <c r="N60" i="2"/>
  <c r="CJ35" i="2" s="1"/>
  <c r="CJ24" i="2"/>
  <c r="N37" i="2"/>
  <c r="CK25" i="2" s="1"/>
  <c r="CJ25" i="2"/>
  <c r="O37" i="2"/>
  <c r="CI27" i="2"/>
  <c r="O44" i="2"/>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J27" i="2"/>
  <c r="CK13" i="2"/>
  <c r="CK27" i="2"/>
  <c r="CK16" i="2"/>
  <c r="CI46" i="2"/>
  <c r="CJ19" i="2"/>
  <c r="CI51" i="2"/>
  <c r="CI48" i="2"/>
  <c r="CL48" i="2" s="1"/>
  <c r="CJ17" i="2"/>
  <c r="CJ51" i="2"/>
  <c r="CJ15" i="2"/>
  <c r="CK35" i="2"/>
  <c r="CJ9" i="2"/>
  <c r="CJ42" i="2"/>
  <c r="CL42" i="2" s="1"/>
  <c r="CI19" i="2"/>
  <c r="CK31" i="2"/>
  <c r="CI31" i="2"/>
  <c r="CK44" i="2"/>
  <c r="CK9" i="2"/>
  <c r="CI30" i="2"/>
  <c r="CL30"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45" i="2" l="1"/>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CN18" i="2"/>
  <c r="Q28" i="2" s="1"/>
  <c r="CN33" i="2"/>
  <c r="R53" i="2" s="1"/>
  <c r="CN30" i="2"/>
  <c r="Q52" i="2" s="1"/>
  <c r="CN28" i="2"/>
  <c r="Q45" i="2" s="1"/>
  <c r="CN36" i="2"/>
  <c r="Q61" i="2" s="1"/>
  <c r="CN24" i="2"/>
  <c r="Q37" i="2" s="1"/>
  <c r="CN48" i="2"/>
  <c r="CN34" i="2"/>
  <c r="Q60" i="2" s="1"/>
  <c r="CN13" i="2"/>
  <c r="R13" i="2" s="1"/>
  <c r="CN51" i="2"/>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Q77" i="2" s="1"/>
  <c r="CN25" i="2"/>
  <c r="R37" i="2" s="1"/>
  <c r="CN39" i="2"/>
  <c r="R68" i="2" s="1"/>
  <c r="CN52" i="2"/>
  <c r="CN47" i="2"/>
  <c r="R84" i="2" s="1"/>
  <c r="CN50" i="2"/>
  <c r="CN16" i="2"/>
  <c r="Q21" i="2" s="1"/>
  <c r="CN12" i="2"/>
  <c r="Q13" i="2" s="1"/>
  <c r="CN22" i="2"/>
  <c r="Q36" i="2" s="1"/>
  <c r="CN19" i="2"/>
  <c r="R28" i="2" s="1"/>
  <c r="CN49" i="2"/>
  <c r="CN41" i="2"/>
  <c r="R69" i="2" s="1"/>
  <c r="CN8" i="2"/>
  <c r="CN9" i="2"/>
  <c r="CN10" i="2"/>
  <c r="Q12" i="2" s="1"/>
  <c r="CN6" i="2"/>
  <c r="Q4" i="2" s="1"/>
  <c r="CN7" i="2"/>
  <c r="R4" i="2" s="1"/>
  <c r="CN46" i="2"/>
  <c r="Q84" i="2" s="1"/>
  <c r="CN11" i="2"/>
  <c r="R12" i="2" s="1"/>
  <c r="CP42" i="2" l="1"/>
  <c r="Q76" i="2"/>
  <c r="CP29" i="2"/>
  <c r="R45" i="2"/>
  <c r="CP27" i="2"/>
  <c r="R44" i="2"/>
  <c r="CO42" i="2"/>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42" i="2" l="1"/>
  <c r="CQ27" i="2"/>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S29" i="2"/>
  <c r="CS8" i="2"/>
  <c r="CS31" i="2"/>
  <c r="CS39" i="2"/>
  <c r="CS28" i="2"/>
  <c r="CS44" i="2"/>
  <c r="CS20" i="2"/>
  <c r="CS21" i="2"/>
  <c r="CS38" i="2"/>
  <c r="CS30" i="2"/>
  <c r="CS32" i="2"/>
  <c r="CS17" i="2"/>
  <c r="CS7" i="2"/>
  <c r="U4" i="2" s="1"/>
  <c r="CS23" i="2"/>
  <c r="CS48" i="2"/>
  <c r="CT48" i="2" s="1"/>
  <c r="CS12" i="2"/>
  <c r="CS34" i="2"/>
  <c r="CS16" i="2"/>
  <c r="CS10" i="2"/>
  <c r="CS9" i="2"/>
  <c r="T6" i="2" s="1"/>
  <c r="CS40" i="2"/>
  <c r="CS6" i="2"/>
  <c r="T7" i="2" s="1"/>
  <c r="CS11" i="2"/>
  <c r="CS27" i="2"/>
  <c r="CS46" i="2"/>
  <c r="CS42" i="2"/>
  <c r="CS25" i="2"/>
  <c r="CS19" i="2"/>
  <c r="CS33" i="2"/>
  <c r="CS13" i="2"/>
  <c r="CS37" i="2"/>
  <c r="CS36" i="2"/>
  <c r="CS51" i="2"/>
  <c r="CT51" i="2" s="1"/>
  <c r="CS50" i="2"/>
  <c r="CT50" i="2" s="1"/>
  <c r="CS45" i="2"/>
  <c r="CS24" i="2"/>
  <c r="CS47" i="2"/>
  <c r="CS43" i="2"/>
  <c r="CS35" i="2"/>
  <c r="CS22" i="2"/>
  <c r="U7" i="2"/>
  <c r="CT47" i="2" l="1"/>
  <c r="U84" i="2"/>
  <c r="CT46" i="2"/>
  <c r="T84" i="2"/>
  <c r="T77" i="2"/>
  <c r="CT45" i="2"/>
  <c r="U77" i="2"/>
  <c r="CT44" i="2" s="1"/>
  <c r="U76" i="2"/>
  <c r="CT42" i="2"/>
  <c r="T76" i="2"/>
  <c r="CT43" i="2" s="1"/>
  <c r="CT41" i="2"/>
  <c r="U69" i="2"/>
  <c r="CT40" i="2"/>
  <c r="T69" i="2"/>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W16" i="2"/>
  <c r="CX16" i="2" s="1"/>
  <c r="CW42" i="2"/>
  <c r="CX22" i="2" s="1"/>
  <c r="CX6" i="2"/>
  <c r="CX8" i="2" l="1"/>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<sst xmlns="http://schemas.openxmlformats.org/spreadsheetml/2006/main" count="6754" uniqueCount="1516">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</sst>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84"/>
  <sheetViews>
    <sheetView showGridLines="0" showRowColHeaders="0" tabSelected="1" zoomScaleNormal="100" workbookViewId="0">
      <selection activeCell="AD84" sqref="AD8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46" zoomScaleNormal="100" workbookViewId="0">
      <selection activeCell="AD84" sqref="AD8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(2)</v>
      </c>
      <c r="CZ46" s="16">
        <f t="shared" ca="1" si="45"/>
        <v>1</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(2)</v>
      </c>
      <c r="BU47" s="16">
        <f t="shared" ca="1" si="28"/>
        <v>0</v>
      </c>
      <c r="BV47" s="16">
        <f t="shared" ca="1" si="29"/>
        <v>1</v>
      </c>
      <c r="BW47" s="16">
        <f t="shared" ca="1" si="30"/>
        <v>0</v>
      </c>
      <c r="BX47" s="16">
        <f t="shared" ca="1" si="31"/>
        <v>1</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(2)</v>
      </c>
      <c r="CA47" s="16">
        <f t="shared" ca="1" si="32"/>
        <v>1</v>
      </c>
      <c r="CB47" s="16">
        <f t="shared" ca="1" si="33"/>
        <v>1</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(2)</v>
      </c>
      <c r="CF47" s="16">
        <f t="shared" ca="1" si="35"/>
        <v>1</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(2)</v>
      </c>
      <c r="CI47" s="16">
        <f t="shared" ca="1" si="36"/>
        <v>0</v>
      </c>
      <c r="CJ47" s="16">
        <f t="shared" ca="1" si="37"/>
        <v>1</v>
      </c>
      <c r="CK47" s="16">
        <f t="shared" ca="1" si="38"/>
        <v>0</v>
      </c>
      <c r="CL47" s="16">
        <f t="shared" ca="1" si="39"/>
        <v>1</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(2)</v>
      </c>
      <c r="CO47" s="16">
        <f t="shared" ca="1" si="40"/>
        <v>1</v>
      </c>
      <c r="CP47" s="16">
        <f t="shared" ca="1" si="41"/>
        <v>1</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(2)</v>
      </c>
      <c r="CT47" s="16">
        <f t="shared" ca="1" si="43"/>
        <v>1</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(2)</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(2)</v>
      </c>
      <c r="CZ47" s="16">
        <f t="shared" ca="1" si="45"/>
        <v>1</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2</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0</v>
      </c>
      <c r="BW48" s="16">
        <f t="shared" ca="1" si="30"/>
        <v>0</v>
      </c>
      <c r="BX48" s="16">
        <f t="shared" ca="1" si="31"/>
        <v>0</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0</v>
      </c>
      <c r="CK48" s="16">
        <f t="shared" ca="1" si="38"/>
        <v>0</v>
      </c>
      <c r="CL48" s="16">
        <f t="shared" ca="1" si="39"/>
        <v>0</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0</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0</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3</v>
      </c>
      <c r="DK48" s="16">
        <f t="shared" ca="1" si="48"/>
        <v>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3</v>
      </c>
      <c r="BT49" s="16" t="str">
        <f ca="1">IF(COUNTIFS($BS$6:$BS$53,BS49,$BC$6:$BC$53,INDEX(T_Equipos[Grupo],MATCH(BD49,T_Equipos[NombreEquipo],0)))=1,"-","P."&amp;BS49&amp;" ("&amp;COUNTIFS($BS$6:$BS$53,BS49,$BC$6:$BC$53,INDEX(T_Equipos[Grupo],MATCH(BD49,T_Equipos[NombreEquipo],0)))&amp;")")</f>
        <v>P.3 (2)</v>
      </c>
      <c r="BU49" s="16">
        <f t="shared" ca="1" si="28"/>
        <v>0</v>
      </c>
      <c r="BV49" s="16">
        <f t="shared" ca="1" si="29"/>
        <v>0</v>
      </c>
      <c r="BW49" s="16">
        <f t="shared" ca="1" si="30"/>
        <v>0</v>
      </c>
      <c r="BX49" s="16">
        <f t="shared" ca="1" si="31"/>
        <v>0</v>
      </c>
      <c r="BY49" s="16">
        <f ca="1">BS49+COUNTIFS($BT$6:$BT$53,BT49,$BX$6:BX$53,"&gt;"&amp;BX49,$BC$6:$BC$53,INDEX(T_Equipos[Grupo],MATCH(BD49,T_Equipos[NombreEquipo],0)))</f>
        <v>3</v>
      </c>
      <c r="BZ49" s="16" t="str">
        <f ca="1">IF(COUNTIFS($BY$6:$BY$53,BY49,$BC$6:$BC$53,INDEX(T_Equipos[Grupo],MATCH(BD49,T_Equipos[NombreEquipo],0)))=1,"-","P."&amp;BY49&amp;" ("&amp;COUNTIFS($BY$6:$BY$53,BY49,$BC$6:$BC$53,INDEX(T_Equipos[Grupo],MATCH(BD49,T_Equipos[NombreEquipo],0)))&amp;")")</f>
        <v>P.3 (2)</v>
      </c>
      <c r="CA49" s="16">
        <f t="shared" ca="1" si="32"/>
        <v>0</v>
      </c>
      <c r="CB49" s="16">
        <f t="shared" ca="1" si="33"/>
        <v>0</v>
      </c>
      <c r="CC49" s="16">
        <f t="shared" ca="1" si="34"/>
        <v>0</v>
      </c>
      <c r="CD49" s="16">
        <f ca="1">BY49+COUNTIFS($BZ$6:$BZ$53,BZ49,$CC$6:CC$53,"&gt;"&amp;CC49,$BC$6:$BC$53,INDEX(T_Equipos[Grupo],MATCH(BD49,T_Equipos[NombreEquipo],0)))</f>
        <v>3</v>
      </c>
      <c r="CE49" s="16" t="str">
        <f ca="1">IF(COUNTIFS($CD$6:$CD$53,CD49,$BC$6:$BC$53,INDEX(T_Equipos[Grupo],MATCH(BD49,T_Equipos[NombreEquipo],0)))=1,"-","P."&amp;CD49&amp;" ("&amp;COUNTIFS($CD$6:$CD$53,CD49,$BC$6:$BC$53,INDEX(T_Equipos[Grupo],MATCH(BD49,T_Equipos[NombreEquipo],0)))&amp;")")</f>
        <v>P.3 (2)</v>
      </c>
      <c r="CF49" s="16">
        <f t="shared" ca="1" si="35"/>
        <v>0</v>
      </c>
      <c r="CG49" s="16">
        <f ca="1">CD49+COUNTIFS($CE$6:$CE$53,CE49,$CF$6:CF$53,"&gt;"&amp;CF49,$BC$6:$BC$53,INDEX(T_Equipos[Grupo],MATCH(BD49,T_Equipos[NombreEquipo],0)))</f>
        <v>3</v>
      </c>
      <c r="CH49" s="16" t="str">
        <f ca="1">IF(COUNTIFS($CG$6:$CG$53,CG49,$BC$6:$BC$53,INDEX(T_Equipos[Grupo],MATCH(BD49,T_Equipos[NombreEquipo],0)))=1,"-","P."&amp;CG49&amp;" ("&amp;COUNTIFS($CG$6:$CG$53,CG49,$BC$6:$BC$53,INDEX(T_Equipos[Grupo],MATCH(BD49,T_Equipos[NombreEquipo],0)))&amp;")")</f>
        <v>P.3 (2)</v>
      </c>
      <c r="CI49" s="16">
        <f t="shared" ca="1" si="36"/>
        <v>0</v>
      </c>
      <c r="CJ49" s="16">
        <f t="shared" ca="1" si="37"/>
        <v>0</v>
      </c>
      <c r="CK49" s="16">
        <f t="shared" ca="1" si="38"/>
        <v>0</v>
      </c>
      <c r="CL49" s="16">
        <f t="shared" ca="1" si="39"/>
        <v>0</v>
      </c>
      <c r="CM49" s="16">
        <f ca="1">CG49+COUNTIFS($CH$6:$CH$53,CH49,$CL$6:CL$53,"&gt;"&amp;CL49,$BC$6:$BC$53,INDEX(T_Equipos[Grupo],MATCH(BD49,T_Equipos[NombreEquipo],0)))</f>
        <v>3</v>
      </c>
      <c r="CN49" s="16" t="str">
        <f ca="1">IF(COUNTIFS($CM$6:$CM$53,CM49,$BC$6:$BC$53,INDEX(T_Equipos[Grupo],MATCH(BD49,T_Equipos[NombreEquipo],0)))=1,"-","P."&amp;CM49&amp;" ("&amp;COUNTIFS($CM$6:$CM$53,CM49,$BC$6:$BC$53,INDEX(T_Equipos[Grupo],MATCH(BD49,T_Equipos[NombreEquipo],0)))&amp;")")</f>
        <v>P.3 (2)</v>
      </c>
      <c r="CO49" s="16">
        <f t="shared" ca="1" si="40"/>
        <v>0</v>
      </c>
      <c r="CP49" s="16">
        <f t="shared" ca="1" si="41"/>
        <v>0</v>
      </c>
      <c r="CQ49" s="16">
        <f t="shared" ca="1" si="42"/>
        <v>0</v>
      </c>
      <c r="CR49" s="16">
        <f ca="1">CM49+COUNTIFS($CN$6:$CN$53,CN49,$CQ$6:CQ$53,"&gt;"&amp;CQ49,$BC$6:$BC$53,INDEX(T_Equipos[Grupo],MATCH(BD49,T_Equipos[NombreEquipo],0)))</f>
        <v>3</v>
      </c>
      <c r="CS49" s="16" t="str">
        <f ca="1">IF(COUNTIFS($CR$6:$CR$53,CR49,$BC$6:$BC$53,INDEX(T_Equipos[Grupo],MATCH(BD49,T_Equipos[NombreEquipo],0)))=1,"-","P."&amp;CR49&amp;" ("&amp;COUNTIFS($CR$6:$CR$53,CR49,$BC$6:$BC$53,INDEX(T_Equipos[Grupo],MATCH(BD49,T_Equipos[NombreEquipo],0)))&amp;")")</f>
        <v>P.3 (2)</v>
      </c>
      <c r="CT49" s="16">
        <f t="shared" ca="1" si="43"/>
        <v>0</v>
      </c>
      <c r="CU49" s="16">
        <f ca="1">CR49+COUNTIFS($CS$6:$CS$53,CS49,$CT$6:CT$53,"&gt;"&amp;CT49,$BC$6:$BC$53,INDEX(T_Equipos[Grupo],MATCH(BD49,T_Equipos[NombreEquipo],0)))</f>
        <v>3</v>
      </c>
      <c r="CV49" s="16" t="str">
        <f ca="1">IF(COUNTIFS($CU$6:$CU$53,CU49,$BC$6:$BC$53,INDEX(T_Equipos[Grupo],MATCH(BD49,T_Equipos[NombreEquipo],0)))=1,"-","P."&amp;CU49&amp;" ("&amp;COUNTIFS($CU$6:$CU$53,CU49,$BC$6:$BC$53,INDEX(T_Equipos[Grupo],MATCH(BD49,T_Equipos[NombreEquipo],0)))&amp;")")</f>
        <v>P.3 (2)</v>
      </c>
      <c r="CW49" s="16">
        <f t="shared" ca="1" si="44"/>
        <v>0</v>
      </c>
      <c r="CX49" s="16">
        <f ca="1">CU49+COUNTIFS($CV$6:$CV$53,CV49,$CW$6:CW$53,"&gt;"&amp;CW49,$BC$6:$BC$53,INDEX(T_Equipos[Grupo],MATCH(BD49,T_Equipos[NombreEquipo],0)))</f>
        <v>3</v>
      </c>
      <c r="CY49" s="16" t="str">
        <f ca="1">IF(COUNTIFS($CX$6:$CX$53,CX49,$BC$6:$BC$53,INDEX(T_Equipos[Grupo],MATCH(BD49,T_Equipos[NombreEquipo],0)))=1,"-","P."&amp;CX49&amp;" ("&amp;COUNTIFS($CX$6:$CX$53,CX49,$BC$6:$BC$53,INDEX(T_Equipos[Grupo],MATCH(BD49,T_Equipos[NombreEquipo],0)))&amp;")")</f>
        <v>P.3 (2)</v>
      </c>
      <c r="CZ49" s="16">
        <f t="shared" ca="1" si="45"/>
        <v>0</v>
      </c>
      <c r="DA49" s="16">
        <f ca="1">CX49+COUNTIFS($CY$6:$CY$53,CY49,$CZ$6:CZ$53,"&gt;"&amp;CZ49,$BC$6:$BC$53,INDEX(T_Equipos[Grupo],MATCH(BD49,T_Equipos[NombreEquipo],0)))</f>
        <v>3</v>
      </c>
      <c r="DB49" s="16" t="str">
        <f ca="1">IF(COUNTIFS($DA$6:$DA$53,DA49,$BC$6:$BC$53,INDEX(T_Equipos[Grupo],MATCH(BD49,T_Equipos[NombreEquipo],0)))=1,"-","P."&amp;DA49&amp;" ("&amp;COUNTIFS($DA$6:$DA$53,DA49,$BC$6:$BC$53,INDEX(T_Equipos[Grupo],MATCH(BD49,T_Equipos[NombreEquipo],0)))&amp;")")</f>
        <v>P.3 (2)</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3</v>
      </c>
      <c r="DK49" s="16">
        <f t="shared" ca="1" si="48"/>
        <v>2</v>
      </c>
      <c r="DL49" s="16">
        <f t="shared" ca="1" si="49"/>
        <v>1</v>
      </c>
      <c r="DM49" s="16" t="str">
        <f t="shared" ca="1" si="50"/>
        <v>3.1</v>
      </c>
      <c r="DN49" s="16">
        <f t="array" aca="1" ref="DN49" ca="1">OFFSET(Horarios!$P$3,DJ49-1,0,DL49,1)</f>
        <v>3</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0</v>
      </c>
      <c r="BS58" s="16">
        <f t="shared" ref="BS58:BS69" ca="1" si="156">COUNTIFS(BR$58:BR$69,"&gt;"&amp;BR58)+1</f>
        <v>6</v>
      </c>
      <c r="BT58" s="16" t="str">
        <f t="shared" ref="BT58:BT69" ca="1" si="157">IF(COUNTIF(BS$58:BS$69,BS58)=1,"-","Pos. "&amp;BS58&amp;" ("&amp;COUNTIF(BS$58:BS$69,BS58)&amp;")")</f>
        <v>Pos. 6 (7)</v>
      </c>
      <c r="BU58" s="16">
        <f t="shared" ref="BU58:BU69" ca="1" si="158">IF(BT58="-","-",BL58)</f>
        <v>-1</v>
      </c>
      <c r="BV58" s="16">
        <f t="shared" ref="BV58:BV69" ca="1" si="159">BS58+COUNTIFS(BT$58:BT$69,BT58,BU$58:BU$69,"&gt;"&amp;BU58)</f>
        <v>8</v>
      </c>
      <c r="BW58" s="16" t="str">
        <f t="shared" ref="BW58:BW69" ca="1" si="160">IF(COUNTIF(BV$58:BV$69,BV58)=1,"-","Pos. "&amp;BV58&amp;" ("&amp;COUNTIF(BV$58:BV$69,BV58)&amp;")")</f>
        <v>Pos. 8 (2)</v>
      </c>
      <c r="BX58" s="16">
        <f t="shared" ref="BX58:BX69" ca="1" si="161">IF(BW58="-","-",BJ58)</f>
        <v>1</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(5)</v>
      </c>
      <c r="BU59" s="16">
        <f t="shared" ca="1" si="158"/>
        <v>0</v>
      </c>
      <c r="BV59" s="16">
        <f t="shared" ca="1" si="159"/>
        <v>1</v>
      </c>
      <c r="BW59" s="16" t="str">
        <f t="shared" ca="1" si="160"/>
        <v>Pos. 1 (5)</v>
      </c>
      <c r="BX59" s="16">
        <f t="shared" ca="1" si="161"/>
        <v>1</v>
      </c>
      <c r="BY59" s="16">
        <f t="shared" ca="1" si="162"/>
        <v>2</v>
      </c>
      <c r="BZ59" s="16" t="str">
        <f t="shared" ca="1" si="163"/>
        <v>Pos. 2 (3)</v>
      </c>
      <c r="CA59" s="16">
        <f t="shared" ca="1" si="164"/>
        <v>10</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(5)</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4</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6</v>
      </c>
      <c r="BT61" s="16" t="str">
        <f t="shared" ca="1" si="157"/>
        <v>Pos. 6 (7)</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0</v>
      </c>
      <c r="BS62" s="16">
        <f t="shared" ca="1" si="156"/>
        <v>6</v>
      </c>
      <c r="BT62" s="16" t="str">
        <f t="shared" ca="1" si="157"/>
        <v>Pos. 6 (7)</v>
      </c>
      <c r="BU62" s="16">
        <f t="shared" ca="1" si="158"/>
        <v>-1</v>
      </c>
      <c r="BV62" s="16">
        <f t="shared" ca="1" si="159"/>
        <v>8</v>
      </c>
      <c r="BW62" s="16" t="str">
        <f t="shared" ca="1" si="160"/>
        <v>Pos. 8 (2)</v>
      </c>
      <c r="BX62" s="16">
        <f t="shared" ca="1" si="161"/>
        <v>0</v>
      </c>
      <c r="BY62" s="16">
        <f t="shared" ca="1" si="162"/>
        <v>9</v>
      </c>
      <c r="BZ62" s="16" t="str">
        <f t="shared" ca="1" si="163"/>
        <v>-</v>
      </c>
      <c r="CA62" s="16" t="str">
        <f t="shared" ca="1" si="164"/>
        <v>-</v>
      </c>
      <c r="CB62" s="16">
        <f t="shared" ca="1" si="165"/>
        <v>9</v>
      </c>
      <c r="CC62" s="16"/>
      <c r="CD62" s="16">
        <f t="shared" ca="1" si="166"/>
        <v>9</v>
      </c>
      <c r="CE62" s="16" t="str">
        <f t="shared" ca="1" si="167"/>
        <v>-</v>
      </c>
      <c r="CF62" s="16">
        <f t="shared" ca="1" si="168"/>
        <v>9</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(5)</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(5)</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6</v>
      </c>
      <c r="DK64" s="16"/>
      <c r="DL64" s="16">
        <f t="shared" ca="1" si="170"/>
        <v>1</v>
      </c>
      <c r="DM64" s="16" t="str">
        <f t="shared" ca="1" si="171"/>
        <v>6.1</v>
      </c>
      <c r="DN64" s="16">
        <f t="array" aca="1" ref="DN64" ca="1">OFFSET(Horarios!$P$3,DJ64-1,0,DL64,1)</f>
        <v>6</v>
      </c>
      <c r="DO64" s="16"/>
      <c r="DP64" s="16">
        <v>7</v>
      </c>
      <c r="DQ64" s="16" t="str">
        <f t="shared" ca="1" si="172"/>
        <v>Uzbekistán</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(5)</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6</v>
      </c>
      <c r="BT66" s="16" t="str">
        <f t="shared" ca="1" si="157"/>
        <v>Pos. 6 (7)</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2</v>
      </c>
      <c r="CB66" s="16">
        <f t="shared" ca="1" si="165"/>
        <v>11</v>
      </c>
      <c r="CC66" s="16"/>
      <c r="CD66" s="16">
        <f t="shared" ca="1" si="166"/>
        <v>11</v>
      </c>
      <c r="CE66" s="16">
        <f t="shared" ca="1" si="167"/>
        <v>10</v>
      </c>
      <c r="CF66" s="16">
        <f t="shared" ca="1" si="168"/>
        <v>11</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6</v>
      </c>
      <c r="BT67" s="16" t="str">
        <f t="shared" ca="1" si="157"/>
        <v>Pos. 6 (7)</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5</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7</v>
      </c>
      <c r="BN68" s="16">
        <f t="shared" ca="1" si="153"/>
        <v>7</v>
      </c>
      <c r="BO68" s="16" t="str">
        <f t="shared" si="154"/>
        <v>4K</v>
      </c>
      <c r="BP68" s="16"/>
      <c r="BQ68" s="16"/>
      <c r="BR68" s="16">
        <f t="shared" ca="1" si="155"/>
        <v>0</v>
      </c>
      <c r="BS68" s="16">
        <f t="shared" ca="1" si="156"/>
        <v>6</v>
      </c>
      <c r="BT68" s="16" t="str">
        <f t="shared" ca="1" si="157"/>
        <v>Pos. 6 (7)</v>
      </c>
      <c r="BU68" s="16">
        <f t="shared" ca="1" si="158"/>
        <v>0</v>
      </c>
      <c r="BV68" s="16">
        <f t="shared" ca="1" si="159"/>
        <v>6</v>
      </c>
      <c r="BW68" s="16" t="str">
        <f t="shared" ca="1" si="160"/>
        <v>Pos. 6 (2)</v>
      </c>
      <c r="BX68" s="16">
        <f t="shared" ca="1" si="161"/>
        <v>0</v>
      </c>
      <c r="BY68" s="16">
        <f t="shared" ca="1" si="162"/>
        <v>6</v>
      </c>
      <c r="BZ68" s="16" t="str">
        <f t="shared" ca="1" si="163"/>
        <v>Pos. 6 (2)</v>
      </c>
      <c r="CA68" s="16">
        <f t="shared" ca="1" si="164"/>
        <v>0</v>
      </c>
      <c r="CB68" s="16">
        <f t="shared" ca="1" si="165"/>
        <v>7</v>
      </c>
      <c r="CC68" s="16"/>
      <c r="CD68" s="16">
        <f t="shared" ca="1" si="166"/>
        <v>7</v>
      </c>
      <c r="CE68" s="16">
        <f t="shared" ca="1" si="167"/>
        <v>6</v>
      </c>
      <c r="CF68" s="16">
        <f t="shared" ca="1" si="168"/>
        <v>7</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6</v>
      </c>
      <c r="BT69" s="16" t="str">
        <f t="shared" ca="1" si="157"/>
        <v>Pos. 6 (7)</v>
      </c>
      <c r="BU69" s="16">
        <f t="shared" ca="1" si="158"/>
        <v>0</v>
      </c>
      <c r="BV69" s="16">
        <f t="shared" ca="1" si="159"/>
        <v>6</v>
      </c>
      <c r="BW69" s="16" t="str">
        <f t="shared" ca="1" si="160"/>
        <v>Pos. 6 (2)</v>
      </c>
      <c r="BX69" s="16">
        <f t="shared" ca="1" si="161"/>
        <v>0</v>
      </c>
      <c r="BY69" s="16">
        <f t="shared" ca="1" si="162"/>
        <v>6</v>
      </c>
      <c r="BZ69" s="16" t="str">
        <f t="shared" ca="1" si="163"/>
        <v>Pos. 6 (2)</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P.1 (2)</v>
      </c>
      <c r="F84" s="16" t="str">
        <f t="shared" ref="F84:F89" ca="1" si="230">IF(D84="Pendiente","-",INDEX($BT$6:$BT$53,MATCH($AF84,$BD$6:$BD$53,0)))</f>
        <v>P.1 (2)</v>
      </c>
      <c r="G84" s="16"/>
      <c r="H84" s="16" t="str">
        <f t="shared" ref="H84:H89" ca="1" si="231">IF(D84="Pendiente","-",INDEX($BZ$6:$BZ$53,MATCH($AA84,$BD$6:$BD$53,0)))</f>
        <v>P.1 (2)</v>
      </c>
      <c r="I84" s="16" t="str">
        <f t="shared" ref="I84:I89" ca="1" si="232">IF(D84="Pendiente","-",INDEX($BZ$6:$BZ$53,MATCH($AF84,$BD$6:$BD$53,0)))</f>
        <v>P.1 (2)</v>
      </c>
      <c r="J84" s="16"/>
      <c r="K84" s="16" t="str">
        <f t="shared" ref="K84:K89" ca="1" si="233">IF(D84="Pendiente","-",INDEX($CE$6:$CE$53,MATCH($AA84,$BD$6:$BD$53,0)))</f>
        <v>P.1 (2)</v>
      </c>
      <c r="L84" s="16" t="str">
        <f t="shared" ref="L84:L89" ca="1" si="234">IF(D84="Pendiente","-",INDEX($CE$6:$CE$53,MATCH($AF84,$BD$6:$BD$53,0)))</f>
        <v>P.1 (2)</v>
      </c>
      <c r="M84" s="16"/>
      <c r="N84" s="16" t="str">
        <f t="shared" ref="N84:N89" ca="1" si="235">IF(D84="Pendiente","-",INDEX($CH$6:$CH$53,MATCH($AA84,$BD$6:$BD$53,0)))</f>
        <v>P.1 (2)</v>
      </c>
      <c r="O84" s="16" t="str">
        <f t="shared" ref="O84:O89" ca="1" si="236">IF(D84="Pendiente","-",INDEX($CH$6:$CH$53,MATCH($AF84,$BD$6:$BD$53,0)))</f>
        <v>P.1 (2)</v>
      </c>
      <c r="P84" s="16"/>
      <c r="Q84" s="16" t="str">
        <f t="shared" ref="Q84:Q89" ca="1" si="237">IF(D84="Pendiente","-",INDEX($CN$6:$CN$53,MATCH($AA84,$BD$6:$BD$53,0)))</f>
        <v>P.1 (2)</v>
      </c>
      <c r="R84" s="16" t="str">
        <f t="shared" ref="R84:R89" ca="1" si="238">IF(D84="Pendiente","-",INDEX($CN$6:$CN$53,MATCH($AF84,$BD$6:$BD$53,0)))</f>
        <v>P.1 (2)</v>
      </c>
      <c r="S84" s="16"/>
      <c r="T84" s="16" t="str">
        <f t="shared" ref="T84:T89" ca="1" si="239">IF(D84="Pendiente","-",INDEX($CS$6:$CS$53,MATCH($AA84,$BD$6:$BD$53,0)))</f>
        <v>P.1 (2)</v>
      </c>
      <c r="U84" s="16" t="str">
        <f t="shared" ref="U84:U89" ca="1" si="240">IF(D84="Pendiente","-",INDEX($CS$6:$CS$53,MATCH($AF84,$BD$6:$BD$53,0)))</f>
        <v>P.1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1</v>
      </c>
      <c r="AN86" s="36">
        <f t="shared" ca="1" si="243"/>
        <v>1</v>
      </c>
      <c r="AO86" s="36">
        <f t="shared" ca="1" si="243"/>
        <v>0</v>
      </c>
      <c r="AP86" s="36">
        <f t="shared" ca="1" si="243"/>
        <v>1</v>
      </c>
      <c r="AQ86" s="36">
        <f t="shared" ca="1" si="243"/>
        <v>0</v>
      </c>
      <c r="AR86" s="36">
        <f t="shared" ca="1" si="243"/>
        <v>1</v>
      </c>
      <c r="AS86" s="36">
        <f t="shared" ca="1" si="243"/>
        <v>1</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Bélgica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Marruecos</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España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Uzbekistán</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República Checa</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Ecuador</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2</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Senegal</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42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1</v>
      </c>
      <c r="V36" s="438">
        <f ca="1">+INDEX(WORLDCUP!$AT$6:$AT$97,MATCH(X36,WORLDCUP!$AI$6:$AI$97,0))</f>
        <v>0</v>
      </c>
      <c r="W36" s="439" t="str">
        <f ca="1">+INDEX(WORLDCUP!$AR$6:$AR$97,MATCH(X36,WORLDCUP!$AI$6:$AI$97,0))&amp;"-"&amp;INDEX(WORLDCUP!$AS$6:$AS$97,MATCH(X36,WORLDCUP!$AI$6:$AI$97,0))</f>
        <v>1-1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Ghana</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2026-06-17T19:01:11Z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
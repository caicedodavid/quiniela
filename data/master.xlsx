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2FC0D6E2-5A03-9E48-BE69-69A6F866B9DB}" xr6:coauthVersionLast="47" xr6:coauthVersionMax="47" xr10:uidLastSave="{00000000-0000-0000-0000-000000000000}"/>
  <bookViews>
    <workbookView xWindow="0" yWindow="74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3" i="5"/>
  <c r="G243" i="5"/>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U28" i="2"/>
  <c r="T28" i="2"/>
  <c r="L28" i="2"/>
  <c r="D28" i="2"/>
  <c r="Q28" i="2" s="1"/>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F13" i="2" s="1"/>
  <c r="AG12" i="2"/>
  <c r="AE12" i="2" a="1"/>
  <c r="AE12" i="2" s="1"/>
  <c r="AB12" i="2" a="1"/>
  <c r="AB12" i="2" s="1"/>
  <c r="T12" i="2"/>
  <c r="Q12" i="2"/>
  <c r="O12" i="2"/>
  <c r="N12" i="2"/>
  <c r="L12" i="2"/>
  <c r="K12" i="2"/>
  <c r="I12" i="2"/>
  <c r="H12" i="2"/>
  <c r="D12" i="2"/>
  <c r="F12" i="2" s="1"/>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13" i="2"/>
  <c r="N13" i="2"/>
  <c r="L13" i="2"/>
  <c r="K13" i="2"/>
  <c r="I13" i="2"/>
  <c r="R13" i="2"/>
  <c r="O37" i="2"/>
  <c r="N37" i="2"/>
  <c r="L37" i="2"/>
  <c r="U37" i="2"/>
  <c r="T37" i="2"/>
  <c r="R37" i="2"/>
  <c r="H37" i="2"/>
  <c r="F37" i="2"/>
  <c r="Q37" i="2"/>
  <c r="K37" i="2"/>
  <c r="I37" i="2"/>
  <c r="T55" i="2"/>
  <c r="R55" i="2"/>
  <c r="Q55" i="2"/>
  <c r="O55" i="2"/>
  <c r="N55" i="2"/>
  <c r="K55" i="2"/>
  <c r="I55" i="2"/>
  <c r="H55" i="2"/>
  <c r="F55" i="2"/>
  <c r="E55" i="2"/>
  <c r="L55" i="2"/>
  <c r="U55" i="2"/>
  <c r="E13" i="2"/>
  <c r="N17" i="2"/>
  <c r="L17" i="2"/>
  <c r="K17" i="2"/>
  <c r="I17" i="2"/>
  <c r="H17" i="2"/>
  <c r="Q17" i="2"/>
  <c r="E37" i="2"/>
  <c r="H13" i="2"/>
  <c r="F17" i="2"/>
  <c r="Q13" i="2"/>
  <c r="AJ13" i="2"/>
  <c r="O15" i="2"/>
  <c r="N15" i="2"/>
  <c r="L15" i="2"/>
  <c r="K15" i="2"/>
  <c r="I15" i="2"/>
  <c r="R15" i="2"/>
  <c r="O17" i="2"/>
  <c r="T13" i="2"/>
  <c r="E15" i="2"/>
  <c r="R17" i="2"/>
  <c r="T22" i="2"/>
  <c r="L22" i="2"/>
  <c r="K22" i="2"/>
  <c r="I22" i="2"/>
  <c r="H22" i="2"/>
  <c r="F22" i="2"/>
  <c r="O22" i="2"/>
  <c r="N22" i="2"/>
  <c r="Q24" i="2"/>
  <c r="O24" i="2"/>
  <c r="N24" i="2"/>
  <c r="L24" i="2"/>
  <c r="K24" i="2"/>
  <c r="I24" i="2"/>
  <c r="H24" i="2"/>
  <c r="F24" i="2"/>
  <c r="E24" i="2"/>
  <c r="T24" i="2"/>
  <c r="R24" i="2"/>
  <c r="U13"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R28" i="2"/>
  <c r="O28" i="2"/>
  <c r="N28" i="2"/>
  <c r="I36" i="2"/>
  <c r="R12" i="2"/>
  <c r="T14" i="2"/>
  <c r="N25" i="2"/>
  <c r="E28" i="2"/>
  <c r="U30" i="2"/>
  <c r="N36" i="2"/>
  <c r="O39" i="2"/>
  <c r="N39" i="2"/>
  <c r="L39" i="2"/>
  <c r="U39" i="2"/>
  <c r="T39" i="2"/>
  <c r="R39" i="2"/>
  <c r="Q39" i="2"/>
  <c r="K39" i="2"/>
  <c r="I39" i="2"/>
  <c r="AC142" i="2"/>
  <c r="AC119" i="2"/>
  <c r="AC130" i="2"/>
  <c r="AC75" i="2"/>
  <c r="AC91" i="2"/>
  <c r="AC83" i="2"/>
  <c r="AC59" i="2"/>
  <c r="AC100" i="2"/>
  <c r="AC43" i="2"/>
  <c r="AC35" i="2"/>
  <c r="U14" i="2"/>
  <c r="O25" i="2"/>
  <c r="F28" i="2"/>
  <c r="AR29" i="2"/>
  <c r="O36" i="2"/>
  <c r="E39" i="2"/>
  <c r="AD142" i="2"/>
  <c r="AD59" i="2"/>
  <c r="AD91" i="2"/>
  <c r="AD130" i="2"/>
  <c r="AD119" i="2"/>
  <c r="AD43" i="2"/>
  <c r="AD83" i="2"/>
  <c r="AD100" i="2"/>
  <c r="AD75" i="2"/>
  <c r="AD35" i="2"/>
  <c r="AD27" i="2"/>
  <c r="AD67" i="2"/>
  <c r="AD51" i="2"/>
  <c r="U12" i="2"/>
  <c r="E14" i="2"/>
  <c r="Q25" i="2"/>
  <c r="H28" i="2"/>
  <c r="Q36" i="2"/>
  <c r="F39" i="2"/>
  <c r="AF137" i="2"/>
  <c r="AF142" i="2"/>
  <c r="AF146" i="2"/>
  <c r="AF59" i="2"/>
  <c r="AF91" i="2"/>
  <c r="AF67" i="2"/>
  <c r="AF100" i="2"/>
  <c r="AF119" i="2"/>
  <c r="AF83" i="2"/>
  <c r="AF75" i="2"/>
  <c r="AF51" i="2"/>
  <c r="AR85" i="2"/>
  <c r="AR53" i="2"/>
  <c r="AR101" i="2"/>
  <c r="AR77" i="2"/>
  <c r="AR37" i="2"/>
  <c r="AR69" i="2"/>
  <c r="AR93" i="2"/>
  <c r="AR61" i="2"/>
  <c r="AR45" i="2"/>
  <c r="E12" i="2"/>
  <c r="F14" i="2"/>
  <c r="U16" i="2"/>
  <c r="E20" i="2"/>
  <c r="E21" i="2"/>
  <c r="R25" i="2"/>
  <c r="I28" i="2"/>
  <c r="H39" i="2"/>
  <c r="BJ5" i="2"/>
  <c r="BJ57" i="2" s="1"/>
  <c r="F20" i="2"/>
  <c r="F21" i="2"/>
  <c r="T25" i="2"/>
  <c r="K28"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F27" i="4" s="1"/>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F11" i="4" s="1"/>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F12" i="4" s="1"/>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8" i="4" l="1"/>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BT46" i="2"/>
  <c r="BI112" i="2"/>
  <c r="BT19" i="2"/>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BZ33" i="2"/>
  <c r="CB33" i="2" s="1"/>
  <c r="BZ21" i="2"/>
  <c r="BZ27" i="2"/>
  <c r="CA27" i="2" s="1"/>
  <c r="BZ12" i="2"/>
  <c r="BZ53" i="2"/>
  <c r="CA53" i="2" s="1"/>
  <c r="BZ25" i="2"/>
  <c r="BZ51" i="2"/>
  <c r="CA51" i="2" s="1"/>
  <c r="BZ16" i="2"/>
  <c r="CA16" i="2" s="1"/>
  <c r="BZ50" i="2"/>
  <c r="CA50" i="2" s="1"/>
  <c r="BZ34" i="2"/>
  <c r="CA34" i="2" s="1"/>
  <c r="BZ41" i="2"/>
  <c r="CB41" i="2" s="1"/>
  <c r="BZ30" i="2"/>
  <c r="CB30" i="2" s="1"/>
  <c r="BZ9" i="2"/>
  <c r="H8" i="2" s="1"/>
  <c r="BZ32" i="2"/>
  <c r="CB32" i="2" s="1"/>
  <c r="BZ17" i="2"/>
  <c r="CB17" i="2" s="1"/>
  <c r="BZ47" i="2"/>
  <c r="CA47" i="2" s="1"/>
  <c r="BZ6" i="2"/>
  <c r="BZ38" i="2"/>
  <c r="CB38" i="2" s="1"/>
  <c r="BZ46" i="2"/>
  <c r="CA46" i="2" s="1"/>
  <c r="BZ15" i="2"/>
  <c r="CB15" i="2" s="1"/>
  <c r="BZ44" i="2"/>
  <c r="CB44" i="2" s="1"/>
  <c r="BZ48" i="2"/>
  <c r="CA48" i="2" s="1"/>
  <c r="BZ26" i="2"/>
  <c r="CB26" i="2" s="1"/>
  <c r="BZ19" i="2"/>
  <c r="CA19" i="2" s="1"/>
  <c r="BZ20" i="2"/>
  <c r="CB20" i="2" s="1"/>
  <c r="BZ29" i="2"/>
  <c r="CB29" i="2" s="1"/>
  <c r="BZ10" i="2"/>
  <c r="CB10" i="2" s="1"/>
  <c r="BZ8" i="2"/>
  <c r="BZ28" i="2"/>
  <c r="CA28" i="2" s="1"/>
  <c r="BZ37" i="2"/>
  <c r="CA37" i="2" s="1"/>
  <c r="BZ52" i="2"/>
  <c r="CB52" i="2" s="1"/>
  <c r="BZ13" i="2"/>
  <c r="CA13" i="2" s="1"/>
  <c r="BZ35" i="2"/>
  <c r="CB35" i="2" s="1"/>
  <c r="BZ18" i="2"/>
  <c r="CB18" i="2" s="1"/>
  <c r="BZ43" i="2"/>
  <c r="CB43" i="2" s="1"/>
  <c r="BZ11" i="2"/>
  <c r="CA11" i="2" s="1"/>
  <c r="BZ14" i="2"/>
  <c r="CB14" i="2" s="1"/>
  <c r="BZ7" i="2"/>
  <c r="H9" i="2" s="1"/>
  <c r="CB27" i="2"/>
  <c r="CB25" i="2"/>
  <c r="CA25" i="2"/>
  <c r="CB42" i="2"/>
  <c r="CA42" i="2"/>
  <c r="CA49" i="2"/>
  <c r="CB49" i="2"/>
  <c r="CA30" i="2"/>
  <c r="CA33" i="2"/>
  <c r="CB40" i="2"/>
  <c r="CA40" i="2"/>
  <c r="CB12" i="2"/>
  <c r="CA12" i="2"/>
  <c r="CB23" i="2"/>
  <c r="CA23" i="2"/>
  <c r="CB21" i="2"/>
  <c r="CA21" i="2"/>
  <c r="CB31" i="2"/>
  <c r="CA31" i="2"/>
  <c r="CB45" i="2"/>
  <c r="CA45" i="2"/>
  <c r="CB28" i="2" l="1"/>
  <c r="CC28" i="2" s="1"/>
  <c r="CA10" i="2"/>
  <c r="CC10" i="2" s="1"/>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C31" i="2"/>
  <c r="CB13" i="2"/>
  <c r="CC13" i="2" s="1"/>
  <c r="CC12" i="2"/>
  <c r="CC27" i="2"/>
  <c r="CB37" i="2"/>
  <c r="CC37" i="2" s="1"/>
  <c r="CB51" i="2"/>
  <c r="CC51" i="2" s="1"/>
  <c r="CA38" i="2"/>
  <c r="CC38" i="2" s="1"/>
  <c r="CB48" i="2"/>
  <c r="CC48" i="2" s="1"/>
  <c r="CB6" i="2"/>
  <c r="H4" i="2"/>
  <c r="CC25" i="2"/>
  <c r="CC40" i="2"/>
  <c r="CC33" i="2"/>
  <c r="CC30" i="2"/>
  <c r="CA8" i="2"/>
  <c r="CC21" i="2"/>
  <c r="CB11" i="2"/>
  <c r="CC11" i="2" s="1"/>
  <c r="CA39" i="2"/>
  <c r="CC39" i="2" s="1"/>
  <c r="CA22" i="2"/>
  <c r="CC22" i="2" s="1"/>
  <c r="CA35" i="2"/>
  <c r="CC35" i="2" s="1"/>
  <c r="CC42" i="2"/>
  <c r="CB19" i="2"/>
  <c r="CC19" i="2" s="1"/>
  <c r="CA41" i="2"/>
  <c r="CC41" i="2" s="1"/>
  <c r="CC23" i="2"/>
  <c r="CC49" i="2"/>
  <c r="CC45" i="2"/>
  <c r="CA43" i="2"/>
  <c r="CC43" i="2" s="1"/>
  <c r="CC8" i="2" l="1"/>
  <c r="CA9" i="2"/>
  <c r="CB9" i="2"/>
  <c r="CC6" i="2"/>
  <c r="CB7" i="2"/>
  <c r="CA7" i="2"/>
  <c r="CC9" i="2" l="1"/>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F11" i="2" s="1"/>
  <c r="CE15" i="2"/>
  <c r="CF15" i="2" s="1"/>
  <c r="CE32" i="2"/>
  <c r="CF32" i="2" s="1"/>
  <c r="CE8" i="2"/>
  <c r="L9" i="2" s="1"/>
  <c r="CE31" i="2"/>
  <c r="CF31" i="2" s="1"/>
  <c r="CE45" i="2"/>
  <c r="CF45" i="2" s="1"/>
  <c r="CE12" i="2"/>
  <c r="CF12" i="2" s="1"/>
  <c r="CE22" i="2"/>
  <c r="CF22" i="2" s="1"/>
  <c r="CE37" i="2"/>
  <c r="CF37" i="2" s="1"/>
  <c r="CE9" i="2"/>
  <c r="CE49" i="2"/>
  <c r="CF49" i="2" s="1"/>
  <c r="CE28" i="2"/>
  <c r="CF28" i="2" s="1"/>
  <c r="CE21" i="2"/>
  <c r="CF21" i="2" s="1"/>
  <c r="CE48" i="2"/>
  <c r="CF48" i="2" s="1"/>
  <c r="CE10" i="2"/>
  <c r="CF10" i="2" s="1"/>
  <c r="CE13" i="2"/>
  <c r="CF13" i="2" s="1"/>
  <c r="CE40" i="2"/>
  <c r="CF40" i="2" s="1"/>
  <c r="CE38" i="2"/>
  <c r="CF38" i="2" s="1"/>
  <c r="CE35" i="2"/>
  <c r="CF35" i="2" s="1"/>
  <c r="CE16" i="2"/>
  <c r="CF16" i="2" s="1"/>
  <c r="CE26" i="2"/>
  <c r="CF26" i="2" s="1"/>
  <c r="CE19" i="2"/>
  <c r="CF19" i="2" s="1"/>
  <c r="CE18" i="2"/>
  <c r="CF18" i="2" s="1"/>
  <c r="CE41" i="2"/>
  <c r="CF41" i="2" s="1"/>
  <c r="CE43" i="2"/>
  <c r="CF43" i="2" s="1"/>
  <c r="CE14" i="2"/>
  <c r="CF14" i="2" s="1"/>
  <c r="CE46" i="2"/>
  <c r="CF46" i="2" s="1"/>
  <c r="L6" i="2" l="1"/>
  <c r="K9" i="2"/>
  <c r="K6" i="2"/>
  <c r="K8" i="2"/>
  <c r="L4" i="2"/>
  <c r="CF7" i="2"/>
  <c r="CF8" i="2"/>
  <c r="L7" i="2"/>
  <c r="K4" i="2"/>
  <c r="K7" i="2"/>
  <c r="L5" i="2"/>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I6" i="2" s="1"/>
  <c r="CH34" i="2"/>
  <c r="CJ34" i="2" s="1"/>
  <c r="CH16" i="2"/>
  <c r="CJ16" i="2" s="1"/>
  <c r="CH44" i="2"/>
  <c r="CI44" i="2" s="1"/>
  <c r="CH25" i="2"/>
  <c r="CJ25" i="2" s="1"/>
  <c r="CH8" i="2"/>
  <c r="O9" i="2" s="1"/>
  <c r="CH45" i="2"/>
  <c r="CJ45" i="2" s="1"/>
  <c r="CH18" i="2"/>
  <c r="CJ18" i="2" s="1"/>
  <c r="CH23" i="2"/>
  <c r="CH47" i="2"/>
  <c r="CI47" i="2" s="1"/>
  <c r="CH32" i="2"/>
  <c r="CI32" i="2" s="1"/>
  <c r="CH43" i="2"/>
  <c r="CJ43" i="2" s="1"/>
  <c r="CH49" i="2"/>
  <c r="CI49" i="2" s="1"/>
  <c r="CH14" i="2"/>
  <c r="CI14" i="2" s="1"/>
  <c r="CH38" i="2"/>
  <c r="CH36" i="2"/>
  <c r="CI36" i="2" s="1"/>
  <c r="CH46" i="2"/>
  <c r="CK46" i="2" s="1"/>
  <c r="CI41" i="2"/>
  <c r="CH48" i="2"/>
  <c r="CJ48" i="2" s="1"/>
  <c r="CH24" i="2"/>
  <c r="CJ24" i="2" s="1"/>
  <c r="CH31" i="2"/>
  <c r="CJ31" i="2" s="1"/>
  <c r="CH12" i="2"/>
  <c r="CK12" i="2" s="1"/>
  <c r="CH37" i="2"/>
  <c r="CK37" i="2" s="1"/>
  <c r="CH35" i="2"/>
  <c r="CJ35" i="2" s="1"/>
  <c r="CH53" i="2"/>
  <c r="CJ53" i="2" s="1"/>
  <c r="CK41" i="2"/>
  <c r="CH17" i="2"/>
  <c r="CK17" i="2" s="1"/>
  <c r="CH19" i="2"/>
  <c r="CK19" i="2" s="1"/>
  <c r="CH52" i="2"/>
  <c r="CH51" i="2"/>
  <c r="CK51" i="2" s="1"/>
  <c r="CK32" i="2"/>
  <c r="CH9" i="2"/>
  <c r="O5" i="2" s="1"/>
  <c r="CK8" i="2" s="1"/>
  <c r="CH30" i="2"/>
  <c r="CJ30" i="2" s="1"/>
  <c r="CH13" i="2"/>
  <c r="CI13" i="2" s="1"/>
  <c r="CJ32" i="2"/>
  <c r="CH42" i="2"/>
  <c r="CI42" i="2" s="1"/>
  <c r="CH27" i="2"/>
  <c r="CI27" i="2" s="1"/>
  <c r="CH40" i="2"/>
  <c r="N9" i="2"/>
  <c r="CJ8" i="2" s="1"/>
  <c r="O6" i="2"/>
  <c r="CK18" i="2"/>
  <c r="CI34" i="2"/>
  <c r="CI18" i="2"/>
  <c r="CL18" i="2" s="1"/>
  <c r="CH26" i="2"/>
  <c r="CH11" i="2"/>
  <c r="CH33" i="2"/>
  <c r="CH22" i="2"/>
  <c r="CH21" i="2"/>
  <c r="CH15" i="2"/>
  <c r="CI15" i="2" s="1"/>
  <c r="CH10" i="2"/>
  <c r="CH39" i="2"/>
  <c r="CI16" i="2"/>
  <c r="CH29" i="2"/>
  <c r="CH20" i="2"/>
  <c r="CK20" i="2" s="1"/>
  <c r="CH50" i="2"/>
  <c r="CK45" i="2"/>
  <c r="CK43" i="2"/>
  <c r="CI43" i="2"/>
  <c r="CI45" i="2"/>
  <c r="N7" i="2"/>
  <c r="CI8" i="2" s="1"/>
  <c r="O8" i="2"/>
  <c r="N4" i="2"/>
  <c r="CJ7" i="2" s="1"/>
  <c r="CK25" i="2"/>
  <c r="CI25" i="2"/>
  <c r="CL25" i="2" s="1"/>
  <c r="N5" i="2"/>
  <c r="O7" i="2"/>
  <c r="CJ49" i="2"/>
  <c r="CI28" i="2"/>
  <c r="CK28" i="2"/>
  <c r="CJ28" i="2"/>
  <c r="CL41" i="2"/>
  <c r="CK49" i="2" l="1"/>
  <c r="CL45" i="2"/>
  <c r="CI53" i="2"/>
  <c r="CL53" i="2" s="1"/>
  <c r="CK53" i="2"/>
  <c r="CK6" i="2"/>
  <c r="CI35" i="2"/>
  <c r="CL35" i="2" s="1"/>
  <c r="CI12" i="2"/>
  <c r="CK47" i="2"/>
  <c r="CK30" i="2"/>
  <c r="N6" i="2"/>
  <c r="CI7" i="2" s="1"/>
  <c r="CL7" i="2" s="1"/>
  <c r="N8" i="2"/>
  <c r="CJ6" i="2" s="1"/>
  <c r="CL6" i="2" s="1"/>
  <c r="CJ36" i="2"/>
  <c r="CL36" i="2" s="1"/>
  <c r="CK42" i="2"/>
  <c r="CJ44" i="2"/>
  <c r="CL44" i="2" s="1"/>
  <c r="CK34" i="2"/>
  <c r="CJ12" i="2"/>
  <c r="CL32" i="2"/>
  <c r="CK7" i="2"/>
  <c r="CL43" i="2"/>
  <c r="CI9" i="2"/>
  <c r="CJ47" i="2"/>
  <c r="CL47" i="2" s="1"/>
  <c r="CL16" i="2"/>
  <c r="CJ46" i="2"/>
  <c r="CK36" i="2"/>
  <c r="CK48" i="2"/>
  <c r="CK24" i="2"/>
  <c r="CI17" i="2"/>
  <c r="CL8" i="2"/>
  <c r="CK15" i="2"/>
  <c r="CI24" i="2"/>
  <c r="CL24" i="2" s="1"/>
  <c r="CJ13" i="2"/>
  <c r="CL13" i="2" s="1"/>
  <c r="CJ27" i="2"/>
  <c r="CL27" i="2" s="1"/>
  <c r="CK13" i="2"/>
  <c r="CK27" i="2"/>
  <c r="CK16" i="2"/>
  <c r="CI46" i="2"/>
  <c r="CJ19" i="2"/>
  <c r="CI51" i="2"/>
  <c r="CI48" i="2"/>
  <c r="CL48" i="2" s="1"/>
  <c r="CJ17" i="2"/>
  <c r="CJ51" i="2"/>
  <c r="CJ15" i="2"/>
  <c r="CL15" i="2" s="1"/>
  <c r="CK35" i="2"/>
  <c r="CJ9" i="2"/>
  <c r="CL9" i="2" s="1"/>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46" i="2"/>
  <c r="CL12" i="2"/>
  <c r="CL49" i="2"/>
  <c r="CL28" i="2"/>
  <c r="CL19" i="2" l="1"/>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CN50" i="2"/>
  <c r="CN16" i="2"/>
  <c r="CN12" i="2"/>
  <c r="CN22" i="2"/>
  <c r="CN19" i="2"/>
  <c r="CN49" i="2"/>
  <c r="CN41" i="2"/>
  <c r="CN8" i="2"/>
  <c r="CN9" i="2"/>
  <c r="CN10" i="2"/>
  <c r="CN6" i="2"/>
  <c r="Q4" i="2" s="1"/>
  <c r="CN7" i="2"/>
  <c r="R4" i="2" s="1"/>
  <c r="CN46" i="2"/>
  <c r="CN11" i="2"/>
  <c r="CO42" i="2" l="1"/>
  <c r="CQ42" i="2" s="1"/>
  <c r="CO29" i="2"/>
  <c r="CQ29" i="2" s="1"/>
  <c r="CO27" i="2"/>
  <c r="CQ27" i="2" s="1"/>
  <c r="CO30" i="2"/>
  <c r="CP30" i="2"/>
  <c r="CP38" i="2"/>
  <c r="CO38" i="2"/>
  <c r="R8" i="2"/>
  <c r="Q7" i="2"/>
  <c r="CP10" i="2"/>
  <c r="CO10" i="2"/>
  <c r="CP40" i="2"/>
  <c r="CO40" i="2"/>
  <c r="Q8" i="2"/>
  <c r="R5" i="2"/>
  <c r="Q6" i="2"/>
  <c r="CP39" i="2"/>
  <c r="CO39" i="2"/>
  <c r="CP14" i="2"/>
  <c r="CO14" i="2"/>
  <c r="CO33" i="2"/>
  <c r="CP33" i="2"/>
  <c r="CP16" i="2"/>
  <c r="CO16" i="2"/>
  <c r="CO36" i="2"/>
  <c r="CP36" i="2"/>
  <c r="CP26" i="2"/>
  <c r="CO26" i="2"/>
  <c r="CP25" i="2"/>
  <c r="CO25" i="2"/>
  <c r="R6" i="2"/>
  <c r="Q9" i="2"/>
  <c r="CP8" i="2" s="1"/>
  <c r="CO47" i="2"/>
  <c r="CP47" i="2"/>
  <c r="CO52" i="2"/>
  <c r="CP52" i="2"/>
  <c r="R9" i="2"/>
  <c r="CO7" i="2" s="1"/>
  <c r="Q5" i="2"/>
  <c r="R7" i="2"/>
  <c r="CO8"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6" i="2" l="1"/>
  <c r="CQ6" i="2" s="1"/>
  <c r="CQ16" i="2"/>
  <c r="CQ30" i="2"/>
  <c r="CQ36" i="2"/>
  <c r="CQ26" i="2"/>
  <c r="CQ31" i="2"/>
  <c r="CQ37" i="2"/>
  <c r="CQ11" i="2"/>
  <c r="CQ10" i="2"/>
  <c r="CQ49" i="2"/>
  <c r="CQ53" i="2"/>
  <c r="CQ8"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T14" i="2" s="1"/>
  <c r="CS15" i="2"/>
  <c r="CT15" i="2" s="1"/>
  <c r="CS18" i="2"/>
  <c r="CT18" i="2" s="1"/>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T17" i="2" s="1"/>
  <c r="CS7" i="2"/>
  <c r="U4" i="2" s="1"/>
  <c r="CS23" i="2"/>
  <c r="CT23" i="2" s="1"/>
  <c r="CS48" i="2"/>
  <c r="CT48" i="2" s="1"/>
  <c r="CS12" i="2"/>
  <c r="CT12" i="2" s="1"/>
  <c r="CS34" i="2"/>
  <c r="CT34" i="2" s="1"/>
  <c r="CS16" i="2"/>
  <c r="CT16" i="2" s="1"/>
  <c r="CS10" i="2"/>
  <c r="CT10" i="2" s="1"/>
  <c r="CS9" i="2"/>
  <c r="T6" i="2" s="1"/>
  <c r="CS40" i="2"/>
  <c r="CT40" i="2" s="1"/>
  <c r="CS6" i="2"/>
  <c r="T7" i="2" s="1"/>
  <c r="CS11" i="2"/>
  <c r="CT11" i="2" s="1"/>
  <c r="CS27" i="2"/>
  <c r="CT27" i="2" s="1"/>
  <c r="CS46" i="2"/>
  <c r="CT46" i="2" s="1"/>
  <c r="CS42" i="2"/>
  <c r="CT42" i="2" s="1"/>
  <c r="CS25" i="2"/>
  <c r="CT25" i="2" s="1"/>
  <c r="CS19" i="2"/>
  <c r="CT19" i="2" s="1"/>
  <c r="CS33" i="2"/>
  <c r="CT33" i="2" s="1"/>
  <c r="CS13" i="2"/>
  <c r="CT13" i="2" s="1"/>
  <c r="CS37" i="2"/>
  <c r="CT37" i="2" s="1"/>
  <c r="CS36" i="2"/>
  <c r="CT36" i="2" s="1"/>
  <c r="CS51" i="2"/>
  <c r="CT51" i="2" s="1"/>
  <c r="CS50" i="2"/>
  <c r="CT50" i="2" s="1"/>
  <c r="CS45" i="2"/>
  <c r="CT45" i="2" s="1"/>
  <c r="CS24" i="2"/>
  <c r="CT24" i="2" s="1"/>
  <c r="CS47" i="2"/>
  <c r="CT47" i="2" s="1"/>
  <c r="CS43" i="2"/>
  <c r="CT43" i="2" s="1"/>
  <c r="CS35" i="2"/>
  <c r="CT35" i="2" s="1"/>
  <c r="CS22" i="2"/>
  <c r="CT22" i="2" s="1"/>
  <c r="U7" i="2"/>
  <c r="U5" i="2"/>
  <c r="T9" i="2" l="1"/>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X22" i="2"/>
  <c r="CW16" i="2"/>
  <c r="CX16" i="2" s="1"/>
  <c r="CW42" i="2"/>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DA18" i="2" s="1"/>
  <c r="CZ48" i="2"/>
  <c r="CZ38" i="2"/>
  <c r="CZ12" i="2"/>
  <c r="CZ22" i="2"/>
  <c r="CZ52" i="2"/>
  <c r="CZ42" i="2"/>
  <c r="CZ9" i="2"/>
  <c r="CZ33" i="2"/>
  <c r="CZ30" i="2"/>
  <c r="CZ8" i="2"/>
  <c r="CZ26" i="2"/>
  <c r="CZ37" i="2"/>
  <c r="DA37" i="2" s="1"/>
  <c r="CZ6" i="2"/>
  <c r="CZ19" i="2"/>
  <c r="DA19" i="2" s="1"/>
  <c r="CZ45" i="2"/>
  <c r="CZ51" i="2"/>
  <c r="CZ35" i="2"/>
  <c r="CZ23" i="2"/>
  <c r="CZ41" i="2"/>
  <c r="CZ36" i="2"/>
  <c r="CZ17" i="2"/>
  <c r="CZ32" i="2"/>
  <c r="CZ28" i="2"/>
  <c r="DA28" i="2" s="1"/>
  <c r="DA36" i="2" l="1"/>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AU5" i="2" s="1"/>
  <c r="AV4" i="2" s="1"/>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BI58" i="2"/>
  <c r="BJ58" i="2"/>
  <c r="BK58" i="2"/>
  <c r="BH58" i="2"/>
  <c r="AL8" i="2"/>
  <c r="AS8" i="2" s="1"/>
  <c r="BD58" i="2"/>
  <c r="G393" i="6" s="1"/>
  <c r="AL7" i="2"/>
  <c r="H5" i="4" s="1"/>
  <c r="BG58" i="2"/>
  <c r="AL9" i="2"/>
  <c r="AP9" i="2" s="1"/>
  <c r="M107" i="2"/>
  <c r="AA107" i="2" s="1"/>
  <c r="AO6" i="2"/>
  <c r="H4" i="4"/>
  <c r="AN6" i="2"/>
  <c r="AT6" i="2"/>
  <c r="J4" i="4" s="1"/>
  <c r="AQ6" i="2"/>
  <c r="AR6" i="2"/>
  <c r="AP6" i="2"/>
  <c r="AM6" i="2"/>
  <c r="I4" i="4" s="1"/>
  <c r="AS6" i="2"/>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M101" i="2" l="1"/>
  <c r="AA101" i="2"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5" i="4"/>
  <c r="B164" i="3"/>
  <c r="C164" i="3"/>
  <c r="AA9" i="4"/>
  <c r="C130" i="3"/>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30" i="4" l="1"/>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V66" i="2" l="1"/>
  <c r="BV62" i="2"/>
  <c r="BV61" i="2"/>
  <c r="BU63" i="2"/>
  <c r="BV63" i="2" s="1"/>
  <c r="BV58" i="2"/>
  <c r="BV60" i="2"/>
  <c r="BV69" i="2"/>
  <c r="BV65" i="2" l="1"/>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Y69" i="2" s="1"/>
  <c r="BX61" i="2"/>
  <c r="BY60" i="2" s="1"/>
  <c r="BY67" i="2" l="1"/>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B58" i="2" s="1"/>
  <c r="BM58" i="2" s="1"/>
  <c r="CA69" i="2"/>
  <c r="CA59" i="2"/>
  <c r="CA67" i="2"/>
  <c r="CA66" i="2"/>
  <c r="CA62" i="2"/>
  <c r="CA68" i="2"/>
  <c r="CB66" i="2" l="1"/>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58" i="2" l="1"/>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<sst xmlns="http://schemas.openxmlformats.org/spreadsheetml/2006/main" count="6754" uniqueCount="1516">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</sst>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5" sqref="AD5"/>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D5" sqref="AD5"/>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(3)</v>
      </c>
      <c r="G4" s="16"/>
      <c r="H4" s="16" t="str">
        <f t="shared" ref="H4:H9" ca="1" si="3">IF(D4="Pendiente","-",INDEX($BZ$6:$BZ$53,MATCH($AA4,$BD$6:$BD$53,0)))</f>
        <v>-</v>
      </c>
      <c r="I4" s="16" t="str">
        <f t="shared" ref="I4:I9" ca="1" si="4">IF(D4="Pendiente","-",INDEX($BZ$6:$BZ$53,MATCH($AF4,$BD$6:$BD$53,0)))</f>
        <v>P.2 (3)</v>
      </c>
      <c r="J4" s="16"/>
      <c r="K4" s="16" t="str">
        <f t="shared" ref="K4:K9" ca="1" si="5">IF(D4="Pendiente","-",INDEX($CE$6:$CE$53,MATCH($AA4,$BD$6:$BD$53,0)))</f>
        <v>-</v>
      </c>
      <c r="L4" s="16" t="str">
        <f t="shared" ref="L4:L9" ca="1" si="6">IF(D4="Pendiente","-",INDEX($CE$6:$CE$53,MATCH($AF4,$BD$6:$BD$53,0)))</f>
        <v>P.2 (3)</v>
      </c>
      <c r="M4" s="16"/>
      <c r="N4" s="16" t="str">
        <f t="shared" ref="N4:N9" ca="1" si="7">IF(D4="Pendiente","-",INDEX($CH$6:$CH$53,MATCH($AA4,$BD$6:$BD$53,0)))</f>
        <v>-</v>
      </c>
      <c r="O4" s="16" t="str">
        <f t="shared" ref="O4:O9" ca="1" si="8">IF(D4="Pendiente","-",INDEX($CH$6:$CH$53,MATCH($AF4,$BD$6:$BD$53,0)))</f>
        <v>P.2 (3)</v>
      </c>
      <c r="P4" s="16"/>
      <c r="Q4" s="16" t="str">
        <f t="shared" ref="Q4:Q9" ca="1" si="9">IF(D4="Pendiente","-",INDEX($CN$6:$CN$53,MATCH($AA4,$BD$6:$BD$53,0)))</f>
        <v>-</v>
      </c>
      <c r="R4" s="16" t="str">
        <f t="shared" ref="R4:R9" ca="1" si="10">IF(D4="Pendiente","-",INDEX($CN$6:$CN$53,MATCH($AF4,$BD$6:$BD$53,0)))</f>
        <v>P.2 (3)</v>
      </c>
      <c r="S4" s="16"/>
      <c r="T4" s="16" t="str">
        <f t="shared" ref="T4:T9" ca="1" si="11">IF(D4="Pendiente","-",INDEX($CS$6:$CS$53,MATCH($AA4,$BD$6:$BD$53,0)))</f>
        <v>-</v>
      </c>
      <c r="U4" s="16" t="str">
        <f t="shared" ref="U4:U9" ca="1" si="12">IF(D4="Pendiente","-",INDEX($CS$6:$CS$53,MATCH($AF4,$BD$6:$BD$53,0)))</f>
        <v>P.2 (3)</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Pendiente</v>
      </c>
      <c r="E5" s="16" t="str">
        <f t="shared" si="1"/>
        <v>-</v>
      </c>
      <c r="F5" s="16" t="str">
        <f t="shared" si="2"/>
        <v>-</v>
      </c>
      <c r="G5" s="16"/>
      <c r="H5" s="16" t="str">
        <f t="shared" si="3"/>
        <v>-</v>
      </c>
      <c r="I5" s="16" t="str">
        <f t="shared" si="4"/>
        <v>-</v>
      </c>
      <c r="J5" s="16"/>
      <c r="K5" s="16" t="str">
        <f t="shared" si="5"/>
        <v>-</v>
      </c>
      <c r="L5" s="16" t="str">
        <f t="shared" si="6"/>
        <v>-</v>
      </c>
      <c r="M5" s="16"/>
      <c r="N5" s="16" t="str">
        <f t="shared" si="7"/>
        <v>-</v>
      </c>
      <c r="O5" s="16" t="str">
        <f t="shared" si="8"/>
        <v>-</v>
      </c>
      <c r="P5" s="16"/>
      <c r="Q5" s="16" t="str">
        <f t="shared" si="9"/>
        <v>-</v>
      </c>
      <c r="R5" s="16" t="str">
        <f t="shared" si="10"/>
        <v>-</v>
      </c>
      <c r="S5" s="16"/>
      <c r="T5" s="16" t="str">
        <f t="shared" si="11"/>
        <v>-</v>
      </c>
      <c r="U5" s="16" t="str">
        <f t="shared" si="12"/>
        <v>-</v>
      </c>
      <c r="V5" s="17"/>
      <c r="W5" s="623"/>
      <c r="X5" s="24">
        <f ca="1">Horarios!C5</f>
        <v>46184.916666666657</v>
      </c>
      <c r="Y5" s="25">
        <f ca="1">Horarios!C5</f>
        <v>46184.916666666657</v>
      </c>
      <c r="Z5" s="26" t="str">
        <f>$Z$4</f>
        <v>J1</v>
      </c>
      <c r="AA5" s="27" t="str">
        <f ca="1">A7</f>
        <v>Corea del Sur</v>
      </c>
      <c r="AB5" s="49" t="str">
        <f t="array" aca="1" ref="AB5" ca="1">Ver_flag_local</f>
        <v/>
      </c>
      <c r="AC5" s="50"/>
      <c r="AD5" s="51"/>
      <c r="AE5" s="582" t="str">
        <f t="array" aca="1" ref="AE5" ca="1">Ver_flag_visit</f>
        <v/>
      </c>
      <c r="AF5" s="32" t="str">
        <f ca="1">A8</f>
        <v>República Checa</v>
      </c>
      <c r="AG5" s="316">
        <f t="shared" si="13"/>
        <v>0</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3"/>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3"/>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0</v>
      </c>
      <c r="AN7" s="39">
        <f t="shared" ca="1" si="15"/>
        <v>0</v>
      </c>
      <c r="AO7" s="39">
        <f t="shared" ca="1" si="15"/>
        <v>0</v>
      </c>
      <c r="AP7" s="39">
        <f t="shared" ca="1" si="15"/>
        <v>0</v>
      </c>
      <c r="AQ7" s="39">
        <f t="shared" ca="1" si="15"/>
        <v>0</v>
      </c>
      <c r="AR7" s="39">
        <f t="shared" ca="1" si="15"/>
        <v>0</v>
      </c>
      <c r="AS7" s="39">
        <f t="shared" ca="1" si="15"/>
        <v>0</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(3)</v>
      </c>
      <c r="BU7" s="16">
        <f t="shared" ca="1" si="28"/>
        <v>0</v>
      </c>
      <c r="BV7" s="16">
        <f t="shared" ca="1" si="29"/>
        <v>0</v>
      </c>
      <c r="BW7" s="16">
        <f t="shared" ca="1" si="30"/>
        <v>0</v>
      </c>
      <c r="BX7" s="16">
        <f t="shared" ca="1" si="31"/>
        <v>0</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(3)</v>
      </c>
      <c r="CA7" s="16">
        <f t="shared" ca="1" si="32"/>
        <v>0</v>
      </c>
      <c r="CB7" s="16">
        <f t="shared" ca="1" si="33"/>
        <v>0</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(3)</v>
      </c>
      <c r="CF7" s="16">
        <f t="shared" ca="1" si="35"/>
        <v>0</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(3)</v>
      </c>
      <c r="CI7" s="16">
        <f t="shared" ca="1" si="36"/>
        <v>0</v>
      </c>
      <c r="CJ7" s="16">
        <f t="shared" ca="1" si="37"/>
        <v>0</v>
      </c>
      <c r="CK7" s="16">
        <f t="shared" ca="1" si="38"/>
        <v>0</v>
      </c>
      <c r="CL7" s="16">
        <f t="shared" ca="1" si="39"/>
        <v>0</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(3)</v>
      </c>
      <c r="CO7" s="16">
        <f t="shared" ca="1" si="40"/>
        <v>0</v>
      </c>
      <c r="CP7" s="16">
        <f t="shared" ca="1" si="41"/>
        <v>0</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(3)</v>
      </c>
      <c r="CT7" s="16">
        <f t="shared" ca="1" si="43"/>
        <v>0</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(3)</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3"/>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0</v>
      </c>
      <c r="AO8" s="39">
        <f t="shared" ca="1" si="15"/>
        <v>0</v>
      </c>
      <c r="AP8" s="39">
        <f t="shared" ca="1" si="15"/>
        <v>0</v>
      </c>
      <c r="AQ8" s="39">
        <f t="shared" ca="1" si="15"/>
        <v>0</v>
      </c>
      <c r="AR8" s="39">
        <f t="shared" ca="1" si="15"/>
        <v>0</v>
      </c>
      <c r="AS8" s="39">
        <f t="shared" ca="1" si="15"/>
        <v>0</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0</v>
      </c>
      <c r="BF8" s="16">
        <f t="shared" ca="1" si="17"/>
        <v>0</v>
      </c>
      <c r="BG8" s="16">
        <f t="shared" ca="1" si="18"/>
        <v>0</v>
      </c>
      <c r="BH8" s="16">
        <f t="shared" ca="1" si="19"/>
        <v>0</v>
      </c>
      <c r="BI8" s="16">
        <f t="shared" ca="1" si="20"/>
        <v>0</v>
      </c>
      <c r="BJ8" s="16">
        <f t="shared" ca="1" si="21"/>
        <v>0</v>
      </c>
      <c r="BK8" s="16">
        <f t="shared" ca="1" si="22"/>
        <v>0</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0</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(3)</v>
      </c>
      <c r="BU8" s="16">
        <f t="shared" ca="1" si="28"/>
        <v>0</v>
      </c>
      <c r="BV8" s="16">
        <f t="shared" ca="1" si="29"/>
        <v>0</v>
      </c>
      <c r="BW8" s="16">
        <f t="shared" ca="1" si="30"/>
        <v>0</v>
      </c>
      <c r="BX8" s="16">
        <f t="shared" ca="1" si="31"/>
        <v>0</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(3)</v>
      </c>
      <c r="CA8" s="16">
        <f t="shared" ca="1" si="32"/>
        <v>0</v>
      </c>
      <c r="CB8" s="16">
        <f t="shared" ca="1" si="33"/>
        <v>0</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(3)</v>
      </c>
      <c r="CF8" s="16">
        <f t="shared" ca="1" si="35"/>
        <v>0</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(3)</v>
      </c>
      <c r="CI8" s="16">
        <f t="shared" ca="1" si="36"/>
        <v>0</v>
      </c>
      <c r="CJ8" s="16">
        <f t="shared" ca="1" si="37"/>
        <v>0</v>
      </c>
      <c r="CK8" s="16">
        <f t="shared" ca="1" si="38"/>
        <v>0</v>
      </c>
      <c r="CL8" s="16">
        <f t="shared" ca="1" si="39"/>
        <v>0</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(3)</v>
      </c>
      <c r="CO8" s="16">
        <f t="shared" ca="1" si="40"/>
        <v>0</v>
      </c>
      <c r="CP8" s="16">
        <f t="shared" ca="1" si="41"/>
        <v>0</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(3)</v>
      </c>
      <c r="CT8" s="16">
        <f t="shared" ca="1" si="43"/>
        <v>0</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(3)</v>
      </c>
      <c r="CW8" s="16">
        <f t="shared" ca="1" si="44"/>
        <v>0</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P.2 (2)</v>
      </c>
      <c r="CZ8" s="16">
        <f t="shared" ca="1" si="45"/>
        <v>0</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P.2 (2)</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6"/>
        <v>2</v>
      </c>
      <c r="DG8" s="16">
        <f ca="1">IF(DB8="-","-",COUNTIFS(DF$6:DF$53,"&lt;"&amp;DF8,$BC$6:$BC$53,INDEX(T_Equipos[Grupo],MATCH(BD8,T_Equipos[NombreEquipo],0))))</f>
        <v>1</v>
      </c>
      <c r="DH8" s="16">
        <f ca="1">DA8+COUNTIFS(DB$6:DB$53,DB8,DG$6:DG$53,"&lt;"&amp;DG8,$BC$6:$BC$53,INDEX(T_Equipos[Grupo],MATCH(BD8,T_Equipos[NombreEquipo],0)))</f>
        <v>2</v>
      </c>
      <c r="DI8" s="16"/>
      <c r="DJ8" s="16">
        <f t="shared" ca="1" si="47"/>
        <v>2</v>
      </c>
      <c r="DK8" s="16">
        <f t="shared" ca="1" si="48"/>
        <v>2</v>
      </c>
      <c r="DL8" s="16">
        <f t="shared" ca="1" si="49"/>
        <v>1</v>
      </c>
      <c r="DM8" s="16" t="str">
        <f t="shared" ca="1" si="50"/>
        <v>2.1</v>
      </c>
      <c r="DN8" s="16">
        <f t="array" aca="1" ref="DN8" ca="1">OFFSET(Horarios!$P$3,DJ8-1,0,DL8,1)</f>
        <v>2</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4"/>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0</v>
      </c>
      <c r="BG9" s="16">
        <f t="shared" ca="1" si="18"/>
        <v>0</v>
      </c>
      <c r="BH9" s="16">
        <f t="shared" ca="1" si="19"/>
        <v>0</v>
      </c>
      <c r="BI9" s="16">
        <f t="shared" ca="1" si="20"/>
        <v>0</v>
      </c>
      <c r="BJ9" s="16">
        <f t="shared" ca="1" si="21"/>
        <v>0</v>
      </c>
      <c r="BK9" s="16">
        <f t="shared" ca="1" si="22"/>
        <v>0</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(3)</v>
      </c>
      <c r="BU9" s="16">
        <f t="shared" ca="1" si="28"/>
        <v>0</v>
      </c>
      <c r="BV9" s="16">
        <f t="shared" ca="1" si="29"/>
        <v>0</v>
      </c>
      <c r="BW9" s="16">
        <f t="shared" ca="1" si="30"/>
        <v>0</v>
      </c>
      <c r="BX9" s="16">
        <f t="shared" ca="1" si="31"/>
        <v>0</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(3)</v>
      </c>
      <c r="CA9" s="16">
        <f t="shared" ca="1" si="32"/>
        <v>0</v>
      </c>
      <c r="CB9" s="16">
        <f t="shared" ca="1" si="33"/>
        <v>0</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(3)</v>
      </c>
      <c r="CF9" s="16">
        <f t="shared" ca="1" si="35"/>
        <v>0</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(3)</v>
      </c>
      <c r="CI9" s="16">
        <f t="shared" ca="1" si="36"/>
        <v>0</v>
      </c>
      <c r="CJ9" s="16">
        <f t="shared" ca="1" si="37"/>
        <v>0</v>
      </c>
      <c r="CK9" s="16">
        <f t="shared" ca="1" si="38"/>
        <v>0</v>
      </c>
      <c r="CL9" s="16">
        <f t="shared" ca="1" si="39"/>
        <v>0</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(3)</v>
      </c>
      <c r="CO9" s="16">
        <f t="shared" ca="1" si="40"/>
        <v>0</v>
      </c>
      <c r="CP9" s="16">
        <f t="shared" ca="1" si="41"/>
        <v>0</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(3)</v>
      </c>
      <c r="CT9" s="16">
        <f t="shared" ca="1" si="43"/>
        <v>0</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(3)</v>
      </c>
      <c r="CW9" s="16">
        <f t="shared" ca="1" si="44"/>
        <v>0</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(2)</v>
      </c>
      <c r="CZ9" s="16">
        <f t="shared" ca="1" si="45"/>
        <v>0</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P.2 (2)</v>
      </c>
      <c r="DC9" s="16">
        <f ca="1">IF(DB9="-","-",COUNTIFS(T_Equipos[Rank],"&lt;"&amp;INDEX(T_Equipos[Rank],MATCH(BD9,T_Equipos[NombreEquipo],0)),$BC$6:$BC$53,INDEX(T_Equipos[Grupo],MATCH(BD9,T_Equipos[NombreEquipo],0)))+1)</f>
        <v>4</v>
      </c>
      <c r="DD9" s="16">
        <f ca="1">DA9+COUNTIFS($DB$6:$DB$53,DB9,$DC$6:DC$53,"&lt;"&amp;DC9,$BC$6:$BC$53,INDEX(T_Equipos[Grupo],MATCH(BD9,T_Equipos[NombreEquipo],0)))</f>
        <v>3</v>
      </c>
      <c r="DE9" s="16"/>
      <c r="DF9" s="16">
        <f t="shared" ca="1" si="46"/>
        <v>3</v>
      </c>
      <c r="DG9" s="16">
        <f ca="1">IF(DB9="-","-",COUNTIFS(DF$6:DF$53,"&lt;"&amp;DF9,$BC$6:$BC$53,INDEX(T_Equipos[Grupo],MATCH(BD9,T_Equipos[NombreEquipo],0))))</f>
        <v>2</v>
      </c>
      <c r="DH9" s="16">
        <f ca="1">DA9+COUNTIFS(DB$6:DB$53,DB9,DG$6:DG$53,"&lt;"&amp;DG9,$BC$6:$BC$53,INDEX(T_Equipos[Grupo],MATCH(BD9,T_Equipos[NombreEquipo],0)))</f>
        <v>3</v>
      </c>
      <c r="DI9" s="16"/>
      <c r="DJ9" s="16">
        <f t="shared" ca="1" si="47"/>
        <v>4</v>
      </c>
      <c r="DK9" s="16">
        <f t="shared" ca="1" si="48"/>
        <v>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0</v>
      </c>
      <c r="BF10" s="16">
        <f t="shared" ca="1" si="17"/>
        <v>0</v>
      </c>
      <c r="BG10" s="16">
        <f t="shared" ca="1" si="18"/>
        <v>0</v>
      </c>
      <c r="BH10" s="16">
        <f t="shared" ca="1" si="19"/>
        <v>0</v>
      </c>
      <c r="BI10" s="16">
        <f t="shared" ca="1" si="20"/>
        <v>0</v>
      </c>
      <c r="BJ10" s="16">
        <f t="shared" ca="1" si="21"/>
        <v>0</v>
      </c>
      <c r="BK10" s="16">
        <f t="shared" ca="1" si="22"/>
        <v>0</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0</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0</v>
      </c>
      <c r="BG11" s="16">
        <f t="shared" ca="1" si="18"/>
        <v>0</v>
      </c>
      <c r="BH11" s="16">
        <f t="shared" ca="1" si="19"/>
        <v>0</v>
      </c>
      <c r="BI11" s="16">
        <f t="shared" ca="1" si="20"/>
        <v>0</v>
      </c>
      <c r="BJ11" s="16">
        <f t="shared" ca="1" si="21"/>
        <v>0</v>
      </c>
      <c r="BK11" s="16">
        <f t="shared" ca="1" si="22"/>
        <v>0</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0</v>
      </c>
      <c r="BW11" s="16">
        <f t="shared" ca="1" si="30"/>
        <v>0</v>
      </c>
      <c r="BX11" s="16">
        <f t="shared" ca="1" si="31"/>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0</v>
      </c>
      <c r="CB11" s="16">
        <f t="shared" ca="1" si="33"/>
        <v>0</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0</v>
      </c>
      <c r="CK11" s="16">
        <f t="shared" ca="1" si="38"/>
        <v>0</v>
      </c>
      <c r="CL11" s="16">
        <f t="shared" ca="1" si="39"/>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0</v>
      </c>
      <c r="CP11" s="16">
        <f t="shared" ca="1" si="41"/>
        <v>0</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0</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Pendiente</v>
      </c>
      <c r="E12" s="16" t="str">
        <f t="shared" ref="E12:E17" si="53">IF(D12="Pendiente","-",INDEX($BT$6:$BT$53,MATCH($AA12,$BD$6:$BD$53,0)))</f>
        <v>-</v>
      </c>
      <c r="F12" s="16" t="str">
        <f t="shared" ref="F12:F17" si="54">IF(D12="Pendiente","-",INDEX($BT$6:$BT$53,MATCH($AF12,$BD$6:$BD$53,0)))</f>
        <v>-</v>
      </c>
      <c r="G12" s="16"/>
      <c r="H12" s="16" t="str">
        <f t="shared" ref="H12:H17" si="55">IF(D12="Pendiente","-",INDEX($BZ$6:$BZ$53,MATCH($AA12,$BD$6:$BD$53,0)))</f>
        <v>-</v>
      </c>
      <c r="I12" s="16" t="str">
        <f t="shared" ref="I12:I17" si="56">IF(D12="Pendiente","-",INDEX($BZ$6:$BZ$53,MATCH($AF12,$BD$6:$BD$53,0)))</f>
        <v>-</v>
      </c>
      <c r="J12" s="16"/>
      <c r="K12" s="16" t="str">
        <f t="shared" ref="K12:K17" si="57">IF(D12="Pendiente","-",INDEX($CE$6:$CE$53,MATCH($AA12,$BD$6:$BD$53,0)))</f>
        <v>-</v>
      </c>
      <c r="L12" s="16" t="str">
        <f t="shared" ref="L12:L17" si="58">IF(D12="Pendiente","-",INDEX($CE$6:$CE$53,MATCH($AF12,$BD$6:$BD$53,0)))</f>
        <v>-</v>
      </c>
      <c r="M12" s="16"/>
      <c r="N12" s="16" t="str">
        <f t="shared" ref="N12:N17" si="59">IF(D12="Pendiente","-",INDEX($CH$6:$CH$53,MATCH($AA12,$BD$6:$BD$53,0)))</f>
        <v>-</v>
      </c>
      <c r="O12" s="16" t="str">
        <f t="shared" ref="O12:O17" si="60">IF(D12="Pendiente","-",INDEX($CH$6:$CH$53,MATCH($AF12,$BD$6:$BD$53,0)))</f>
        <v>-</v>
      </c>
      <c r="P12" s="16"/>
      <c r="Q12" s="16" t="str">
        <f t="shared" ref="Q12:Q17" si="61">IF(D12="Pendiente","-",INDEX($CN$6:$CN$53,MATCH($AA12,$BD$6:$BD$53,0)))</f>
        <v>-</v>
      </c>
      <c r="R12" s="16" t="str">
        <f t="shared" ref="R12:R17" si="62">IF(D12="Pendiente","-",INDEX($CN$6:$CN$53,MATCH($AF12,$BD$6:$BD$53,0)))</f>
        <v>-</v>
      </c>
      <c r="S12" s="16"/>
      <c r="T12" s="16" t="str">
        <f t="shared" ref="T12:T17" si="63">IF(D12="Pendiente","-",INDEX($CS$6:$CS$53,MATCH($AA12,$BD$6:$BD$53,0)))</f>
        <v>-</v>
      </c>
      <c r="U12" s="16" t="str">
        <f t="shared" ref="U12:U17" si="64">IF(D12="Pendiente","-",INDEX($CS$6:$CS$53,MATCH($AF12,$BD$6:$BD$53,0)))</f>
        <v>-</v>
      </c>
      <c r="V12" s="17"/>
      <c r="W12" s="641" t="s">
        <v>76</v>
      </c>
      <c r="X12" s="24">
        <f ca="1">Horarios!C12</f>
        <v>46185.625</v>
      </c>
      <c r="Y12" s="25">
        <f ca="1">Horarios!C12</f>
        <v>46185.625</v>
      </c>
      <c r="Z12" s="26" t="str">
        <f>$Z$4</f>
        <v>J1</v>
      </c>
      <c r="AA12" s="27" t="str">
        <f ca="1">A13</f>
        <v>Canadá</v>
      </c>
      <c r="AB12" s="49" t="str">
        <f t="array" aca="1" ref="AB12" ca="1">Ver_flag_local</f>
        <v/>
      </c>
      <c r="AC12" s="50"/>
      <c r="AD12" s="51"/>
      <c r="AE12" s="582" t="str">
        <f t="array" aca="1" ref="AE12" ca="1">Ver_flag_visit</f>
        <v/>
      </c>
      <c r="AF12" s="32" t="str">
        <f ca="1">A14</f>
        <v>Bosnia y Herzegovina</v>
      </c>
      <c r="AG12" s="316">
        <f t="shared" ref="AG12:AG17" si="65">IF(NOT(OR(ISBLANK(AC12),ISBLANK(AD12))),1,0)</f>
        <v>0</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0</v>
      </c>
      <c r="BW12" s="16">
        <f t="shared" ca="1" si="30"/>
        <v>0</v>
      </c>
      <c r="BX12" s="16">
        <f t="shared" ca="1" si="31"/>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0</v>
      </c>
      <c r="CB12" s="16">
        <f t="shared" ca="1" si="33"/>
        <v>0</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0</v>
      </c>
      <c r="CK12" s="16">
        <f t="shared" ca="1" si="38"/>
        <v>0</v>
      </c>
      <c r="CL12" s="16">
        <f t="shared" ca="1" si="39"/>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0</v>
      </c>
      <c r="CP12" s="16">
        <f t="shared" ca="1" si="41"/>
        <v>0</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0</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3"/>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0</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3"/>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0</v>
      </c>
      <c r="AN14" s="36">
        <f t="shared" ca="1" si="67"/>
        <v>0</v>
      </c>
      <c r="AO14" s="36">
        <f t="shared" ca="1" si="67"/>
        <v>0</v>
      </c>
      <c r="AP14" s="36">
        <f t="shared" ca="1" si="67"/>
        <v>0</v>
      </c>
      <c r="AQ14" s="36">
        <f t="shared" ca="1" si="67"/>
        <v>0</v>
      </c>
      <c r="AR14" s="36">
        <f t="shared" ca="1" si="67"/>
        <v>0</v>
      </c>
      <c r="AS14" s="36">
        <f t="shared" ca="1" si="67"/>
        <v>0</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3"/>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0</v>
      </c>
      <c r="AN15" s="39">
        <f t="shared" ca="1" si="67"/>
        <v>0</v>
      </c>
      <c r="AO15" s="39">
        <f t="shared" ca="1" si="67"/>
        <v>0</v>
      </c>
      <c r="AP15" s="39">
        <f t="shared" ca="1" si="67"/>
        <v>0</v>
      </c>
      <c r="AQ15" s="39">
        <f t="shared" ca="1" si="67"/>
        <v>0</v>
      </c>
      <c r="AR15" s="39">
        <f t="shared" ca="1" si="67"/>
        <v>0</v>
      </c>
      <c r="AS15" s="39">
        <f t="shared" ca="1" si="67"/>
        <v>0</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3"/>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4"/>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40"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3"/>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3"/>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3"/>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3"/>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4"/>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31"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3"/>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3"/>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3"/>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3"/>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4"/>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3"/>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3"/>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3"/>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4"/>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3"/>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3"/>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3"/>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4"/>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3"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3"/>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3"/>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3"/>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3"/>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0</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0</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0</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0</v>
      </c>
      <c r="BL58" s="16">
        <f t="shared" ref="BL58:BL69" ca="1" si="151">+BJ58-BK58</f>
        <v>0</v>
      </c>
      <c r="BM58" s="16">
        <f t="shared" ref="BM58:BM69" ca="1" si="152">CB58</f>
        <v>10</v>
      </c>
      <c r="BN58" s="16">
        <f t="shared" ref="BN58:BN69" ca="1" si="153">CF58</f>
        <v>10</v>
      </c>
      <c r="BO58" s="16" t="str">
        <f t="shared" ref="BO58:BO69" si="154">"4"&amp;BC58</f>
        <v>4A</v>
      </c>
      <c r="BP58" s="16"/>
      <c r="BQ58" s="16"/>
      <c r="BR58" s="16">
        <f t="shared" ref="BR58:BR69" ca="1" si="155">+BE58</f>
        <v>0</v>
      </c>
      <c r="BS58" s="16">
        <f t="shared" ref="BS58:BS69" ca="1" si="156">COUNTIFS(BR$58:BR$69,"&gt;"&amp;BR58)+1</f>
        <v>1</v>
      </c>
      <c r="BT58" s="16" t="str">
        <f t="shared" ref="BT58:BT69" ca="1" si="157">IF(COUNTIF(BS$58:BS$69,BS58)=1,"-","Pos. "&amp;BS58&amp;" ("&amp;COUNTIF(BS$58:BS$69,BS58)&amp;")")</f>
        <v>Pos. 1 (12)</v>
      </c>
      <c r="BU58" s="16">
        <f t="shared" ref="BU58:BU69" ca="1" si="158">IF(BT58="-","-",BL58)</f>
        <v>0</v>
      </c>
      <c r="BV58" s="16">
        <f t="shared" ref="BV58:BV69" ca="1" si="159">BS58+COUNTIFS(BT$58:BT$69,BT58,BU$58:BU$69,"&gt;"&amp;BU58)</f>
        <v>1</v>
      </c>
      <c r="BW58" s="16" t="str">
        <f t="shared" ref="BW58:BW69" ca="1" si="160">IF(COUNTIF(BV$58:BV$69,BV58)=1,"-","Pos. "&amp;BV58&amp;" ("&amp;COUNTIF(BV$58:BV$69,BV58)&amp;")")</f>
        <v>Pos. 1 (12)</v>
      </c>
      <c r="BX58" s="16">
        <f t="shared" ref="BX58:BX69" ca="1" si="161">IF(BW58="-","-",BJ58)</f>
        <v>0</v>
      </c>
      <c r="BY58" s="16">
        <f t="shared" ref="BY58:BY69" ca="1" si="162">BV58+COUNTIFS(BW$58:BW$69,BW58,BX$58:BX$69,"&gt;"&amp;BX58)</f>
        <v>1</v>
      </c>
      <c r="BZ58" s="16" t="str">
        <f t="shared" ref="BZ58:BZ69" ca="1" si="163">IF(COUNTIF(BY$58:BY$69,BY58)=1,"-","Pos. "&amp;BY58&amp;" ("&amp;COUNTIF(BY$58:BY$69,BY58)&amp;")")</f>
        <v>Pos. 1 (12)</v>
      </c>
      <c r="CA58" s="16">
        <f t="shared" ref="CA58:CA69" ca="1" si="164">IF(BZ58="-","-",COUNTIF($BD$58:$BD$69,"&gt;"&amp;BD58))</f>
        <v>2</v>
      </c>
      <c r="CB58" s="16">
        <f t="shared" ref="CB58:CB69" ca="1" si="165">BY58+COUNTIFS(BZ$58:BZ$69,BZ58,CA$58:CA$69,"&gt;"&amp;CA58)</f>
        <v>10</v>
      </c>
      <c r="CC58" s="16"/>
      <c r="CD58" s="16">
        <f t="shared" ref="CD58:CD69" ca="1" si="166">IF(OR(INDEX($AW$102:$AW$113,MATCH($BD58,$AV$102:$AV$113,0))="",BZ58="-"),CB58,INDEX($AW$102:$AW$113,MATCH($BD58,$AV$102:$AV$113,0))+CB58/1000)</f>
        <v>10</v>
      </c>
      <c r="CE58" s="16">
        <f t="shared" ref="CE58:CE69" ca="1" si="167">IF(BZ58="-","-",COUNTIF(CD$58:CD$69,"&lt;"&amp;CD58))</f>
        <v>9</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Arabia Saudita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4</v>
      </c>
      <c r="BN59" s="16">
        <f t="shared" ca="1" si="153"/>
        <v>4</v>
      </c>
      <c r="BO59" s="16" t="str">
        <f t="shared" si="154"/>
        <v>4B</v>
      </c>
      <c r="BP59" s="16"/>
      <c r="BQ59" s="16"/>
      <c r="BR59" s="16">
        <f t="shared" ca="1" si="155"/>
        <v>0</v>
      </c>
      <c r="BS59" s="16">
        <f t="shared" ca="1" si="156"/>
        <v>1</v>
      </c>
      <c r="BT59" s="16" t="str">
        <f t="shared" ca="1" si="157"/>
        <v>Pos. 1 (12)</v>
      </c>
      <c r="BU59" s="16">
        <f t="shared" ca="1" si="158"/>
        <v>0</v>
      </c>
      <c r="BV59" s="16">
        <f t="shared" ca="1" si="159"/>
        <v>1</v>
      </c>
      <c r="BW59" s="16" t="str">
        <f t="shared" ca="1" si="160"/>
        <v>Pos. 1 (12)</v>
      </c>
      <c r="BX59" s="16">
        <f t="shared" ca="1" si="161"/>
        <v>0</v>
      </c>
      <c r="BY59" s="16">
        <f t="shared" ca="1" si="162"/>
        <v>1</v>
      </c>
      <c r="BZ59" s="16" t="str">
        <f t="shared" ca="1" si="163"/>
        <v>Pos. 1 (12)</v>
      </c>
      <c r="CA59" s="16">
        <f t="shared" ca="1" si="164"/>
        <v>8</v>
      </c>
      <c r="CB59" s="16">
        <f t="shared" ca="1" si="165"/>
        <v>4</v>
      </c>
      <c r="CC59" s="16"/>
      <c r="CD59" s="16">
        <f t="shared" ca="1" si="166"/>
        <v>4</v>
      </c>
      <c r="CE59" s="16">
        <f t="shared" ca="1" si="167"/>
        <v>3</v>
      </c>
      <c r="CF59" s="16">
        <f t="shared" ca="1" si="168"/>
        <v>4</v>
      </c>
      <c r="DJ59" s="16">
        <f t="shared" ca="1" si="169"/>
        <v>1</v>
      </c>
      <c r="DK59" s="16"/>
      <c r="DL59" s="16">
        <f t="shared" ca="1" si="170"/>
        <v>1</v>
      </c>
      <c r="DM59" s="16" t="str">
        <f t="shared" ca="1" si="171"/>
        <v>1.1</v>
      </c>
      <c r="DN59" s="16">
        <f t="array" aca="1" ref="DN59" ca="1">OFFSET(Horarios!$P$3,DJ59-1,0,DL59,1)</f>
        <v>1</v>
      </c>
      <c r="DO59" s="16"/>
      <c r="DP59" s="16">
        <v>2</v>
      </c>
      <c r="DQ59" s="16" t="str">
        <f t="shared" ca="1" si="172"/>
        <v>Australia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7</v>
      </c>
      <c r="BN60" s="16">
        <f t="shared" ca="1" si="153"/>
        <v>7</v>
      </c>
      <c r="BO60" s="16" t="str">
        <f t="shared" si="154"/>
        <v>4C</v>
      </c>
      <c r="BP60" s="16"/>
      <c r="BQ60" s="16"/>
      <c r="BR60" s="16">
        <f t="shared" ca="1" si="155"/>
        <v>0</v>
      </c>
      <c r="BS60" s="16">
        <f t="shared" ca="1" si="156"/>
        <v>1</v>
      </c>
      <c r="BT60" s="16" t="str">
        <f t="shared" ca="1" si="157"/>
        <v>Pos. 1 (12)</v>
      </c>
      <c r="BU60" s="16">
        <f t="shared" ca="1" si="158"/>
        <v>0</v>
      </c>
      <c r="BV60" s="16">
        <f t="shared" ca="1" si="159"/>
        <v>1</v>
      </c>
      <c r="BW60" s="16" t="str">
        <f t="shared" ca="1" si="160"/>
        <v>Pos. 1 (12)</v>
      </c>
      <c r="BX60" s="16">
        <f t="shared" ca="1" si="161"/>
        <v>0</v>
      </c>
      <c r="BY60" s="16">
        <f t="shared" ca="1" si="162"/>
        <v>1</v>
      </c>
      <c r="BZ60" s="16" t="str">
        <f t="shared" ca="1" si="163"/>
        <v>Pos. 1 (12)</v>
      </c>
      <c r="CA60" s="16">
        <f t="shared" ca="1" si="164"/>
        <v>5</v>
      </c>
      <c r="CB60" s="16">
        <f t="shared" ca="1" si="165"/>
        <v>7</v>
      </c>
      <c r="CC60" s="16"/>
      <c r="CD60" s="16">
        <f t="shared" ca="1" si="166"/>
        <v>7</v>
      </c>
      <c r="CE60" s="16">
        <f t="shared" ca="1" si="167"/>
        <v>6</v>
      </c>
      <c r="CF60" s="16">
        <f t="shared" ca="1" si="168"/>
        <v>7</v>
      </c>
      <c r="DJ60" s="16">
        <f t="shared" ca="1" si="169"/>
        <v>1</v>
      </c>
      <c r="DK60" s="16"/>
      <c r="DL60" s="16">
        <f t="shared" ca="1" si="170"/>
        <v>1</v>
      </c>
      <c r="DM60" s="16" t="str">
        <f t="shared" ca="1" si="171"/>
        <v>1.1</v>
      </c>
      <c r="DN60" s="16">
        <f t="array" aca="1" ref="DN60" ca="1">OFFSET(Horarios!$P$3,DJ60-1,0,DL60,1)</f>
        <v>1</v>
      </c>
      <c r="DO60" s="16"/>
      <c r="DP60" s="16">
        <v>3</v>
      </c>
      <c r="DQ60" s="16" t="str">
        <f t="shared" ca="1" si="172"/>
        <v>Austria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3"/>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2</v>
      </c>
      <c r="BN61" s="16">
        <f t="shared" ca="1" si="153"/>
        <v>2</v>
      </c>
      <c r="BO61" s="16" t="str">
        <f t="shared" si="154"/>
        <v>4D</v>
      </c>
      <c r="BP61" s="16"/>
      <c r="BQ61" s="16"/>
      <c r="BR61" s="16">
        <f t="shared" ca="1" si="155"/>
        <v>0</v>
      </c>
      <c r="BS61" s="16">
        <f t="shared" ca="1" si="156"/>
        <v>1</v>
      </c>
      <c r="BT61" s="16" t="str">
        <f t="shared" ca="1" si="157"/>
        <v>Pos. 1 (12)</v>
      </c>
      <c r="BU61" s="16">
        <f t="shared" ca="1" si="158"/>
        <v>0</v>
      </c>
      <c r="BV61" s="16">
        <f t="shared" ca="1" si="159"/>
        <v>1</v>
      </c>
      <c r="BW61" s="16" t="str">
        <f t="shared" ca="1" si="160"/>
        <v>Pos. 1 (12)</v>
      </c>
      <c r="BX61" s="16">
        <f t="shared" ca="1" si="161"/>
        <v>0</v>
      </c>
      <c r="BY61" s="16">
        <f t="shared" ca="1" si="162"/>
        <v>1</v>
      </c>
      <c r="BZ61" s="16" t="str">
        <f t="shared" ca="1" si="163"/>
        <v>Pos. 1 (12)</v>
      </c>
      <c r="CA61" s="16">
        <f t="shared" ca="1" si="164"/>
        <v>10</v>
      </c>
      <c r="CB61" s="16">
        <f t="shared" ca="1" si="165"/>
        <v>2</v>
      </c>
      <c r="CC61" s="16"/>
      <c r="CD61" s="16">
        <f t="shared" ca="1" si="166"/>
        <v>2</v>
      </c>
      <c r="CE61" s="16">
        <f t="shared" ca="1" si="167"/>
        <v>1</v>
      </c>
      <c r="CF61" s="16">
        <f t="shared" ca="1" si="168"/>
        <v>2</v>
      </c>
      <c r="DJ61" s="16">
        <f t="shared" ca="1" si="169"/>
        <v>1</v>
      </c>
      <c r="DK61" s="16"/>
      <c r="DL61" s="16">
        <f t="shared" ca="1" si="170"/>
        <v>1</v>
      </c>
      <c r="DM61" s="16" t="str">
        <f t="shared" ca="1" si="171"/>
        <v>1.1</v>
      </c>
      <c r="DN61" s="16">
        <f t="array" aca="1" ref="DN61" ca="1">OFFSET(Horarios!$P$3,DJ61-1,0,DL61,1)</f>
        <v>1</v>
      </c>
      <c r="DO61" s="16"/>
      <c r="DP61" s="16">
        <v>4</v>
      </c>
      <c r="DQ61" s="16" t="str">
        <f t="shared" ca="1" si="172"/>
        <v>Catar</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3"/>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5</v>
      </c>
      <c r="BN62" s="16">
        <f t="shared" ca="1" si="153"/>
        <v>5</v>
      </c>
      <c r="BO62" s="16" t="str">
        <f t="shared" si="154"/>
        <v>4E</v>
      </c>
      <c r="BP62" s="16"/>
      <c r="BQ62" s="16"/>
      <c r="BR62" s="16">
        <f t="shared" ca="1" si="155"/>
        <v>0</v>
      </c>
      <c r="BS62" s="16">
        <f t="shared" ca="1" si="156"/>
        <v>1</v>
      </c>
      <c r="BT62" s="16" t="str">
        <f t="shared" ca="1" si="157"/>
        <v>Pos. 1 (12)</v>
      </c>
      <c r="BU62" s="16">
        <f t="shared" ca="1" si="158"/>
        <v>0</v>
      </c>
      <c r="BV62" s="16">
        <f t="shared" ca="1" si="159"/>
        <v>1</v>
      </c>
      <c r="BW62" s="16" t="str">
        <f t="shared" ca="1" si="160"/>
        <v>Pos. 1 (12)</v>
      </c>
      <c r="BX62" s="16">
        <f t="shared" ca="1" si="161"/>
        <v>0</v>
      </c>
      <c r="BY62" s="16">
        <f t="shared" ca="1" si="162"/>
        <v>1</v>
      </c>
      <c r="BZ62" s="16" t="str">
        <f t="shared" ca="1" si="163"/>
        <v>Pos. 1 (12)</v>
      </c>
      <c r="CA62" s="16">
        <f t="shared" ca="1" si="164"/>
        <v>7</v>
      </c>
      <c r="CB62" s="16">
        <f t="shared" ca="1" si="165"/>
        <v>5</v>
      </c>
      <c r="CC62" s="16"/>
      <c r="CD62" s="16">
        <f t="shared" ca="1" si="166"/>
        <v>5</v>
      </c>
      <c r="CE62" s="16">
        <f t="shared" ca="1" si="167"/>
        <v>4</v>
      </c>
      <c r="CF62" s="16">
        <f t="shared" ca="1" si="168"/>
        <v>5</v>
      </c>
      <c r="DJ62" s="16">
        <f t="shared" ca="1" si="169"/>
        <v>1</v>
      </c>
      <c r="DK62" s="16"/>
      <c r="DL62" s="16">
        <f t="shared" ca="1" si="170"/>
        <v>1</v>
      </c>
      <c r="DM62" s="16" t="str">
        <f t="shared" ca="1" si="171"/>
        <v>1.1</v>
      </c>
      <c r="DN62" s="16">
        <f t="array" aca="1" ref="DN62" ca="1">OFFSET(Horarios!$P$3,DJ62-1,0,DL62,1)</f>
        <v>1</v>
      </c>
      <c r="DO62" s="16"/>
      <c r="DP62" s="16">
        <v>5</v>
      </c>
      <c r="DQ62" s="16" t="str">
        <f t="shared" ca="1" si="172"/>
        <v>Costa de Marfil</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3"/>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11</v>
      </c>
      <c r="BN63" s="16">
        <f t="shared" ca="1" si="153"/>
        <v>11</v>
      </c>
      <c r="BO63" s="16" t="str">
        <f t="shared" si="154"/>
        <v>4F</v>
      </c>
      <c r="BP63" s="16"/>
      <c r="BQ63" s="16"/>
      <c r="BR63" s="16">
        <f t="shared" ca="1" si="155"/>
        <v>0</v>
      </c>
      <c r="BS63" s="16">
        <f t="shared" ca="1" si="156"/>
        <v>1</v>
      </c>
      <c r="BT63" s="16" t="str">
        <f t="shared" ca="1" si="157"/>
        <v>Pos. 1 (12)</v>
      </c>
      <c r="BU63" s="16">
        <f t="shared" ca="1" si="158"/>
        <v>0</v>
      </c>
      <c r="BV63" s="16">
        <f t="shared" ca="1" si="159"/>
        <v>1</v>
      </c>
      <c r="BW63" s="16" t="str">
        <f t="shared" ca="1" si="160"/>
        <v>Pos. 1 (12)</v>
      </c>
      <c r="BX63" s="16">
        <f t="shared" ca="1" si="161"/>
        <v>0</v>
      </c>
      <c r="BY63" s="16">
        <f t="shared" ca="1" si="162"/>
        <v>1</v>
      </c>
      <c r="BZ63" s="16" t="str">
        <f t="shared" ca="1" si="163"/>
        <v>Pos. 1 (12)</v>
      </c>
      <c r="CA63" s="16">
        <f t="shared" ca="1" si="164"/>
        <v>1</v>
      </c>
      <c r="CB63" s="16">
        <f t="shared" ca="1" si="165"/>
        <v>11</v>
      </c>
      <c r="CC63" s="16"/>
      <c r="CD63" s="16">
        <f t="shared" ca="1" si="166"/>
        <v>11</v>
      </c>
      <c r="CE63" s="16">
        <f t="shared" ca="1" si="167"/>
        <v>10</v>
      </c>
      <c r="CF63" s="16">
        <f t="shared" ca="1" si="168"/>
        <v>11</v>
      </c>
      <c r="DJ63" s="16">
        <f t="shared" ca="1" si="169"/>
        <v>1</v>
      </c>
      <c r="DK63" s="16"/>
      <c r="DL63" s="16">
        <f t="shared" ca="1" si="170"/>
        <v>1</v>
      </c>
      <c r="DM63" s="16" t="str">
        <f t="shared" ca="1" si="171"/>
        <v>1.1</v>
      </c>
      <c r="DN63" s="16">
        <f t="array" aca="1" ref="DN63" ca="1">OFFSET(Horarios!$P$3,DJ63-1,0,DL63,1)</f>
        <v>1</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9</v>
      </c>
      <c r="BN64" s="16">
        <f t="shared" ca="1" si="153"/>
        <v>9</v>
      </c>
      <c r="BO64" s="16" t="str">
        <f t="shared" si="154"/>
        <v>4G</v>
      </c>
      <c r="BP64" s="16"/>
      <c r="BQ64" s="16"/>
      <c r="BR64" s="16">
        <f t="shared" ca="1" si="155"/>
        <v>0</v>
      </c>
      <c r="BS64" s="16">
        <f t="shared" ca="1" si="156"/>
        <v>1</v>
      </c>
      <c r="BT64" s="16" t="str">
        <f t="shared" ca="1" si="157"/>
        <v>Pos. 1 (12)</v>
      </c>
      <c r="BU64" s="16">
        <f t="shared" ca="1" si="158"/>
        <v>0</v>
      </c>
      <c r="BV64" s="16">
        <f t="shared" ca="1" si="159"/>
        <v>1</v>
      </c>
      <c r="BW64" s="16" t="str">
        <f t="shared" ca="1" si="160"/>
        <v>Pos. 1 (12)</v>
      </c>
      <c r="BX64" s="16">
        <f t="shared" ca="1" si="161"/>
        <v>0</v>
      </c>
      <c r="BY64" s="16">
        <f t="shared" ca="1" si="162"/>
        <v>1</v>
      </c>
      <c r="BZ64" s="16" t="str">
        <f t="shared" ca="1" si="163"/>
        <v>Pos. 1 (12)</v>
      </c>
      <c r="CA64" s="16">
        <f t="shared" ca="1" si="164"/>
        <v>3</v>
      </c>
      <c r="CB64" s="16">
        <f t="shared" ca="1" si="165"/>
        <v>9</v>
      </c>
      <c r="CC64" s="16"/>
      <c r="CD64" s="16">
        <f t="shared" ca="1" si="166"/>
        <v>9</v>
      </c>
      <c r="CE64" s="16">
        <f t="shared" ca="1" si="167"/>
        <v>8</v>
      </c>
      <c r="CF64" s="16">
        <f t="shared" ca="1" si="168"/>
        <v>9</v>
      </c>
      <c r="DJ64" s="16">
        <f t="shared" ca="1" si="169"/>
        <v>1</v>
      </c>
      <c r="DK64" s="16"/>
      <c r="DL64" s="16">
        <f t="shared" ca="1" si="170"/>
        <v>1</v>
      </c>
      <c r="DM64" s="16" t="str">
        <f t="shared" ca="1" si="171"/>
        <v>1.1</v>
      </c>
      <c r="DN64" s="16">
        <f t="array" aca="1" ref="DN64" ca="1">OFFSET(Horarios!$P$3,DJ64-1,0,DL64,1)</f>
        <v>1</v>
      </c>
      <c r="DO64" s="16"/>
      <c r="DP64" s="16">
        <v>7</v>
      </c>
      <c r="DQ64" s="16" t="str">
        <f t="shared" ca="1" si="172"/>
        <v>Haití</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4"/>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1</v>
      </c>
      <c r="BN65" s="16">
        <f t="shared" ca="1" si="153"/>
        <v>1</v>
      </c>
      <c r="BO65" s="16" t="str">
        <f t="shared" si="154"/>
        <v>4H</v>
      </c>
      <c r="BP65" s="16"/>
      <c r="BQ65" s="16"/>
      <c r="BR65" s="16">
        <f t="shared" ca="1" si="155"/>
        <v>0</v>
      </c>
      <c r="BS65" s="16">
        <f t="shared" ca="1" si="156"/>
        <v>1</v>
      </c>
      <c r="BT65" s="16" t="str">
        <f t="shared" ca="1" si="157"/>
        <v>Pos. 1 (12)</v>
      </c>
      <c r="BU65" s="16">
        <f t="shared" ca="1" si="158"/>
        <v>0</v>
      </c>
      <c r="BV65" s="16">
        <f t="shared" ca="1" si="159"/>
        <v>1</v>
      </c>
      <c r="BW65" s="16" t="str">
        <f t="shared" ca="1" si="160"/>
        <v>Pos. 1 (12)</v>
      </c>
      <c r="BX65" s="16">
        <f t="shared" ca="1" si="161"/>
        <v>0</v>
      </c>
      <c r="BY65" s="16">
        <f t="shared" ca="1" si="162"/>
        <v>1</v>
      </c>
      <c r="BZ65" s="16" t="str">
        <f t="shared" ca="1" si="163"/>
        <v>Pos. 1 (12)</v>
      </c>
      <c r="CA65" s="16">
        <f t="shared" ca="1" si="164"/>
        <v>11</v>
      </c>
      <c r="CB65" s="16">
        <f t="shared" ca="1" si="165"/>
        <v>1</v>
      </c>
      <c r="CC65" s="16"/>
      <c r="CD65" s="16">
        <f t="shared" ca="1" si="166"/>
        <v>1</v>
      </c>
      <c r="CE65" s="16">
        <f t="shared" ca="1" si="167"/>
        <v>0</v>
      </c>
      <c r="CF65" s="16">
        <f t="shared" ca="1" si="168"/>
        <v>1</v>
      </c>
      <c r="DJ65" s="16">
        <f t="shared" ca="1" si="169"/>
        <v>1</v>
      </c>
      <c r="DK65" s="16"/>
      <c r="DL65" s="16">
        <f t="shared" ca="1" si="170"/>
        <v>1</v>
      </c>
      <c r="DM65" s="16" t="str">
        <f t="shared" ca="1" si="171"/>
        <v>1.1</v>
      </c>
      <c r="DN65" s="16">
        <f t="array" aca="1" ref="DN65" ca="1">OFFSET(Horarios!$P$3,DJ65-1,0,DL65,1)</f>
        <v>1</v>
      </c>
      <c r="DO65" s="16"/>
      <c r="DP65" s="16">
        <v>8</v>
      </c>
      <c r="DQ65" s="16" t="str">
        <f t="shared" ca="1" si="172"/>
        <v>Irak</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8</v>
      </c>
      <c r="BN66" s="16">
        <f t="shared" ca="1" si="153"/>
        <v>8</v>
      </c>
      <c r="BO66" s="16" t="str">
        <f t="shared" si="154"/>
        <v>4I</v>
      </c>
      <c r="BP66" s="16"/>
      <c r="BQ66" s="16"/>
      <c r="BR66" s="16">
        <f t="shared" ca="1" si="155"/>
        <v>0</v>
      </c>
      <c r="BS66" s="16">
        <f t="shared" ca="1" si="156"/>
        <v>1</v>
      </c>
      <c r="BT66" s="16" t="str">
        <f t="shared" ca="1" si="157"/>
        <v>Pos. 1 (12)</v>
      </c>
      <c r="BU66" s="16">
        <f t="shared" ca="1" si="158"/>
        <v>0</v>
      </c>
      <c r="BV66" s="16">
        <f t="shared" ca="1" si="159"/>
        <v>1</v>
      </c>
      <c r="BW66" s="16" t="str">
        <f t="shared" ca="1" si="160"/>
        <v>Pos. 1 (12)</v>
      </c>
      <c r="BX66" s="16">
        <f t="shared" ca="1" si="161"/>
        <v>0</v>
      </c>
      <c r="BY66" s="16">
        <f t="shared" ca="1" si="162"/>
        <v>1</v>
      </c>
      <c r="BZ66" s="16" t="str">
        <f t="shared" ca="1" si="163"/>
        <v>Pos. 1 (12)</v>
      </c>
      <c r="CA66" s="16">
        <f t="shared" ca="1" si="164"/>
        <v>4</v>
      </c>
      <c r="CB66" s="16">
        <f t="shared" ca="1" si="165"/>
        <v>8</v>
      </c>
      <c r="CC66" s="16"/>
      <c r="CD66" s="16">
        <f t="shared" ca="1" si="166"/>
        <v>8</v>
      </c>
      <c r="CE66" s="16">
        <f t="shared" ca="1" si="167"/>
        <v>7</v>
      </c>
      <c r="CF66" s="16">
        <f t="shared" ca="1" si="168"/>
        <v>8</v>
      </c>
      <c r="DJ66" s="16">
        <f t="shared" ca="1" si="169"/>
        <v>1</v>
      </c>
      <c r="DK66" s="16"/>
      <c r="DL66" s="16">
        <f t="shared" ca="1" si="170"/>
        <v>1</v>
      </c>
      <c r="DM66" s="16" t="str">
        <f t="shared" ca="1" si="171"/>
        <v>1.1</v>
      </c>
      <c r="DN66" s="16">
        <f t="array" aca="1" ref="DN66" ca="1">OFFSET(Horarios!$P$3,DJ66-1,0,DL66,1)</f>
        <v>1</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3</v>
      </c>
      <c r="BN67" s="16">
        <f t="shared" ca="1" si="153"/>
        <v>3</v>
      </c>
      <c r="BO67" s="16" t="str">
        <f t="shared" si="154"/>
        <v>4J</v>
      </c>
      <c r="BP67" s="16"/>
      <c r="BQ67" s="16"/>
      <c r="BR67" s="16">
        <f t="shared" ca="1" si="155"/>
        <v>0</v>
      </c>
      <c r="BS67" s="16">
        <f t="shared" ca="1" si="156"/>
        <v>1</v>
      </c>
      <c r="BT67" s="16" t="str">
        <f t="shared" ca="1" si="157"/>
        <v>Pos. 1 (12)</v>
      </c>
      <c r="BU67" s="16">
        <f t="shared" ca="1" si="158"/>
        <v>0</v>
      </c>
      <c r="BV67" s="16">
        <f t="shared" ca="1" si="159"/>
        <v>1</v>
      </c>
      <c r="BW67" s="16" t="str">
        <f t="shared" ca="1" si="160"/>
        <v>Pos. 1 (12)</v>
      </c>
      <c r="BX67" s="16">
        <f t="shared" ca="1" si="161"/>
        <v>0</v>
      </c>
      <c r="BY67" s="16">
        <f t="shared" ca="1" si="162"/>
        <v>1</v>
      </c>
      <c r="BZ67" s="16" t="str">
        <f t="shared" ca="1" si="163"/>
        <v>Pos. 1 (12)</v>
      </c>
      <c r="CA67" s="16">
        <f t="shared" ca="1" si="164"/>
        <v>9</v>
      </c>
      <c r="CB67" s="16">
        <f t="shared" ca="1" si="165"/>
        <v>3</v>
      </c>
      <c r="CC67" s="16"/>
      <c r="CD67" s="16">
        <f t="shared" ca="1" si="166"/>
        <v>3</v>
      </c>
      <c r="CE67" s="16">
        <f t="shared" ca="1" si="167"/>
        <v>2</v>
      </c>
      <c r="CF67" s="16">
        <f t="shared" ca="1" si="168"/>
        <v>3</v>
      </c>
      <c r="DJ67" s="16">
        <f t="shared" ca="1" si="169"/>
        <v>1</v>
      </c>
      <c r="DK67" s="16"/>
      <c r="DL67" s="16">
        <f t="shared" ca="1" si="170"/>
        <v>1</v>
      </c>
      <c r="DM67" s="16" t="str">
        <f t="shared" ca="1" si="171"/>
        <v>1.1</v>
      </c>
      <c r="DN67" s="16">
        <f t="array" aca="1" ref="DN67" ca="1">OFFSET(Horarios!$P$3,DJ67-1,0,DL67,1)</f>
        <v>1</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12</v>
      </c>
      <c r="BN68" s="16">
        <f t="shared" ca="1" si="153"/>
        <v>12</v>
      </c>
      <c r="BO68" s="16" t="str">
        <f t="shared" si="154"/>
        <v>4K</v>
      </c>
      <c r="BP68" s="16"/>
      <c r="BQ68" s="16"/>
      <c r="BR68" s="16">
        <f t="shared" ca="1" si="155"/>
        <v>0</v>
      </c>
      <c r="BS68" s="16">
        <f t="shared" ca="1" si="156"/>
        <v>1</v>
      </c>
      <c r="BT68" s="16" t="str">
        <f t="shared" ca="1" si="157"/>
        <v>Pos. 1 (12)</v>
      </c>
      <c r="BU68" s="16">
        <f t="shared" ca="1" si="158"/>
        <v>0</v>
      </c>
      <c r="BV68" s="16">
        <f t="shared" ca="1" si="159"/>
        <v>1</v>
      </c>
      <c r="BW68" s="16" t="str">
        <f t="shared" ca="1" si="160"/>
        <v>Pos. 1 (12)</v>
      </c>
      <c r="BX68" s="16">
        <f t="shared" ca="1" si="161"/>
        <v>0</v>
      </c>
      <c r="BY68" s="16">
        <f t="shared" ca="1" si="162"/>
        <v>1</v>
      </c>
      <c r="BZ68" s="16" t="str">
        <f t="shared" ca="1" si="163"/>
        <v>Pos. 1 (12)</v>
      </c>
      <c r="CA68" s="16">
        <f t="shared" ca="1" si="164"/>
        <v>0</v>
      </c>
      <c r="CB68" s="16">
        <f t="shared" ca="1" si="165"/>
        <v>12</v>
      </c>
      <c r="CC68" s="16"/>
      <c r="CD68" s="16">
        <f t="shared" ca="1" si="166"/>
        <v>12</v>
      </c>
      <c r="CE68" s="16">
        <f t="shared" ca="1" si="167"/>
        <v>11</v>
      </c>
      <c r="CF68" s="16">
        <f t="shared" ca="1" si="168"/>
        <v>12</v>
      </c>
      <c r="DJ68" s="16">
        <f t="shared" ca="1" si="169"/>
        <v>1</v>
      </c>
      <c r="DK68" s="16"/>
      <c r="DL68" s="16">
        <f t="shared" ca="1" si="170"/>
        <v>1</v>
      </c>
      <c r="DM68" s="16" t="str">
        <f t="shared" ca="1" si="171"/>
        <v>1.1</v>
      </c>
      <c r="DN68" s="16">
        <f t="array" aca="1" ref="DN68" ca="1">OFFSET(Horarios!$P$3,DJ68-1,0,DL68,1)</f>
        <v>1</v>
      </c>
      <c r="DO68" s="16"/>
      <c r="DP68" s="16">
        <v>11</v>
      </c>
      <c r="DQ68" s="16" t="str">
        <f t="shared" ca="1" si="172"/>
        <v>Suecia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3"/>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1</v>
      </c>
      <c r="BT69" s="16" t="str">
        <f t="shared" ca="1" si="157"/>
        <v>Pos. 1 (12)</v>
      </c>
      <c r="BU69" s="16">
        <f t="shared" ca="1" si="158"/>
        <v>0</v>
      </c>
      <c r="BV69" s="16">
        <f t="shared" ca="1" si="159"/>
        <v>1</v>
      </c>
      <c r="BW69" s="16" t="str">
        <f t="shared" ca="1" si="160"/>
        <v>Pos. 1 (12)</v>
      </c>
      <c r="BX69" s="16">
        <f t="shared" ca="1" si="161"/>
        <v>0</v>
      </c>
      <c r="BY69" s="16">
        <f t="shared" ca="1" si="162"/>
        <v>1</v>
      </c>
      <c r="BZ69" s="16" t="str">
        <f t="shared" ca="1" si="163"/>
        <v>Pos. 1 (12)</v>
      </c>
      <c r="CA69" s="16">
        <f t="shared" ca="1" si="164"/>
        <v>6</v>
      </c>
      <c r="CB69" s="16">
        <f t="shared" ca="1" si="165"/>
        <v>6</v>
      </c>
      <c r="CC69" s="16"/>
      <c r="CD69" s="16">
        <f t="shared" ca="1" si="166"/>
        <v>6</v>
      </c>
      <c r="CE69" s="16">
        <f t="shared" ca="1" si="167"/>
        <v>5</v>
      </c>
      <c r="CF69" s="16">
        <f t="shared" ca="1" si="168"/>
        <v>6</v>
      </c>
      <c r="DJ69" s="16">
        <f t="shared" ca="1" si="169"/>
        <v>1</v>
      </c>
      <c r="DK69" s="16"/>
      <c r="DL69" s="16">
        <f t="shared" ca="1" si="170"/>
        <v>1</v>
      </c>
      <c r="DM69" s="16" t="str">
        <f t="shared" ca="1" si="171"/>
        <v>1.1</v>
      </c>
      <c r="DN69" s="16">
        <f t="array" aca="1" ref="DN69" ca="1">OFFSET(Horarios!$P$3,DJ69-1,0,DL69,1)</f>
        <v>1</v>
      </c>
      <c r="DO69" s="16"/>
      <c r="DP69" s="16">
        <v>12</v>
      </c>
      <c r="DQ69" s="16" t="str">
        <f t="shared" ca="1" si="172"/>
        <v>Uzbekistán</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3"/>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3"/>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3"/>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4"/>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22"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3"/>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3"/>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3"/>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4"/>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3"/>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3"/>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3"/>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4"/>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3"/>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3"/>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3"/>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4"/>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2</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0</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Arabia Saudita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3"/>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Australia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3"/>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Catar</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Costa de Marfil</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3"/>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3"/>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Haití</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Irak</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3"/>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Suecia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3"/>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0|-</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0|-</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t="str">
        <f>IF(ISBLANK(INDEX(WORLDCUP!$AC$4:$AC$147,MATCH(A4,WORLDCUP!$AH$4:$AH$147,0))),"",INDEX(WORLDCUP!$AC$4:$AC$147,MATCH(A4,WORLDCUP!$AH$4:$AH$147,0)))</f>
        <v/>
      </c>
      <c r="E4" s="433" t="str">
        <f>IF(ISBLANK(INDEX(WORLDCUP!$AD$4:$AD$147,MATCH(A4,WORLDCUP!$AH$4:$AH$147,0))),"",INDEX(WORLDCUP!$AD$4:$AD$147,MATCH(A4,WORLDCUP!$AH$4:$AH$147,0)))</f>
        <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0</v>
      </c>
      <c r="J5" s="39">
        <f ca="1">+INDEX(WORLDCUP!$AT$6:$AT$97,MATCH(L5,WORLDCUP!$AI$6:$AI$97,0))</f>
        <v>0</v>
      </c>
      <c r="K5" s="43" t="str">
        <f ca="1">+INDEX(WORLDCUP!$AR$6:$AR$97,MATCH(L5,WORLDCUP!$AI$6:$AI$97,0))&amp;"-"&amp;INDEX(WORLDCUP!$AS$6:$AS$97,MATCH(L5,WORLDCUP!$AI$6:$AI$97,0))</f>
        <v>0-0</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0</v>
      </c>
      <c r="K6" s="43" t="str">
        <f ca="1">+INDEX(WORLDCUP!$AR$6:$AR$97,MATCH(L6,WORLDCUP!$AI$6:$AI$97,0))&amp;"-"&amp;INDEX(WORLDCUP!$AS$6:$AS$97,MATCH(L6,WORLDCUP!$AI$6:$AI$97,0))</f>
        <v>0-0</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t="str">
        <f>IF(ISBLANK(INDEX(WORLDCUP!$AC$4:$AC$147,MATCH(A11,WORLDCUP!$AH$4:$AH$147,0))),"",INDEX(WORLDCUP!$AC$4:$AC$147,MATCH(A11,WORLDCUP!$AH$4:$AH$147,0)))</f>
        <v/>
      </c>
      <c r="E11" s="406" t="str">
        <f>IF(ISBLANK(INDEX(WORLDCUP!$AD$4:$AD$147,MATCH(A11,WORLDCUP!$AH$4:$AH$147,0))),"",INDEX(WORLDCUP!$AD$4:$AD$147,MATCH(A11,WORLDCUP!$AH$4:$AH$147,0)))</f>
        <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0</v>
      </c>
      <c r="J12" s="438">
        <f ca="1">+INDEX(WORLDCUP!$AT$6:$AT$97,MATCH(L12,WORLDCUP!$AI$6:$AI$97,0))</f>
        <v>0</v>
      </c>
      <c r="K12" s="439" t="str">
        <f ca="1">+INDEX(WORLDCUP!$AR$6:$AR$97,MATCH(L12,WORLDCUP!$AI$6:$AI$97,0))&amp;"-"&amp;INDEX(WORLDCUP!$AS$6:$AS$97,MATCH(L12,WORLDCUP!$AI$6:$AI$97,0))</f>
        <v>0-0</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2026-06-11T21:37:11Z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
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FB2EF204-D576-7947-BAD6-0B0089BE893C}" xr6:coauthVersionLast="47" xr6:coauthVersionMax="47" xr10:uidLastSave="{00000000-0000-0000-0000-000000000000}"/>
  <bookViews>
    <workbookView xWindow="0" yWindow="660" windowWidth="34560" windowHeight="199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Q85" i="2"/>
  <c r="I85" i="2"/>
  <c r="H85" i="2"/>
  <c r="F85" i="2"/>
  <c r="U85" i="2"/>
  <c r="L85" i="2"/>
  <c r="K85" i="2"/>
  <c r="T85" i="2"/>
  <c r="R85" i="2"/>
  <c r="O85" i="2"/>
  <c r="E85" i="2"/>
  <c r="C213" i="3"/>
  <c r="L32" i="2"/>
  <c r="K32" i="2"/>
  <c r="K38" i="2"/>
  <c r="F54" i="2"/>
  <c r="E54" i="2"/>
  <c r="N54" i="2"/>
  <c r="L54" i="2"/>
  <c r="K54" i="2"/>
  <c r="H54" i="2"/>
  <c r="Q54" i="2"/>
  <c r="E64" i="2"/>
  <c r="N85"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3" i="4" l="1"/>
  <c r="R28" i="4"/>
  <c r="R27" i="4"/>
  <c r="R4" i="4"/>
  <c r="R3" i="4"/>
  <c r="F43" i="4"/>
  <c r="F4" i="4"/>
  <c r="O6" i="4"/>
  <c r="B43" i="3"/>
  <c r="B72" i="3"/>
  <c r="O31" i="4"/>
  <c r="C47" i="4"/>
  <c r="BC37" i="2"/>
  <c r="BC15" i="2"/>
  <c r="AF33" i="2"/>
  <c r="F32" i="4" s="1"/>
  <c r="AF30" i="2"/>
  <c r="F29" i="4" s="1"/>
  <c r="AY32" i="2"/>
  <c r="AA29" i="2"/>
  <c r="C14" i="4"/>
  <c r="B33" i="3"/>
  <c r="BC49" i="2"/>
  <c r="AA63" i="2"/>
  <c r="AA65" i="2"/>
  <c r="AY65" i="2"/>
  <c r="AF61" i="2"/>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F38" i="4" s="1"/>
  <c r="AF36" i="2"/>
  <c r="AF87" i="2"/>
  <c r="R38" i="4" s="1"/>
  <c r="AA89" i="2"/>
  <c r="AF84" i="2"/>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4" i="4" l="1"/>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T47" i="2"/>
  <c r="F84" i="2" s="1"/>
  <c r="BT43" i="2"/>
  <c r="F76" i="2" s="1"/>
  <c r="BT51" i="2"/>
  <c r="F92" i="2" s="1"/>
  <c r="BT41" i="2"/>
  <c r="F69" i="2" s="1"/>
  <c r="BT38" i="2"/>
  <c r="E68" i="2" s="1"/>
  <c r="BT44" i="2"/>
  <c r="E77" i="2" s="1"/>
  <c r="BT14" i="2"/>
  <c r="E20" i="2" s="1"/>
  <c r="BT42" i="2"/>
  <c r="E76" i="2" s="1"/>
  <c r="BT9" i="2"/>
  <c r="E8" i="2" s="1"/>
  <c r="BT37" i="2"/>
  <c r="F61" i="2" s="1"/>
  <c r="BT8" i="2"/>
  <c r="F9" i="2" s="1"/>
  <c r="BT18" i="2"/>
  <c r="E28" i="2" s="1"/>
  <c r="BT11" i="2"/>
  <c r="F12" i="2" s="1"/>
  <c r="BT25" i="2"/>
  <c r="F37" i="2" s="1"/>
  <c r="BT39" i="2"/>
  <c r="F68" i="2" s="1"/>
  <c r="BT52" i="2"/>
  <c r="E93" i="2" s="1"/>
  <c r="BT16" i="2"/>
  <c r="E21" i="2" s="1"/>
  <c r="BT32" i="2"/>
  <c r="E53" i="2" s="1"/>
  <c r="BT17" i="2"/>
  <c r="F21" i="2" s="1"/>
  <c r="BT35" i="2"/>
  <c r="F60" i="2" s="1"/>
  <c r="BT26" i="2"/>
  <c r="E44" i="2" s="1"/>
  <c r="BT50" i="2"/>
  <c r="E92" i="2" s="1"/>
  <c r="BT30" i="2"/>
  <c r="E52" i="2" s="1"/>
  <c r="BT34" i="2"/>
  <c r="E60" i="2" s="1"/>
  <c r="BT7" i="2"/>
  <c r="E9" i="2" s="1"/>
  <c r="BT27" i="2"/>
  <c r="F44" i="2" s="1"/>
  <c r="BT28" i="2"/>
  <c r="E45" i="2" s="1"/>
  <c r="BT48" i="2"/>
  <c r="BT20" i="2"/>
  <c r="E29" i="2" s="1"/>
  <c r="BT24" i="2"/>
  <c r="E37" i="2" s="1"/>
  <c r="BT13" i="2"/>
  <c r="F13" i="2" s="1"/>
  <c r="BT23" i="2"/>
  <c r="F36" i="2" s="1"/>
  <c r="BT22" i="2"/>
  <c r="E36" i="2" s="1"/>
  <c r="BT31" i="2"/>
  <c r="F52" i="2" s="1"/>
  <c r="BT49" i="2"/>
  <c r="BT21" i="2"/>
  <c r="F29" i="2" s="1"/>
  <c r="BT15" i="2"/>
  <c r="F20" i="2" s="1"/>
  <c r="BT45" i="2"/>
  <c r="F77" i="2" s="1"/>
  <c r="BT33" i="2"/>
  <c r="F53" i="2" s="1"/>
  <c r="BT12" i="2"/>
  <c r="E13" i="2" s="1"/>
  <c r="BT6" i="2"/>
  <c r="F8" i="2" s="1"/>
  <c r="BT10" i="2"/>
  <c r="E12" i="2" s="1"/>
  <c r="BT46" i="2"/>
  <c r="E84" i="2" s="1"/>
  <c r="BI112" i="2"/>
  <c r="BT19" i="2"/>
  <c r="F28" i="2" s="1"/>
  <c r="BT29" i="2"/>
  <c r="F45" i="2" s="1"/>
  <c r="BT53" i="2"/>
  <c r="F93" i="2" s="1"/>
  <c r="BT36" i="2"/>
  <c r="E61" i="2" s="1"/>
  <c r="BV40" i="2" l="1"/>
  <c r="E69" i="2"/>
  <c r="E5" i="2"/>
  <c r="F7" i="2"/>
  <c r="E4" i="2"/>
  <c r="E7" i="2"/>
  <c r="F5" i="2"/>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H69" i="2" s="1"/>
  <c r="BZ42" i="2"/>
  <c r="BZ45" i="2"/>
  <c r="BZ24" i="2"/>
  <c r="BZ36" i="2"/>
  <c r="BZ39" i="2"/>
  <c r="BZ31" i="2"/>
  <c r="BZ22" i="2"/>
  <c r="BZ23" i="2"/>
  <c r="BZ33" i="2"/>
  <c r="BZ21" i="2"/>
  <c r="BZ27" i="2"/>
  <c r="BZ12" i="2"/>
  <c r="H13" i="2" s="1"/>
  <c r="BZ53" i="2"/>
  <c r="BZ25" i="2"/>
  <c r="BZ51" i="2"/>
  <c r="BZ16" i="2"/>
  <c r="BZ50" i="2"/>
  <c r="BZ34" i="2"/>
  <c r="BZ41" i="2"/>
  <c r="BZ30" i="2"/>
  <c r="BZ9" i="2"/>
  <c r="H8" i="2" s="1"/>
  <c r="BZ32" i="2"/>
  <c r="BZ17" i="2"/>
  <c r="BZ47" i="2"/>
  <c r="BZ6" i="2"/>
  <c r="BZ38" i="2"/>
  <c r="BZ46" i="2"/>
  <c r="BZ15" i="2"/>
  <c r="BZ44" i="2"/>
  <c r="BZ48" i="2"/>
  <c r="CA48" i="2" s="1"/>
  <c r="BZ26" i="2"/>
  <c r="BZ19" i="2"/>
  <c r="BZ20" i="2"/>
  <c r="BZ29" i="2"/>
  <c r="BZ10" i="2"/>
  <c r="BZ8" i="2"/>
  <c r="BZ28" i="2"/>
  <c r="BZ37" i="2"/>
  <c r="BZ52" i="2"/>
  <c r="BZ13" i="2"/>
  <c r="BZ35" i="2"/>
  <c r="BZ18" i="2"/>
  <c r="BZ43" i="2"/>
  <c r="BZ11" i="2"/>
  <c r="BZ14" i="2"/>
  <c r="BZ7" i="2"/>
  <c r="H9" i="2" s="1"/>
  <c r="CA49" i="2"/>
  <c r="CB49" i="2"/>
  <c r="H93" i="2" l="1"/>
  <c r="CA53" i="2"/>
  <c r="I93" i="2"/>
  <c r="CB52" i="2" s="1"/>
  <c r="CA50" i="2"/>
  <c r="H92" i="2"/>
  <c r="CA51" i="2"/>
  <c r="I92" i="2"/>
  <c r="I84" i="2"/>
  <c r="CA46" i="2"/>
  <c r="H84" i="2"/>
  <c r="CA47" i="2" s="1"/>
  <c r="CB44" i="2"/>
  <c r="H77" i="2"/>
  <c r="CA45" i="2"/>
  <c r="I77" i="2"/>
  <c r="I76" i="2"/>
  <c r="CB45" i="2"/>
  <c r="CB42"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CA42" i="2"/>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CC53" i="2" s="1"/>
  <c r="I7" i="2"/>
  <c r="I9" i="2"/>
  <c r="CB16" i="2"/>
  <c r="CC16" i="2" s="1"/>
  <c r="CA36" i="2"/>
  <c r="H7" i="2"/>
  <c r="I8" i="2"/>
  <c r="CB47" i="2"/>
  <c r="I4" i="2"/>
  <c r="CB6" i="2" s="1"/>
  <c r="I6" i="2"/>
  <c r="I5" i="2"/>
  <c r="CB8" i="2" s="1"/>
  <c r="H6" i="2"/>
  <c r="CA44" i="2"/>
  <c r="H5" i="2"/>
  <c r="CA52" i="2"/>
  <c r="CB46" i="2"/>
  <c r="CC46" i="2" s="1"/>
  <c r="CB50" i="2"/>
  <c r="CC50" i="2" s="1"/>
  <c r="CB13" i="2"/>
  <c r="CB37" i="2"/>
  <c r="CB51" i="2"/>
  <c r="CC51" i="2" s="1"/>
  <c r="CA38" i="2"/>
  <c r="CB48" i="2"/>
  <c r="CC48" i="2" s="1"/>
  <c r="H4" i="2"/>
  <c r="CA39" i="2"/>
  <c r="CA41" i="2"/>
  <c r="CC41" i="2" s="1"/>
  <c r="CC49" i="2"/>
  <c r="CA43" i="2"/>
  <c r="CC52" i="2" l="1"/>
  <c r="CC47" i="2"/>
  <c r="CA35" i="2"/>
  <c r="CC35" i="2" s="1"/>
  <c r="CC45" i="2"/>
  <c r="CA25" i="2"/>
  <c r="CC25" i="2" s="1"/>
  <c r="CA33" i="2"/>
  <c r="CC33" i="2" s="1"/>
  <c r="CA32" i="2"/>
  <c r="CC32" i="2" s="1"/>
  <c r="CC43" i="2"/>
  <c r="CC44" i="2"/>
  <c r="CB31" i="2"/>
  <c r="CC31" i="2" s="1"/>
  <c r="CC37" i="2"/>
  <c r="CC42" i="2"/>
  <c r="CA20" i="2"/>
  <c r="CC20" i="2" s="1"/>
  <c r="CB19" i="2"/>
  <c r="CC19" i="2" s="1"/>
  <c r="CB24" i="2"/>
  <c r="CC24" i="2" s="1"/>
  <c r="CA26" i="2"/>
  <c r="CC26" i="2" s="1"/>
  <c r="CC38" i="2"/>
  <c r="CB34" i="2"/>
  <c r="CC34" i="2" s="1"/>
  <c r="CA30" i="2"/>
  <c r="CC30" i="2" s="1"/>
  <c r="CC39" i="2"/>
  <c r="CA22" i="2"/>
  <c r="CC22" i="2" s="1"/>
  <c r="CA40" i="2"/>
  <c r="CB40" i="2"/>
  <c r="CC36"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F49" i="2" s="1"/>
  <c r="CE28" i="2"/>
  <c r="CE21" i="2"/>
  <c r="CE48" i="2"/>
  <c r="CF48" i="2" s="1"/>
  <c r="CE10" i="2"/>
  <c r="CE13" i="2"/>
  <c r="CE40" i="2"/>
  <c r="CE38" i="2"/>
  <c r="CE35" i="2"/>
  <c r="CE16" i="2"/>
  <c r="CE26" i="2"/>
  <c r="CE19" i="2"/>
  <c r="CE18" i="2"/>
  <c r="CE41" i="2"/>
  <c r="CE43" i="2"/>
  <c r="CE14" i="2"/>
  <c r="CE46" i="2"/>
  <c r="K93" i="2" l="1"/>
  <c r="CF53" i="2"/>
  <c r="L93" i="2"/>
  <c r="CF52" i="2" s="1"/>
  <c r="CF51" i="2"/>
  <c r="L92" i="2"/>
  <c r="CF50" i="2"/>
  <c r="K92" i="2"/>
  <c r="L84" i="2"/>
  <c r="CF46" i="2" s="1"/>
  <c r="K84" i="2"/>
  <c r="CF47" i="2" s="1"/>
  <c r="K77" i="2"/>
  <c r="CF45" i="2"/>
  <c r="L77" i="2"/>
  <c r="CF44" i="2" s="1"/>
  <c r="L76" i="2"/>
  <c r="CF42" i="2" s="1"/>
  <c r="K76" i="2"/>
  <c r="CF43" i="2" s="1"/>
  <c r="L69" i="2"/>
  <c r="CF40" i="2" s="1"/>
  <c r="K69" i="2"/>
  <c r="CF41" i="2" s="1"/>
  <c r="CF39" i="2"/>
  <c r="L68" i="2"/>
  <c r="CF38" i="2" s="1"/>
  <c r="K68" i="2"/>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N4" i="2" s="1"/>
  <c r="CJ7" i="2" s="1"/>
  <c r="CH34" i="2"/>
  <c r="CH16" i="2"/>
  <c r="CI16" i="2" s="1"/>
  <c r="CH44" i="2"/>
  <c r="CH25" i="2"/>
  <c r="CH8" i="2"/>
  <c r="O9" i="2" s="1"/>
  <c r="CH45" i="2"/>
  <c r="CH18" i="2"/>
  <c r="CK18" i="2" s="1"/>
  <c r="CH23" i="2"/>
  <c r="O36" i="2" s="1"/>
  <c r="CH47" i="2"/>
  <c r="CH32" i="2"/>
  <c r="CH43" i="2"/>
  <c r="CH49" i="2"/>
  <c r="CI49" i="2" s="1"/>
  <c r="CH14" i="2"/>
  <c r="CH38" i="2"/>
  <c r="N68" i="2" s="1"/>
  <c r="CH36" i="2"/>
  <c r="CH46" i="2"/>
  <c r="CH48" i="2"/>
  <c r="CJ48" i="2" s="1"/>
  <c r="CH24" i="2"/>
  <c r="CH31" i="2"/>
  <c r="CH12" i="2"/>
  <c r="CH37" i="2"/>
  <c r="CH35" i="2"/>
  <c r="CH53" i="2"/>
  <c r="CK41" i="2"/>
  <c r="CH17" i="2"/>
  <c r="CH19" i="2"/>
  <c r="CH52" i="2"/>
  <c r="N93" i="2" s="1"/>
  <c r="CH51" i="2"/>
  <c r="CH9" i="2"/>
  <c r="O5" i="2" s="1"/>
  <c r="CH30" i="2"/>
  <c r="CH13" i="2"/>
  <c r="CH42" i="2"/>
  <c r="CH27" i="2"/>
  <c r="CH40" i="2"/>
  <c r="N69" i="2" s="1"/>
  <c r="CI41" i="2" s="1"/>
  <c r="N9" i="2"/>
  <c r="O6" i="2"/>
  <c r="CH26" i="2"/>
  <c r="N44" i="2" s="1"/>
  <c r="CH11" i="2"/>
  <c r="O12" i="2" s="1"/>
  <c r="CH33" i="2"/>
  <c r="O53" i="2" s="1"/>
  <c r="CH22" i="2"/>
  <c r="N36" i="2" s="1"/>
  <c r="CH21" i="2"/>
  <c r="O29" i="2" s="1"/>
  <c r="CH15" i="2"/>
  <c r="CH10" i="2"/>
  <c r="N12" i="2" s="1"/>
  <c r="CH39" i="2"/>
  <c r="O68" i="2" s="1"/>
  <c r="CH29" i="2"/>
  <c r="O45" i="2" s="1"/>
  <c r="CH20" i="2"/>
  <c r="CH50" i="2"/>
  <c r="N92" i="2" s="1"/>
  <c r="N7" i="2"/>
  <c r="O8" i="2"/>
  <c r="O7" i="2"/>
  <c r="CK28" i="2"/>
  <c r="CJ28" i="2"/>
  <c r="CI28" i="2" l="1"/>
  <c r="CJ53" i="2"/>
  <c r="O93" i="2"/>
  <c r="CK51" i="2"/>
  <c r="O92" i="2"/>
  <c r="CK46" i="2"/>
  <c r="N84" i="2"/>
  <c r="CI47" i="2"/>
  <c r="O84" i="2"/>
  <c r="CJ45" i="2"/>
  <c r="O77" i="2"/>
  <c r="CI44" i="2" s="1"/>
  <c r="N77" i="2"/>
  <c r="CJ43" i="2"/>
  <c r="O76" i="2"/>
  <c r="CI42" i="2" s="1"/>
  <c r="N76" i="2"/>
  <c r="N5" i="2"/>
  <c r="CJ41" i="2"/>
  <c r="CL41" i="2" s="1"/>
  <c r="O69" i="2"/>
  <c r="CI32" i="2"/>
  <c r="N53" i="2"/>
  <c r="CI36" i="2"/>
  <c r="N61" i="2"/>
  <c r="CK37" i="2"/>
  <c r="O61" i="2"/>
  <c r="O52" i="2"/>
  <c r="CJ30" i="2" s="1"/>
  <c r="N52" i="2"/>
  <c r="CJ31" i="2" s="1"/>
  <c r="O60" i="2"/>
  <c r="CJ34" i="2" s="1"/>
  <c r="N60" i="2"/>
  <c r="CJ35" i="2" s="1"/>
  <c r="CJ24" i="2"/>
  <c r="N37" i="2"/>
  <c r="CK25" i="2" s="1"/>
  <c r="CJ25" i="2"/>
  <c r="O37" i="2"/>
  <c r="CI24" i="2" s="1"/>
  <c r="CI27" i="2"/>
  <c r="O44" i="2"/>
  <c r="CI45" i="2"/>
  <c r="CK20" i="2"/>
  <c r="N29" i="2"/>
  <c r="CK45" i="2"/>
  <c r="CI8" i="2"/>
  <c r="CK17" i="2"/>
  <c r="O21" i="2"/>
  <c r="CJ16" i="2"/>
  <c r="N21" i="2"/>
  <c r="CI15" i="2"/>
  <c r="O20" i="2"/>
  <c r="CJ14" i="2" s="1"/>
  <c r="CI14" i="2"/>
  <c r="N20" i="2"/>
  <c r="CI34" i="2"/>
  <c r="CJ32" i="2"/>
  <c r="CK43" i="2"/>
  <c r="CI43" i="2"/>
  <c r="CL43" i="2" s="1"/>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CL7" i="2" s="1"/>
  <c r="N8" i="2"/>
  <c r="CJ6" i="2" s="1"/>
  <c r="CJ36" i="2"/>
  <c r="CK42" i="2"/>
  <c r="CJ44" i="2"/>
  <c r="CK34" i="2"/>
  <c r="CK7" i="2"/>
  <c r="CI9" i="2"/>
  <c r="CJ47" i="2"/>
  <c r="CL47" i="2" s="1"/>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42" i="2" l="1"/>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R93" i="2" s="1"/>
  <c r="CN18" i="2"/>
  <c r="Q28" i="2" s="1"/>
  <c r="CN33" i="2"/>
  <c r="R53" i="2" s="1"/>
  <c r="CN30" i="2"/>
  <c r="Q52" i="2" s="1"/>
  <c r="CN28" i="2"/>
  <c r="Q45" i="2" s="1"/>
  <c r="CN36" i="2"/>
  <c r="Q61" i="2" s="1"/>
  <c r="CN24" i="2"/>
  <c r="Q37" i="2" s="1"/>
  <c r="CN48" i="2"/>
  <c r="CN34" i="2"/>
  <c r="Q60" i="2" s="1"/>
  <c r="CN13" i="2"/>
  <c r="R13" i="2" s="1"/>
  <c r="CN51" i="2"/>
  <c r="R92" i="2" s="1"/>
  <c r="CN43" i="2"/>
  <c r="R76" i="2" s="1"/>
  <c r="CN15" i="2"/>
  <c r="R20" i="2" s="1"/>
  <c r="CN14" i="2"/>
  <c r="Q20" i="2" s="1"/>
  <c r="CN40" i="2"/>
  <c r="Q69" i="2" s="1"/>
  <c r="CN26" i="2"/>
  <c r="Q44" i="2" s="1"/>
  <c r="CN31" i="2"/>
  <c r="R52" i="2" s="1"/>
  <c r="CN38" i="2"/>
  <c r="Q68" i="2" s="1"/>
  <c r="CN21" i="2"/>
  <c r="R29" i="2" s="1"/>
  <c r="CN23" i="2"/>
  <c r="R36" i="2" s="1"/>
  <c r="CN17" i="2"/>
  <c r="R21" i="2" s="1"/>
  <c r="CN20" i="2"/>
  <c r="Q29" i="2" s="1"/>
  <c r="CN35" i="2"/>
  <c r="R60" i="2" s="1"/>
  <c r="CN44" i="2"/>
  <c r="Q77" i="2" s="1"/>
  <c r="CN25" i="2"/>
  <c r="R37" i="2" s="1"/>
  <c r="CN39" i="2"/>
  <c r="R68" i="2" s="1"/>
  <c r="CN52" i="2"/>
  <c r="Q93" i="2" s="1"/>
  <c r="CN47" i="2"/>
  <c r="R84" i="2" s="1"/>
  <c r="CN50" i="2"/>
  <c r="Q92" i="2" s="1"/>
  <c r="CN16" i="2"/>
  <c r="Q21" i="2" s="1"/>
  <c r="CN12" i="2"/>
  <c r="Q13" i="2" s="1"/>
  <c r="CN22" i="2"/>
  <c r="Q36" i="2" s="1"/>
  <c r="CN19" i="2"/>
  <c r="R28" i="2" s="1"/>
  <c r="CN49" i="2"/>
  <c r="CN41" i="2"/>
  <c r="R69" i="2" s="1"/>
  <c r="CN8" i="2"/>
  <c r="CN9" i="2"/>
  <c r="CN10" i="2"/>
  <c r="Q12" i="2" s="1"/>
  <c r="CN6" i="2"/>
  <c r="Q4" i="2" s="1"/>
  <c r="CN7" i="2"/>
  <c r="R4" i="2" s="1"/>
  <c r="CN46" i="2"/>
  <c r="Q84" i="2" s="1"/>
  <c r="CN11" i="2"/>
  <c r="R12" i="2" s="1"/>
  <c r="CP42" i="2" l="1"/>
  <c r="Q76" i="2"/>
  <c r="CP29" i="2"/>
  <c r="R45" i="2"/>
  <c r="CP27" i="2"/>
  <c r="R44" i="2"/>
  <c r="CO42" i="2"/>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42" i="2" l="1"/>
  <c r="CQ27" i="2"/>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S53" i="2"/>
  <c r="CS41" i="2"/>
  <c r="CS29" i="2"/>
  <c r="CS8" i="2"/>
  <c r="CS31" i="2"/>
  <c r="CS39" i="2"/>
  <c r="CS28" i="2"/>
  <c r="CS44" i="2"/>
  <c r="CS20" i="2"/>
  <c r="CS21" i="2"/>
  <c r="CS38" i="2"/>
  <c r="CS30" i="2"/>
  <c r="CS32" i="2"/>
  <c r="CS17" i="2"/>
  <c r="CS7" i="2"/>
  <c r="U4" i="2" s="1"/>
  <c r="CS23" i="2"/>
  <c r="CS48" i="2"/>
  <c r="CT48" i="2" s="1"/>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U7" i="2"/>
  <c r="U93" i="2" l="1"/>
  <c r="CT52" i="2"/>
  <c r="T93" i="2"/>
  <c r="CT53" i="2" s="1"/>
  <c r="CT50" i="2"/>
  <c r="T92" i="2"/>
  <c r="CT51" i="2"/>
  <c r="U92" i="2"/>
  <c r="CT47" i="2"/>
  <c r="U84" i="2"/>
  <c r="CT46" i="2"/>
  <c r="T84" i="2"/>
  <c r="T77" i="2"/>
  <c r="CT45" i="2"/>
  <c r="U77" i="2"/>
  <c r="CT44" i="2" s="1"/>
  <c r="U76" i="2"/>
  <c r="CT42" i="2" s="1"/>
  <c r="T76" i="2"/>
  <c r="CT43" i="2" s="1"/>
  <c r="CT41" i="2"/>
  <c r="U69" i="2"/>
  <c r="CT40" i="2" s="1"/>
  <c r="T69" i="2"/>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9" i="2" s="1"/>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W16" i="2"/>
  <c r="CX16" i="2" s="1"/>
  <c r="CW42" i="2"/>
  <c r="CX22" i="2" s="1"/>
  <c r="CX6" i="2"/>
  <c r="CX8" i="2" l="1"/>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<sst xmlns="http://schemas.openxmlformats.org/spreadsheetml/2006/main" count="6754" uniqueCount="1516">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</sst>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V83" sqref="AV83"/>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52" zoomScaleNormal="100" workbookViewId="0">
      <selection activeCell="AV83" sqref="AV8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3"/>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3"/>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3"/>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4"/>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3"/>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3"/>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3"/>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3"/>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4"/>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40"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3"/>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3"/>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3"/>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4"/>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1"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3"/>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3"/>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3"/>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3"/>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4"/>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3"/>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3"/>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3"/>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4"/>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1</v>
      </c>
      <c r="CB46" s="16">
        <f t="shared" ca="1" si="33"/>
        <v>1</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1</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1</v>
      </c>
      <c r="CP46" s="16">
        <f t="shared" ca="1" si="41"/>
        <v>1</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1</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(2)</v>
      </c>
      <c r="CZ46" s="16">
        <f t="shared" ca="1" si="45"/>
        <v>1</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3"/>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(2)</v>
      </c>
      <c r="BU47" s="16">
        <f t="shared" ca="1" si="28"/>
        <v>0</v>
      </c>
      <c r="BV47" s="16">
        <f t="shared" ca="1" si="29"/>
        <v>1</v>
      </c>
      <c r="BW47" s="16">
        <f t="shared" ca="1" si="30"/>
        <v>0</v>
      </c>
      <c r="BX47" s="16">
        <f t="shared" ca="1" si="31"/>
        <v>1</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(2)</v>
      </c>
      <c r="CA47" s="16">
        <f t="shared" ca="1" si="32"/>
        <v>1</v>
      </c>
      <c r="CB47" s="16">
        <f t="shared" ca="1" si="33"/>
        <v>1</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(2)</v>
      </c>
      <c r="CF47" s="16">
        <f t="shared" ca="1" si="35"/>
        <v>1</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(2)</v>
      </c>
      <c r="CI47" s="16">
        <f t="shared" ca="1" si="36"/>
        <v>0</v>
      </c>
      <c r="CJ47" s="16">
        <f t="shared" ca="1" si="37"/>
        <v>1</v>
      </c>
      <c r="CK47" s="16">
        <f t="shared" ca="1" si="38"/>
        <v>0</v>
      </c>
      <c r="CL47" s="16">
        <f t="shared" ca="1" si="39"/>
        <v>1</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(2)</v>
      </c>
      <c r="CO47" s="16">
        <f t="shared" ca="1" si="40"/>
        <v>1</v>
      </c>
      <c r="CP47" s="16">
        <f t="shared" ca="1" si="41"/>
        <v>1</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(2)</v>
      </c>
      <c r="CT47" s="16">
        <f t="shared" ca="1" si="43"/>
        <v>1</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(2)</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(2)</v>
      </c>
      <c r="CZ47" s="16">
        <f t="shared" ca="1" si="45"/>
        <v>1</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2</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3"/>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0</v>
      </c>
      <c r="BW48" s="16">
        <f t="shared" ca="1" si="30"/>
        <v>0</v>
      </c>
      <c r="BX48" s="16">
        <f t="shared" ca="1" si="31"/>
        <v>0</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0</v>
      </c>
      <c r="CB48" s="16">
        <f t="shared" ca="1" si="33"/>
        <v>0</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0</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0</v>
      </c>
      <c r="CK48" s="16">
        <f t="shared" ca="1" si="38"/>
        <v>0</v>
      </c>
      <c r="CL48" s="16">
        <f t="shared" ca="1" si="39"/>
        <v>0</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0</v>
      </c>
      <c r="CP48" s="16">
        <f t="shared" ca="1" si="41"/>
        <v>0</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0</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0</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0</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3</v>
      </c>
      <c r="DK48" s="16">
        <f t="shared" ca="1" si="48"/>
        <v>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4"/>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3</v>
      </c>
      <c r="BT49" s="16" t="str">
        <f ca="1">IF(COUNTIFS($BS$6:$BS$53,BS49,$BC$6:$BC$53,INDEX(T_Equipos[Grupo],MATCH(BD49,T_Equipos[NombreEquipo],0)))=1,"-","P."&amp;BS49&amp;" ("&amp;COUNTIFS($BS$6:$BS$53,BS49,$BC$6:$BC$53,INDEX(T_Equipos[Grupo],MATCH(BD49,T_Equipos[NombreEquipo],0)))&amp;")")</f>
        <v>P.3 (2)</v>
      </c>
      <c r="BU49" s="16">
        <f t="shared" ca="1" si="28"/>
        <v>0</v>
      </c>
      <c r="BV49" s="16">
        <f t="shared" ca="1" si="29"/>
        <v>0</v>
      </c>
      <c r="BW49" s="16">
        <f t="shared" ca="1" si="30"/>
        <v>0</v>
      </c>
      <c r="BX49" s="16">
        <f t="shared" ca="1" si="31"/>
        <v>0</v>
      </c>
      <c r="BY49" s="16">
        <f ca="1">BS49+COUNTIFS($BT$6:$BT$53,BT49,$BX$6:BX$53,"&gt;"&amp;BX49,$BC$6:$BC$53,INDEX(T_Equipos[Grupo],MATCH(BD49,T_Equipos[NombreEquipo],0)))</f>
        <v>3</v>
      </c>
      <c r="BZ49" s="16" t="str">
        <f ca="1">IF(COUNTIFS($BY$6:$BY$53,BY49,$BC$6:$BC$53,INDEX(T_Equipos[Grupo],MATCH(BD49,T_Equipos[NombreEquipo],0)))=1,"-","P."&amp;BY49&amp;" ("&amp;COUNTIFS($BY$6:$BY$53,BY49,$BC$6:$BC$53,INDEX(T_Equipos[Grupo],MATCH(BD49,T_Equipos[NombreEquipo],0)))&amp;")")</f>
        <v>P.3 (2)</v>
      </c>
      <c r="CA49" s="16">
        <f t="shared" ca="1" si="32"/>
        <v>0</v>
      </c>
      <c r="CB49" s="16">
        <f t="shared" ca="1" si="33"/>
        <v>0</v>
      </c>
      <c r="CC49" s="16">
        <f t="shared" ca="1" si="34"/>
        <v>0</v>
      </c>
      <c r="CD49" s="16">
        <f ca="1">BY49+COUNTIFS($BZ$6:$BZ$53,BZ49,$CC$6:CC$53,"&gt;"&amp;CC49,$BC$6:$BC$53,INDEX(T_Equipos[Grupo],MATCH(BD49,T_Equipos[NombreEquipo],0)))</f>
        <v>3</v>
      </c>
      <c r="CE49" s="16" t="str">
        <f ca="1">IF(COUNTIFS($CD$6:$CD$53,CD49,$BC$6:$BC$53,INDEX(T_Equipos[Grupo],MATCH(BD49,T_Equipos[NombreEquipo],0)))=1,"-","P."&amp;CD49&amp;" ("&amp;COUNTIFS($CD$6:$CD$53,CD49,$BC$6:$BC$53,INDEX(T_Equipos[Grupo],MATCH(BD49,T_Equipos[NombreEquipo],0)))&amp;")")</f>
        <v>P.3 (2)</v>
      </c>
      <c r="CF49" s="16">
        <f t="shared" ca="1" si="35"/>
        <v>0</v>
      </c>
      <c r="CG49" s="16">
        <f ca="1">CD49+COUNTIFS($CE$6:$CE$53,CE49,$CF$6:CF$53,"&gt;"&amp;CF49,$BC$6:$BC$53,INDEX(T_Equipos[Grupo],MATCH(BD49,T_Equipos[NombreEquipo],0)))</f>
        <v>3</v>
      </c>
      <c r="CH49" s="16" t="str">
        <f ca="1">IF(COUNTIFS($CG$6:$CG$53,CG49,$BC$6:$BC$53,INDEX(T_Equipos[Grupo],MATCH(BD49,T_Equipos[NombreEquipo],0)))=1,"-","P."&amp;CG49&amp;" ("&amp;COUNTIFS($CG$6:$CG$53,CG49,$BC$6:$BC$53,INDEX(T_Equipos[Grupo],MATCH(BD49,T_Equipos[NombreEquipo],0)))&amp;")")</f>
        <v>P.3 (2)</v>
      </c>
      <c r="CI49" s="16">
        <f t="shared" ca="1" si="36"/>
        <v>0</v>
      </c>
      <c r="CJ49" s="16">
        <f t="shared" ca="1" si="37"/>
        <v>0</v>
      </c>
      <c r="CK49" s="16">
        <f t="shared" ca="1" si="38"/>
        <v>0</v>
      </c>
      <c r="CL49" s="16">
        <f t="shared" ca="1" si="39"/>
        <v>0</v>
      </c>
      <c r="CM49" s="16">
        <f ca="1">CG49+COUNTIFS($CH$6:$CH$53,CH49,$CL$6:CL$53,"&gt;"&amp;CL49,$BC$6:$BC$53,INDEX(T_Equipos[Grupo],MATCH(BD49,T_Equipos[NombreEquipo],0)))</f>
        <v>3</v>
      </c>
      <c r="CN49" s="16" t="str">
        <f ca="1">IF(COUNTIFS($CM$6:$CM$53,CM49,$BC$6:$BC$53,INDEX(T_Equipos[Grupo],MATCH(BD49,T_Equipos[NombreEquipo],0)))=1,"-","P."&amp;CM49&amp;" ("&amp;COUNTIFS($CM$6:$CM$53,CM49,$BC$6:$BC$53,INDEX(T_Equipos[Grupo],MATCH(BD49,T_Equipos[NombreEquipo],0)))&amp;")")</f>
        <v>P.3 (2)</v>
      </c>
      <c r="CO49" s="16">
        <f t="shared" ca="1" si="40"/>
        <v>0</v>
      </c>
      <c r="CP49" s="16">
        <f t="shared" ca="1" si="41"/>
        <v>0</v>
      </c>
      <c r="CQ49" s="16">
        <f t="shared" ca="1" si="42"/>
        <v>0</v>
      </c>
      <c r="CR49" s="16">
        <f ca="1">CM49+COUNTIFS($CN$6:$CN$53,CN49,$CQ$6:CQ$53,"&gt;"&amp;CQ49,$BC$6:$BC$53,INDEX(T_Equipos[Grupo],MATCH(BD49,T_Equipos[NombreEquipo],0)))</f>
        <v>3</v>
      </c>
      <c r="CS49" s="16" t="str">
        <f ca="1">IF(COUNTIFS($CR$6:$CR$53,CR49,$BC$6:$BC$53,INDEX(T_Equipos[Grupo],MATCH(BD49,T_Equipos[NombreEquipo],0)))=1,"-","P."&amp;CR49&amp;" ("&amp;COUNTIFS($CR$6:$CR$53,CR49,$BC$6:$BC$53,INDEX(T_Equipos[Grupo],MATCH(BD49,T_Equipos[NombreEquipo],0)))&amp;")")</f>
        <v>P.3 (2)</v>
      </c>
      <c r="CT49" s="16">
        <f t="shared" ca="1" si="43"/>
        <v>0</v>
      </c>
      <c r="CU49" s="16">
        <f ca="1">CR49+COUNTIFS($CS$6:$CS$53,CS49,$CT$6:CT$53,"&gt;"&amp;CT49,$BC$6:$BC$53,INDEX(T_Equipos[Grupo],MATCH(BD49,T_Equipos[NombreEquipo],0)))</f>
        <v>3</v>
      </c>
      <c r="CV49" s="16" t="str">
        <f ca="1">IF(COUNTIFS($CU$6:$CU$53,CU49,$BC$6:$BC$53,INDEX(T_Equipos[Grupo],MATCH(BD49,T_Equipos[NombreEquipo],0)))=1,"-","P."&amp;CU49&amp;" ("&amp;COUNTIFS($CU$6:$CU$53,CU49,$BC$6:$BC$53,INDEX(T_Equipos[Grupo],MATCH(BD49,T_Equipos[NombreEquipo],0)))&amp;")")</f>
        <v>P.3 (2)</v>
      </c>
      <c r="CW49" s="16">
        <f t="shared" ca="1" si="44"/>
        <v>0</v>
      </c>
      <c r="CX49" s="16">
        <f ca="1">CU49+COUNTIFS($CV$6:$CV$53,CV49,$CW$6:CW$53,"&gt;"&amp;CW49,$BC$6:$BC$53,INDEX(T_Equipos[Grupo],MATCH(BD49,T_Equipos[NombreEquipo],0)))</f>
        <v>3</v>
      </c>
      <c r="CY49" s="16" t="str">
        <f ca="1">IF(COUNTIFS($CX$6:$CX$53,CX49,$BC$6:$BC$53,INDEX(T_Equipos[Grupo],MATCH(BD49,T_Equipos[NombreEquipo],0)))=1,"-","P."&amp;CX49&amp;" ("&amp;COUNTIFS($CX$6:$CX$53,CX49,$BC$6:$BC$53,INDEX(T_Equipos[Grupo],MATCH(BD49,T_Equipos[NombreEquipo],0)))&amp;")")</f>
        <v>P.3 (2)</v>
      </c>
      <c r="CZ49" s="16">
        <f t="shared" ca="1" si="45"/>
        <v>0</v>
      </c>
      <c r="DA49" s="16">
        <f ca="1">CX49+COUNTIFS($CY$6:$CY$53,CY49,$CZ$6:CZ$53,"&gt;"&amp;CZ49,$BC$6:$BC$53,INDEX(T_Equipos[Grupo],MATCH(BD49,T_Equipos[NombreEquipo],0)))</f>
        <v>3</v>
      </c>
      <c r="DB49" s="16" t="str">
        <f ca="1">IF(COUNTIFS($DA$6:$DA$53,DA49,$BC$6:$BC$53,INDEX(T_Equipos[Grupo],MATCH(BD49,T_Equipos[NombreEquipo],0)))=1,"-","P."&amp;DA49&amp;" ("&amp;COUNTIFS($DA$6:$DA$53,DA49,$BC$6:$BC$53,INDEX(T_Equipos[Grupo],MATCH(BD49,T_Equipos[NombreEquipo],0)))&amp;")")</f>
        <v>P.3 (2)</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3</v>
      </c>
      <c r="DK49" s="16">
        <f t="shared" ca="1" si="48"/>
        <v>2</v>
      </c>
      <c r="DL49" s="16">
        <f t="shared" ca="1" si="49"/>
        <v>1</v>
      </c>
      <c r="DM49" s="16" t="str">
        <f t="shared" ca="1" si="50"/>
        <v>3.1</v>
      </c>
      <c r="DN49" s="16">
        <f t="array" aca="1" ref="DN49" ca="1">OFFSET(Horarios!$P$3,DJ49-1,0,DL49,1)</f>
        <v>3</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3"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3"/>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3"/>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3"/>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3"/>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7</v>
      </c>
      <c r="BN58" s="16">
        <f t="shared" ref="BN58:BN69" ca="1" si="153">CF58</f>
        <v>7</v>
      </c>
      <c r="BO58" s="16" t="str">
        <f t="shared" ref="BO58:BO69" si="154">"4"&amp;BC58</f>
        <v>4A</v>
      </c>
      <c r="BP58" s="16"/>
      <c r="BQ58" s="16"/>
      <c r="BR58" s="16">
        <f t="shared" ref="BR58:BR69" ca="1" si="155">+BE58</f>
        <v>0</v>
      </c>
      <c r="BS58" s="16">
        <f t="shared" ref="BS58:BS69" ca="1" si="156">COUNTIFS(BR$58:BR$69,"&gt;"&amp;BR58)+1</f>
        <v>6</v>
      </c>
      <c r="BT58" s="16" t="str">
        <f t="shared" ref="BT58:BT69" ca="1" si="157">IF(COUNTIF(BS$58:BS$69,BS58)=1,"-","Pos. "&amp;BS58&amp;" ("&amp;COUNTIF(BS$58:BS$69,BS58)&amp;")")</f>
        <v>Pos. 6 (7)</v>
      </c>
      <c r="BU58" s="16">
        <f t="shared" ref="BU58:BU69" ca="1" si="158">IF(BT58="-","-",BL58)</f>
        <v>-1</v>
      </c>
      <c r="BV58" s="16">
        <f t="shared" ref="BV58:BV69" ca="1" si="159">BS58+COUNTIFS(BT$58:BT$69,BT58,BU$58:BU$69,"&gt;"&amp;BU58)</f>
        <v>7</v>
      </c>
      <c r="BW58" s="16" t="str">
        <f t="shared" ref="BW58:BW69" ca="1" si="160">IF(COUNTIF(BV$58:BV$69,BV58)=1,"-","Pos. "&amp;BV58&amp;" ("&amp;COUNTIF(BV$58:BV$69,BV58)&amp;")")</f>
        <v>Pos. 7 (3)</v>
      </c>
      <c r="BX58" s="16">
        <f t="shared" ref="BX58:BX69" ca="1" si="161">IF(BW58="-","-",BJ58)</f>
        <v>1</v>
      </c>
      <c r="BY58" s="16">
        <f t="shared" ref="BY58:BY69" ca="1" si="162">BV58+COUNTIFS(BW$58:BW$69,BW58,BX$58:BX$69,"&gt;"&amp;BX58)</f>
        <v>7</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7</v>
      </c>
      <c r="CC58" s="16"/>
      <c r="CD58" s="16">
        <f t="shared" ref="CD58:CD69" ca="1" si="166">IF(OR(INDEX($AW$102:$AW$113,MATCH($BD58,$AV$102:$AV$113,0))="",BZ58="-"),CB58,INDEX($AW$102:$AW$113,MATCH($BD58,$AV$102:$AV$113,0))+CB58/1000)</f>
        <v>7</v>
      </c>
      <c r="CE58" s="16" t="str">
        <f t="shared" ref="CE58:CE69" ca="1" si="167">IF(BZ58="-","-",COUNTIF(CD$58:CD$69,"&lt;"&amp;CD58))</f>
        <v>-</v>
      </c>
      <c r="CF58" s="16">
        <f t="shared" ref="CF58:CF69" ca="1" si="168">BY58+COUNTIFS(BZ$58:BZ$69,BZ58,CE$58:CE$69,"&lt;"&amp;CE58)</f>
        <v>7</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3</v>
      </c>
      <c r="BN59" s="16">
        <f t="shared" ca="1" si="153"/>
        <v>3</v>
      </c>
      <c r="BO59" s="16" t="str">
        <f t="shared" si="154"/>
        <v>4B</v>
      </c>
      <c r="BP59" s="16"/>
      <c r="BQ59" s="16"/>
      <c r="BR59" s="16">
        <f t="shared" ca="1" si="155"/>
        <v>1</v>
      </c>
      <c r="BS59" s="16">
        <f t="shared" ca="1" si="156"/>
        <v>1</v>
      </c>
      <c r="BT59" s="16" t="str">
        <f t="shared" ca="1" si="157"/>
        <v>Pos. 1 (5)</v>
      </c>
      <c r="BU59" s="16">
        <f t="shared" ca="1" si="158"/>
        <v>0</v>
      </c>
      <c r="BV59" s="16">
        <f t="shared" ca="1" si="159"/>
        <v>1</v>
      </c>
      <c r="BW59" s="16" t="str">
        <f t="shared" ca="1" si="160"/>
        <v>Pos. 1 (5)</v>
      </c>
      <c r="BX59" s="16">
        <f t="shared" ca="1" si="161"/>
        <v>1</v>
      </c>
      <c r="BY59" s="16">
        <f t="shared" ca="1" si="162"/>
        <v>2</v>
      </c>
      <c r="BZ59" s="16" t="str">
        <f t="shared" ca="1" si="163"/>
        <v>Pos. 2 (3)</v>
      </c>
      <c r="CA59" s="16">
        <f t="shared" ca="1" si="164"/>
        <v>10</v>
      </c>
      <c r="CB59" s="16">
        <f t="shared" ca="1" si="165"/>
        <v>3</v>
      </c>
      <c r="CC59" s="16"/>
      <c r="CD59" s="16">
        <f t="shared" ca="1" si="166"/>
        <v>3</v>
      </c>
      <c r="CE59" s="16">
        <f t="shared" ca="1" si="167"/>
        <v>2</v>
      </c>
      <c r="CF59" s="16">
        <f t="shared" ca="1" si="168"/>
        <v>3</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6"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4</v>
      </c>
      <c r="BN60" s="16">
        <f t="shared" ca="1" si="153"/>
        <v>4</v>
      </c>
      <c r="BO60" s="16" t="str">
        <f t="shared" si="154"/>
        <v>4C</v>
      </c>
      <c r="BP60" s="16"/>
      <c r="BQ60" s="16"/>
      <c r="BR60" s="16">
        <f t="shared" ca="1" si="155"/>
        <v>1</v>
      </c>
      <c r="BS60" s="16">
        <f t="shared" ca="1" si="156"/>
        <v>1</v>
      </c>
      <c r="BT60" s="16" t="str">
        <f t="shared" ca="1" si="157"/>
        <v>Pos. 1 (5)</v>
      </c>
      <c r="BU60" s="16">
        <f t="shared" ca="1" si="158"/>
        <v>0</v>
      </c>
      <c r="BV60" s="16">
        <f t="shared" ca="1" si="159"/>
        <v>1</v>
      </c>
      <c r="BW60" s="16" t="str">
        <f t="shared" ca="1" si="160"/>
        <v>Pos. 1 (5)</v>
      </c>
      <c r="BX60" s="16">
        <f t="shared" ca="1" si="161"/>
        <v>1</v>
      </c>
      <c r="BY60" s="16">
        <f t="shared" ca="1" si="162"/>
        <v>2</v>
      </c>
      <c r="BZ60" s="16" t="str">
        <f t="shared" ca="1" si="163"/>
        <v>Pos. 2 (3)</v>
      </c>
      <c r="CA60" s="16">
        <f t="shared" ca="1" si="164"/>
        <v>5</v>
      </c>
      <c r="CB60" s="16">
        <f t="shared" ca="1" si="165"/>
        <v>4</v>
      </c>
      <c r="CC60" s="16"/>
      <c r="CD60" s="16">
        <f t="shared" ca="1" si="166"/>
        <v>4</v>
      </c>
      <c r="CE60" s="16">
        <f t="shared" ca="1" si="167"/>
        <v>3</v>
      </c>
      <c r="CF60" s="16">
        <f t="shared" ca="1" si="168"/>
        <v>4</v>
      </c>
      <c r="DJ60" s="16">
        <f t="shared" ca="1" si="169"/>
        <v>2</v>
      </c>
      <c r="DK60" s="16"/>
      <c r="DL60" s="16">
        <f t="shared" ca="1" si="170"/>
        <v>1</v>
      </c>
      <c r="DM60" s="16" t="str">
        <f t="shared" ca="1" si="171"/>
        <v>2.1</v>
      </c>
      <c r="DN60" s="16">
        <f t="array" aca="1" ref="DN60" ca="1">OFFSET(Horarios!$P$3,DJ60-1,0,DL60,1)</f>
        <v>2</v>
      </c>
      <c r="DO60" s="16"/>
      <c r="DP60" s="16">
        <v>3</v>
      </c>
      <c r="DQ60" s="16" t="str">
        <f t="shared" ca="1" si="172"/>
        <v>Catar</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3"/>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6</v>
      </c>
      <c r="BT61" s="16" t="str">
        <f t="shared" ca="1" si="157"/>
        <v>Pos. 6 (7)</v>
      </c>
      <c r="BU61" s="16">
        <f t="shared" ca="1" si="158"/>
        <v>-2</v>
      </c>
      <c r="BV61" s="16">
        <f t="shared" ca="1" si="159"/>
        <v>10</v>
      </c>
      <c r="BW61" s="16" t="str">
        <f t="shared" ca="1" si="160"/>
        <v>Pos. 10 (3)</v>
      </c>
      <c r="BX61" s="16">
        <f t="shared" ca="1" si="161"/>
        <v>0</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Marruecos</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3"/>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0</v>
      </c>
      <c r="BS62" s="16">
        <f t="shared" ca="1" si="156"/>
        <v>6</v>
      </c>
      <c r="BT62" s="16" t="str">
        <f t="shared" ca="1" si="157"/>
        <v>Pos. 6 (7)</v>
      </c>
      <c r="BU62" s="16">
        <f t="shared" ca="1" si="158"/>
        <v>-1</v>
      </c>
      <c r="BV62" s="16">
        <f t="shared" ca="1" si="159"/>
        <v>7</v>
      </c>
      <c r="BW62" s="16" t="str">
        <f t="shared" ca="1" si="160"/>
        <v>Pos. 7 (3)</v>
      </c>
      <c r="BX62" s="16">
        <f t="shared" ca="1" si="161"/>
        <v>0</v>
      </c>
      <c r="BY62" s="16">
        <f t="shared" ca="1" si="162"/>
        <v>8</v>
      </c>
      <c r="BZ62" s="16" t="str">
        <f t="shared" ca="1" si="163"/>
        <v>Pos. 8 (2)</v>
      </c>
      <c r="CA62" s="16">
        <f t="shared" ca="1" si="164"/>
        <v>9</v>
      </c>
      <c r="CB62" s="16">
        <f t="shared" ca="1" si="165"/>
        <v>8</v>
      </c>
      <c r="CC62" s="16"/>
      <c r="CD62" s="16">
        <f t="shared" ca="1" si="166"/>
        <v>8</v>
      </c>
      <c r="CE62" s="16">
        <f t="shared" ca="1" si="167"/>
        <v>7</v>
      </c>
      <c r="CF62" s="16">
        <f t="shared" ca="1" si="168"/>
        <v>8</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3"/>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(5)</v>
      </c>
      <c r="BU63" s="16">
        <f t="shared" ca="1" si="158"/>
        <v>0</v>
      </c>
      <c r="BV63" s="16">
        <f t="shared" ca="1" si="159"/>
        <v>1</v>
      </c>
      <c r="BW63" s="16" t="str">
        <f t="shared" ca="1" si="160"/>
        <v>Pos. 1 (5)</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Uzbekistán</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3"/>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(5)</v>
      </c>
      <c r="BU64" s="16">
        <f t="shared" ca="1" si="158"/>
        <v>0</v>
      </c>
      <c r="BV64" s="16">
        <f t="shared" ca="1" si="159"/>
        <v>1</v>
      </c>
      <c r="BW64" s="16" t="str">
        <f t="shared" ca="1" si="160"/>
        <v>Pos. 1 (5)</v>
      </c>
      <c r="BX64" s="16">
        <f t="shared" ca="1" si="161"/>
        <v>1</v>
      </c>
      <c r="BY64" s="16">
        <f t="shared" ca="1" si="162"/>
        <v>2</v>
      </c>
      <c r="BZ64" s="16" t="str">
        <f t="shared" ca="1" si="163"/>
        <v>Pos. 2 (3)</v>
      </c>
      <c r="CA64" s="16">
        <f t="shared" ca="1" si="164"/>
        <v>11</v>
      </c>
      <c r="CB64" s="16">
        <f t="shared" ca="1" si="165"/>
        <v>2</v>
      </c>
      <c r="CC64" s="16"/>
      <c r="CD64" s="16">
        <f t="shared" ca="1" si="166"/>
        <v>2</v>
      </c>
      <c r="CE64" s="16">
        <f t="shared" ca="1" si="167"/>
        <v>1</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República Checa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4"/>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1</v>
      </c>
      <c r="BT65" s="16" t="str">
        <f t="shared" ca="1" si="157"/>
        <v>Pos. 1 (5)</v>
      </c>
      <c r="BU65" s="16">
        <f t="shared" ca="1" si="158"/>
        <v>0</v>
      </c>
      <c r="BV65" s="16">
        <f t="shared" ca="1" si="159"/>
        <v>1</v>
      </c>
      <c r="BW65" s="16" t="str">
        <f t="shared" ca="1" si="160"/>
        <v>Pos. 1 (5)</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11</v>
      </c>
      <c r="BN66" s="16">
        <f t="shared" ca="1" si="153"/>
        <v>11</v>
      </c>
      <c r="BO66" s="16" t="str">
        <f t="shared" si="154"/>
        <v>4I</v>
      </c>
      <c r="BP66" s="16"/>
      <c r="BQ66" s="16"/>
      <c r="BR66" s="16">
        <f t="shared" ca="1" si="155"/>
        <v>0</v>
      </c>
      <c r="BS66" s="16">
        <f t="shared" ca="1" si="156"/>
        <v>6</v>
      </c>
      <c r="BT66" s="16" t="str">
        <f t="shared" ca="1" si="157"/>
        <v>Pos. 6 (7)</v>
      </c>
      <c r="BU66" s="16">
        <f t="shared" ca="1" si="158"/>
        <v>-2</v>
      </c>
      <c r="BV66" s="16">
        <f t="shared" ca="1" si="159"/>
        <v>10</v>
      </c>
      <c r="BW66" s="16" t="str">
        <f t="shared" ca="1" si="160"/>
        <v>Pos. 10 (3)</v>
      </c>
      <c r="BX66" s="16">
        <f t="shared" ca="1" si="161"/>
        <v>1</v>
      </c>
      <c r="BY66" s="16">
        <f t="shared" ca="1" si="162"/>
        <v>10</v>
      </c>
      <c r="BZ66" s="16" t="str">
        <f t="shared" ca="1" si="163"/>
        <v>Pos. 10 (2)</v>
      </c>
      <c r="CA66" s="16">
        <f t="shared" ca="1" si="164"/>
        <v>2</v>
      </c>
      <c r="CB66" s="16">
        <f t="shared" ca="1" si="165"/>
        <v>11</v>
      </c>
      <c r="CC66" s="16"/>
      <c r="CD66" s="16">
        <f t="shared" ca="1" si="166"/>
        <v>11</v>
      </c>
      <c r="CE66" s="16">
        <f t="shared" ca="1" si="167"/>
        <v>10</v>
      </c>
      <c r="CF66" s="16">
        <f t="shared" ca="1" si="168"/>
        <v>11</v>
      </c>
      <c r="DJ66" s="16">
        <f t="shared" ca="1" si="169"/>
        <v>8</v>
      </c>
      <c r="DK66" s="16"/>
      <c r="DL66" s="16">
        <f t="shared" ca="1" si="170"/>
        <v>1</v>
      </c>
      <c r="DM66" s="16" t="str">
        <f t="shared" ca="1" si="171"/>
        <v>8.1</v>
      </c>
      <c r="DN66" s="16">
        <f t="array" aca="1" ref="DN66" ca="1">OFFSET(Horarios!$P$3,DJ66-1,0,DL66,1)</f>
        <v>8</v>
      </c>
      <c r="DO66" s="16"/>
      <c r="DP66" s="16">
        <v>9</v>
      </c>
      <c r="DQ66" s="16" t="str">
        <f t="shared" ca="1" si="172"/>
        <v>Panamá</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10</v>
      </c>
      <c r="BN67" s="16">
        <f t="shared" ca="1" si="153"/>
        <v>10</v>
      </c>
      <c r="BO67" s="16" t="str">
        <f t="shared" si="154"/>
        <v>4J</v>
      </c>
      <c r="BP67" s="16"/>
      <c r="BQ67" s="16"/>
      <c r="BR67" s="16">
        <f t="shared" ca="1" si="155"/>
        <v>0</v>
      </c>
      <c r="BS67" s="16">
        <f t="shared" ca="1" si="156"/>
        <v>6</v>
      </c>
      <c r="BT67" s="16" t="str">
        <f t="shared" ca="1" si="157"/>
        <v>Pos. 6 (7)</v>
      </c>
      <c r="BU67" s="16">
        <f t="shared" ca="1" si="158"/>
        <v>-2</v>
      </c>
      <c r="BV67" s="16">
        <f t="shared" ca="1" si="159"/>
        <v>10</v>
      </c>
      <c r="BW67" s="16" t="str">
        <f t="shared" ca="1" si="160"/>
        <v>Pos. 10 (3)</v>
      </c>
      <c r="BX67" s="16">
        <f t="shared" ca="1" si="161"/>
        <v>1</v>
      </c>
      <c r="BY67" s="16">
        <f t="shared" ca="1" si="162"/>
        <v>10</v>
      </c>
      <c r="BZ67" s="16" t="str">
        <f t="shared" ca="1" si="163"/>
        <v>Pos. 10 (2)</v>
      </c>
      <c r="CA67" s="16">
        <f t="shared" ca="1" si="164"/>
        <v>6</v>
      </c>
      <c r="CB67" s="16">
        <f t="shared" ca="1" si="165"/>
        <v>10</v>
      </c>
      <c r="CC67" s="16"/>
      <c r="CD67" s="16">
        <f t="shared" ca="1" si="166"/>
        <v>10</v>
      </c>
      <c r="CE67" s="16">
        <f t="shared" ca="1" si="167"/>
        <v>9</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9"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6</v>
      </c>
      <c r="BN68" s="16">
        <f t="shared" ca="1" si="153"/>
        <v>6</v>
      </c>
      <c r="BO68" s="16" t="str">
        <f t="shared" si="154"/>
        <v>4K</v>
      </c>
      <c r="BP68" s="16"/>
      <c r="BQ68" s="16"/>
      <c r="BR68" s="16">
        <f t="shared" ca="1" si="155"/>
        <v>0</v>
      </c>
      <c r="BS68" s="16">
        <f t="shared" ca="1" si="156"/>
        <v>6</v>
      </c>
      <c r="BT68" s="16" t="str">
        <f t="shared" ca="1" si="157"/>
        <v>Pos. 6 (7)</v>
      </c>
      <c r="BU68" s="16">
        <f t="shared" ca="1" si="158"/>
        <v>0</v>
      </c>
      <c r="BV68" s="16">
        <f t="shared" ca="1" si="159"/>
        <v>6</v>
      </c>
      <c r="BW68" s="16" t="str">
        <f t="shared" ca="1" si="160"/>
        <v>-</v>
      </c>
      <c r="BX68" s="16" t="str">
        <f t="shared" ca="1" si="161"/>
        <v>-</v>
      </c>
      <c r="BY68" s="16">
        <f t="shared" ca="1" si="162"/>
        <v>6</v>
      </c>
      <c r="BZ68" s="16" t="str">
        <f t="shared" ca="1" si="163"/>
        <v>-</v>
      </c>
      <c r="CA68" s="16" t="str">
        <f t="shared" ca="1" si="164"/>
        <v>-</v>
      </c>
      <c r="CB68" s="16">
        <f t="shared" ca="1" si="165"/>
        <v>6</v>
      </c>
      <c r="CC68" s="16"/>
      <c r="CD68" s="16">
        <f t="shared" ca="1" si="166"/>
        <v>6</v>
      </c>
      <c r="CE68" s="16" t="str">
        <f t="shared" ca="1" si="167"/>
        <v>-</v>
      </c>
      <c r="CF68" s="16">
        <f t="shared" ca="1" si="168"/>
        <v>6</v>
      </c>
      <c r="DJ68" s="16">
        <f t="shared" ca="1" si="169"/>
        <v>10</v>
      </c>
      <c r="DK68" s="16"/>
      <c r="DL68" s="16">
        <f t="shared" ca="1" si="170"/>
        <v>1</v>
      </c>
      <c r="DM68" s="16" t="str">
        <f t="shared" ca="1" si="171"/>
        <v>10.1</v>
      </c>
      <c r="DN68" s="16">
        <f t="array" aca="1" ref="DN68" ca="1">OFFSET(Horarios!$P$3,DJ68-1,0,DL68,1)</f>
        <v>10</v>
      </c>
      <c r="DO68" s="16"/>
      <c r="DP68" s="16">
        <v>11</v>
      </c>
      <c r="DQ68" s="16" t="str">
        <f t="shared" ca="1" si="172"/>
        <v>Senegal</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3"/>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9</v>
      </c>
      <c r="BN69" s="16">
        <f t="shared" ca="1" si="153"/>
        <v>9</v>
      </c>
      <c r="BO69" s="16" t="str">
        <f t="shared" si="154"/>
        <v>4L</v>
      </c>
      <c r="BP69" s="16"/>
      <c r="BQ69" s="16"/>
      <c r="BR69" s="16">
        <f t="shared" ca="1" si="155"/>
        <v>0</v>
      </c>
      <c r="BS69" s="16">
        <f t="shared" ca="1" si="156"/>
        <v>6</v>
      </c>
      <c r="BT69" s="16" t="str">
        <f t="shared" ca="1" si="157"/>
        <v>Pos. 6 (7)</v>
      </c>
      <c r="BU69" s="16">
        <f t="shared" ca="1" si="158"/>
        <v>-1</v>
      </c>
      <c r="BV69" s="16">
        <f t="shared" ca="1" si="159"/>
        <v>7</v>
      </c>
      <c r="BW69" s="16" t="str">
        <f t="shared" ca="1" si="160"/>
        <v>Pos. 7 (3)</v>
      </c>
      <c r="BX69" s="16">
        <f t="shared" ca="1" si="161"/>
        <v>0</v>
      </c>
      <c r="BY69" s="16">
        <f t="shared" ca="1" si="162"/>
        <v>8</v>
      </c>
      <c r="BZ69" s="16" t="str">
        <f t="shared" ca="1" si="163"/>
        <v>Pos. 8 (2)</v>
      </c>
      <c r="CA69" s="16">
        <f t="shared" ca="1" si="164"/>
        <v>4</v>
      </c>
      <c r="CB69" s="16">
        <f t="shared" ca="1" si="165"/>
        <v>9</v>
      </c>
      <c r="CC69" s="16"/>
      <c r="CD69" s="16">
        <f t="shared" ca="1" si="166"/>
        <v>9</v>
      </c>
      <c r="CE69" s="16">
        <f t="shared" ca="1" si="167"/>
        <v>8</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3"/>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3"/>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3"/>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4"/>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3"/>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3"/>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3"/>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3"/>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4"/>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P.1 (2)</v>
      </c>
      <c r="F84" s="16" t="str">
        <f t="shared" ref="F84:F89" ca="1" si="230">IF(D84="Pendiente","-",INDEX($BT$6:$BT$53,MATCH($AF84,$BD$6:$BD$53,0)))</f>
        <v>P.1 (2)</v>
      </c>
      <c r="G84" s="16"/>
      <c r="H84" s="16" t="str">
        <f t="shared" ref="H84:H89" ca="1" si="231">IF(D84="Pendiente","-",INDEX($BZ$6:$BZ$53,MATCH($AA84,$BD$6:$BD$53,0)))</f>
        <v>P.1 (2)</v>
      </c>
      <c r="I84" s="16" t="str">
        <f t="shared" ref="I84:I89" ca="1" si="232">IF(D84="Pendiente","-",INDEX($BZ$6:$BZ$53,MATCH($AF84,$BD$6:$BD$53,0)))</f>
        <v>P.1 (2)</v>
      </c>
      <c r="J84" s="16"/>
      <c r="K84" s="16" t="str">
        <f t="shared" ref="K84:K89" ca="1" si="233">IF(D84="Pendiente","-",INDEX($CE$6:$CE$53,MATCH($AA84,$BD$6:$BD$53,0)))</f>
        <v>P.1 (2)</v>
      </c>
      <c r="L84" s="16" t="str">
        <f t="shared" ref="L84:L89" ca="1" si="234">IF(D84="Pendiente","-",INDEX($CE$6:$CE$53,MATCH($AF84,$BD$6:$BD$53,0)))</f>
        <v>P.1 (2)</v>
      </c>
      <c r="M84" s="16"/>
      <c r="N84" s="16" t="str">
        <f t="shared" ref="N84:N89" ca="1" si="235">IF(D84="Pendiente","-",INDEX($CH$6:$CH$53,MATCH($AA84,$BD$6:$BD$53,0)))</f>
        <v>P.1 (2)</v>
      </c>
      <c r="O84" s="16" t="str">
        <f t="shared" ref="O84:O89" ca="1" si="236">IF(D84="Pendiente","-",INDEX($CH$6:$CH$53,MATCH($AF84,$BD$6:$BD$53,0)))</f>
        <v>P.1 (2)</v>
      </c>
      <c r="P84" s="16"/>
      <c r="Q84" s="16" t="str">
        <f t="shared" ref="Q84:Q89" ca="1" si="237">IF(D84="Pendiente","-",INDEX($CN$6:$CN$53,MATCH($AA84,$BD$6:$BD$53,0)))</f>
        <v>P.1 (2)</v>
      </c>
      <c r="R84" s="16" t="str">
        <f t="shared" ref="R84:R89" ca="1" si="238">IF(D84="Pendiente","-",INDEX($CN$6:$CN$53,MATCH($AF84,$BD$6:$BD$53,0)))</f>
        <v>P.1 (2)</v>
      </c>
      <c r="S84" s="16"/>
      <c r="T84" s="16" t="str">
        <f t="shared" ref="T84:T89" ca="1" si="239">IF(D84="Pendiente","-",INDEX($CS$6:$CS$53,MATCH($AA84,$BD$6:$BD$53,0)))</f>
        <v>P.1 (2)</v>
      </c>
      <c r="U84" s="16" t="str">
        <f t="shared" ref="U84:U89" ca="1" si="240">IF(D84="Pendiente","-",INDEX($CS$6:$CS$53,MATCH($AF84,$BD$6:$BD$53,0)))</f>
        <v>P.1 (2)</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3"/>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1</v>
      </c>
      <c r="AN86" s="36">
        <f t="shared" ca="1" si="243"/>
        <v>1</v>
      </c>
      <c r="AO86" s="36">
        <f t="shared" ca="1" si="243"/>
        <v>0</v>
      </c>
      <c r="AP86" s="36">
        <f t="shared" ca="1" si="243"/>
        <v>1</v>
      </c>
      <c r="AQ86" s="36">
        <f t="shared" ca="1" si="243"/>
        <v>0</v>
      </c>
      <c r="AR86" s="36">
        <f t="shared" ca="1" si="243"/>
        <v>1</v>
      </c>
      <c r="AS86" s="36">
        <f t="shared" ca="1" si="243"/>
        <v>1</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3"/>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3"/>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4"/>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3"/>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3"/>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3"/>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4"/>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3"/>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Bélgica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3"/>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Catar</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Marruecos</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España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3"/>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Uzbekistán</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3"/>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República Checa</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Ecuador</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Panamá</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2</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3"/>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Senegal</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46</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3"/>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1</v>
      </c>
      <c r="V36" s="438">
        <f ca="1">+INDEX(WORLDCUP!$AT$6:$AT$97,MATCH(X36,WORLDCUP!$AI$6:$AI$97,0))</f>
        <v>0</v>
      </c>
      <c r="W36" s="439" t="str">
        <f ca="1">+INDEX(WORLDCUP!$AR$6:$AR$97,MATCH(X36,WORLDCUP!$AI$6:$AI$97,0))&amp;"-"&amp;INDEX(WORLDCUP!$AS$6:$AS$97,MATCH(X36,WORLDCUP!$AI$6:$AI$97,0))</f>
        <v>1-1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Panamá</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Panamá</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Panamá</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Panamá</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Panamá</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Panamá</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Panamá</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Panamá</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Panamá</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Panamá</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Panamá</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Panamá</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Panamá</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Panamá</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Panamá</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Panamá</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Panamá</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Panamá</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Panamá</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Panamá</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Panamá</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Panamá</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Panamá</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Panamá</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Panamá</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Panamá</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Panamá</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Catar</v>
      </c>
      <c r="F47" s="9" t="str">
        <f ca="1">+WORLDCUP!BD63</f>
        <v>Japón</v>
      </c>
      <c r="G47" s="9" t="str">
        <f ca="1">+WORLDCUP!BD66</f>
        <v>Senegal</v>
      </c>
      <c r="H47" s="9" t="str">
        <f ca="1">+WORLDCUP!BD64</f>
        <v>Bélgica</v>
      </c>
      <c r="I47" s="9" t="str">
        <f ca="1">+WORLDCUP!BD69</f>
        <v>Panamá</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Catar</v>
      </c>
      <c r="G48" s="9" t="str">
        <f ca="1">+WORLDCUP!BD65</f>
        <v>España</v>
      </c>
      <c r="H48" s="9" t="str">
        <f ca="1">+WORLDCUP!BD64</f>
        <v>Bélgica</v>
      </c>
      <c r="I48" s="9" t="str">
        <f ca="1">+WORLDCUP!BD69</f>
        <v>Panamá</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Catar</v>
      </c>
      <c r="F49" s="9" t="str">
        <f ca="1">+WORLDCUP!BD63</f>
        <v>Japón</v>
      </c>
      <c r="G49" s="9" t="str">
        <f ca="1">+WORLDCUP!BD66</f>
        <v>Senegal</v>
      </c>
      <c r="H49" s="9" t="str">
        <f ca="1">+WORLDCUP!BD65</f>
        <v>España</v>
      </c>
      <c r="I49" s="9" t="str">
        <f ca="1">+WORLDCUP!BD69</f>
        <v>Panamá</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Catar</v>
      </c>
      <c r="F50" s="9" t="str">
        <f ca="1">+WORLDCUP!BD63</f>
        <v>Japón</v>
      </c>
      <c r="G50" s="9" t="str">
        <f ca="1">+WORLDCUP!BD66</f>
        <v>Senegal</v>
      </c>
      <c r="H50" s="9" t="str">
        <f ca="1">+WORLDCUP!BD64</f>
        <v>Bélgica</v>
      </c>
      <c r="I50" s="9" t="str">
        <f ca="1">+WORLDCUP!BD69</f>
        <v>Panamá</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Catar</v>
      </c>
      <c r="F51" s="9" t="str">
        <f ca="1">+WORLDCUP!BD63</f>
        <v>Japón</v>
      </c>
      <c r="G51" s="9" t="str">
        <f ca="1">+WORLDCUP!BD65</f>
        <v>España</v>
      </c>
      <c r="H51" s="9" t="str">
        <f ca="1">+WORLDCUP!BD64</f>
        <v>Bélgica</v>
      </c>
      <c r="I51" s="9" t="str">
        <f ca="1">+WORLDCUP!BD69</f>
        <v>Panamá</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Catar</v>
      </c>
      <c r="F52" s="9" t="str">
        <f ca="1">+WORLDCUP!BD63</f>
        <v>Japón</v>
      </c>
      <c r="G52" s="9" t="str">
        <f ca="1">+WORLDCUP!BD66</f>
        <v>Senegal</v>
      </c>
      <c r="H52" s="9" t="str">
        <f ca="1">+WORLDCUP!BD65</f>
        <v>España</v>
      </c>
      <c r="I52" s="9" t="str">
        <f ca="1">+WORLDCUP!BD69</f>
        <v>Panamá</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Catar</v>
      </c>
      <c r="F53" s="9" t="str">
        <f ca="1">+WORLDCUP!BD63</f>
        <v>Japón</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Catar</v>
      </c>
      <c r="F54" s="9" t="str">
        <f ca="1">+WORLDCUP!BD63</f>
        <v>Japón</v>
      </c>
      <c r="G54" s="9" t="str">
        <f ca="1">+WORLDCUP!BD65</f>
        <v>España</v>
      </c>
      <c r="H54" s="9" t="str">
        <f ca="1">+WORLDCUP!BD64</f>
        <v>Bélgica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Catar</v>
      </c>
      <c r="F55" s="9" t="str">
        <f ca="1">+WORLDCUP!BD61</f>
        <v>Turquía</v>
      </c>
      <c r="G55" s="9" t="str">
        <f ca="1">+WORLDCUP!BD66</f>
        <v>Senegal</v>
      </c>
      <c r="H55" s="9" t="str">
        <f ca="1">+WORLDCUP!BD64</f>
        <v>Bélgica</v>
      </c>
      <c r="I55" s="9" t="str">
        <f ca="1">+WORLDCUP!BD69</f>
        <v>Panamá</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Catar</v>
      </c>
      <c r="F56" s="9" t="str">
        <f ca="1">+WORLDCUP!BD61</f>
        <v>Turquía</v>
      </c>
      <c r="G56" s="9" t="str">
        <f ca="1">+WORLDCUP!BD66</f>
        <v>Senegal</v>
      </c>
      <c r="H56" s="9" t="str">
        <f ca="1">+WORLDCUP!BD63</f>
        <v>Japón</v>
      </c>
      <c r="I56" s="9" t="str">
        <f ca="1">+WORLDCUP!BD69</f>
        <v>Panamá</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Catar</v>
      </c>
      <c r="F57" s="9" t="str">
        <f ca="1">+WORLDCUP!BD61</f>
        <v>Turquía</v>
      </c>
      <c r="G57" s="9" t="str">
        <f ca="1">+WORLDCUP!BD67</f>
        <v>Jordania</v>
      </c>
      <c r="H57" s="9" t="str">
        <f ca="1">+WORLDCUP!BD63</f>
        <v>Japón</v>
      </c>
      <c r="I57" s="9" t="str">
        <f ca="1">+WORLDCUP!BD69</f>
        <v>Panamá</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Catar</v>
      </c>
      <c r="F58" s="9" t="str">
        <f ca="1">+WORLDCUP!BD61</f>
        <v>Turquía</v>
      </c>
      <c r="G58" s="9" t="str">
        <f ca="1">+WORLDCUP!BD67</f>
        <v>Jordania</v>
      </c>
      <c r="H58" s="9" t="str">
        <f ca="1">+WORLDCUP!BD63</f>
        <v>Japón</v>
      </c>
      <c r="I58" s="9" t="str">
        <f ca="1">+WORLDCUP!BD69</f>
        <v>Panamá</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Catar</v>
      </c>
      <c r="F59" s="9" t="str">
        <f ca="1">+WORLDCUP!BD61</f>
        <v>Turquía</v>
      </c>
      <c r="G59" s="9" t="str">
        <f ca="1">+WORLDCUP!BD66</f>
        <v>Senegal</v>
      </c>
      <c r="H59" s="9" t="str">
        <f ca="1">+WORLDCUP!BD63</f>
        <v>Japón</v>
      </c>
      <c r="I59" s="9" t="str">
        <f ca="1">+WORLDCUP!BD69</f>
        <v>Panamá</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Catar</v>
      </c>
      <c r="F60" s="9" t="str">
        <f ca="1">+WORLDCUP!BD61</f>
        <v>Turquía</v>
      </c>
      <c r="G60" s="9" t="str">
        <f ca="1">+WORLDCUP!BD67</f>
        <v>Jordania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Catar</v>
      </c>
      <c r="F61" s="9" t="str">
        <f ca="1">+WORLDCUP!BD61</f>
        <v>Turquía</v>
      </c>
      <c r="G61" s="9" t="str">
        <f ca="1">+WORLDCUP!BD67</f>
        <v>Jordania</v>
      </c>
      <c r="H61" s="9" t="str">
        <f ca="1">+WORLDCUP!BD63</f>
        <v>Japón</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Catar</v>
      </c>
      <c r="F62" s="9" t="str">
        <f ca="1">+WORLDCUP!BD61</f>
        <v>Turquía</v>
      </c>
      <c r="G62" s="9" t="str">
        <f ca="1">+WORLDCUP!BD66</f>
        <v>Senegal</v>
      </c>
      <c r="H62" s="9" t="str">
        <f ca="1">+WORLDCUP!BD65</f>
        <v>España</v>
      </c>
      <c r="I62" s="9" t="str">
        <f ca="1">+WORLDCUP!BD69</f>
        <v>Panamá</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Catar</v>
      </c>
      <c r="F63" s="9" t="str">
        <f ca="1">+WORLDCUP!BD61</f>
        <v>Turquía</v>
      </c>
      <c r="G63" s="9" t="str">
        <f ca="1">+WORLDCUP!BD66</f>
        <v>Senegal</v>
      </c>
      <c r="H63" s="9" t="str">
        <f ca="1">+WORLDCUP!BD64</f>
        <v>Bélgica</v>
      </c>
      <c r="I63" s="9" t="str">
        <f ca="1">+WORLDCUP!BD69</f>
        <v>Panamá</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Catar</v>
      </c>
      <c r="F64" s="9" t="str">
        <f ca="1">+WORLDCUP!BD61</f>
        <v>Turquía</v>
      </c>
      <c r="G64" s="9" t="str">
        <f ca="1">+WORLDCUP!BD65</f>
        <v>España</v>
      </c>
      <c r="H64" s="9" t="str">
        <f ca="1">+WORLDCUP!BD64</f>
        <v>Bélgica</v>
      </c>
      <c r="I64" s="9" t="str">
        <f ca="1">+WORLDCUP!BD69</f>
        <v>Panamá</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Catar</v>
      </c>
      <c r="F65" s="9" t="str">
        <f ca="1">+WORLDCUP!BD61</f>
        <v>Turquía</v>
      </c>
      <c r="G65" s="9" t="str">
        <f ca="1">+WORLDCUP!BD66</f>
        <v>Senegal</v>
      </c>
      <c r="H65" s="9" t="str">
        <f ca="1">+WORLDCUP!BD65</f>
        <v>España</v>
      </c>
      <c r="I65" s="9" t="str">
        <f ca="1">+WORLDCUP!BD69</f>
        <v>Panamá</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Catar</v>
      </c>
      <c r="F66" s="9" t="str">
        <f ca="1">+WORLDCUP!BD61</f>
        <v>Turquía</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Catar</v>
      </c>
      <c r="F67" s="9" t="str">
        <f ca="1">+WORLDCUP!BD61</f>
        <v>Turquía</v>
      </c>
      <c r="G67" s="9" t="str">
        <f ca="1">+WORLDCUP!BD65</f>
        <v>España</v>
      </c>
      <c r="H67" s="9" t="str">
        <f ca="1">+WORLDCUP!BD64</f>
        <v>Bélgica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Catar</v>
      </c>
      <c r="F68" s="9" t="str">
        <f ca="1">+WORLDCUP!BD61</f>
        <v>Turquía</v>
      </c>
      <c r="G68" s="9" t="str">
        <f ca="1">+WORLDCUP!BD66</f>
        <v>Senegal</v>
      </c>
      <c r="H68" s="9" t="str">
        <f ca="1">+WORLDCUP!BD63</f>
        <v>Japón</v>
      </c>
      <c r="I68" s="9" t="str">
        <f ca="1">+WORLDCUP!BD69</f>
        <v>Panamá</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Catar</v>
      </c>
      <c r="F69" s="9" t="str">
        <f ca="1">+WORLDCUP!BD61</f>
        <v>Turquía</v>
      </c>
      <c r="G69" s="9" t="str">
        <f ca="1">+WORLDCUP!BD65</f>
        <v>España</v>
      </c>
      <c r="H69" s="9" t="str">
        <f ca="1">+WORLDCUP!BD63</f>
        <v>Japón</v>
      </c>
      <c r="I69" s="9" t="str">
        <f ca="1">+WORLDCUP!BD69</f>
        <v>Panamá</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Catar</v>
      </c>
      <c r="F70" s="9" t="str">
        <f ca="1">+WORLDCUP!BD61</f>
        <v>Turquía</v>
      </c>
      <c r="G70" s="9" t="str">
        <f ca="1">+WORLDCUP!BD65</f>
        <v>España</v>
      </c>
      <c r="H70" s="9" t="str">
        <f ca="1">+WORLDCUP!BD63</f>
        <v>Japón</v>
      </c>
      <c r="I70" s="9" t="str">
        <f ca="1">+WORLDCUP!BD69</f>
        <v>Panamá</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Catar</v>
      </c>
      <c r="F71" s="9" t="str">
        <f ca="1">+WORLDCUP!BD61</f>
        <v>Turquía</v>
      </c>
      <c r="G71" s="9" t="str">
        <f ca="1">+WORLDCUP!BD65</f>
        <v>España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Catar</v>
      </c>
      <c r="F72" s="9" t="str">
        <f ca="1">+WORLDCUP!BD61</f>
        <v>Turquía</v>
      </c>
      <c r="G72" s="9" t="str">
        <f ca="1">+WORLDCUP!BD65</f>
        <v>España</v>
      </c>
      <c r="H72" s="9" t="str">
        <f ca="1">+WORLDCUP!BD63</f>
        <v>Japón</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Catar</v>
      </c>
      <c r="F73" s="9" t="str">
        <f ca="1">+WORLDCUP!BD61</f>
        <v>Turquía</v>
      </c>
      <c r="G73" s="9" t="str">
        <f ca="1">+WORLDCUP!BD67</f>
        <v>Jordania</v>
      </c>
      <c r="H73" s="9" t="str">
        <f ca="1">+WORLDCUP!BD63</f>
        <v>Japón</v>
      </c>
      <c r="I73" s="9" t="str">
        <f ca="1">+WORLDCUP!BD69</f>
        <v>Panamá</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Catar</v>
      </c>
      <c r="F74" s="9" t="str">
        <f ca="1">+WORLDCUP!BD61</f>
        <v>Turquía</v>
      </c>
      <c r="G74" s="9" t="str">
        <f ca="1">+WORLDCUP!BD66</f>
        <v>Senegal</v>
      </c>
      <c r="H74" s="9" t="str">
        <f ca="1">+WORLDCUP!BD63</f>
        <v>Japón</v>
      </c>
      <c r="I74" s="9" t="str">
        <f ca="1">+WORLDCUP!BD69</f>
        <v>Panamá</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Catar</v>
      </c>
      <c r="F75" s="9" t="str">
        <f ca="1">+WORLDCUP!BD61</f>
        <v>Turquía</v>
      </c>
      <c r="G75" s="9" t="str">
        <f ca="1">+WORLDCUP!BD67</f>
        <v>Jordania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Catar</v>
      </c>
      <c r="F76" s="9" t="str">
        <f ca="1">+WORLDCUP!BD61</f>
        <v>Turquía</v>
      </c>
      <c r="G76" s="9" t="str">
        <f ca="1">+WORLDCUP!BD67</f>
        <v>Jordania</v>
      </c>
      <c r="H76" s="9" t="str">
        <f ca="1">+WORLDCUP!BD63</f>
        <v>Japón</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Panamá</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Catar</v>
      </c>
      <c r="F78" s="9" t="str">
        <f ca="1">+WORLDCUP!BD61</f>
        <v>Turquía</v>
      </c>
      <c r="G78" s="9" t="str">
        <f ca="1">+WORLDCUP!BD67</f>
        <v>Jordania</v>
      </c>
      <c r="H78" s="9" t="str">
        <f ca="1">+WORLDCUP!BD63</f>
        <v>Japón</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Catar</v>
      </c>
      <c r="F79" s="9" t="str">
        <f ca="1">+WORLDCUP!BD61</f>
        <v>Turquía</v>
      </c>
      <c r="G79" s="9" t="str">
        <f ca="1">+WORLDCUP!BD67</f>
        <v>Jordania</v>
      </c>
      <c r="H79" s="9" t="str">
        <f ca="1">+WORLDCUP!BD63</f>
        <v>Japón</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Catar</v>
      </c>
      <c r="F82" s="9" t="str">
        <f ca="1">+WORLDCUP!BD61</f>
        <v>Turquía</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Catar</v>
      </c>
      <c r="F83" s="9" t="str">
        <f ca="1">+WORLDCUP!BD60</f>
        <v>Marruecos</v>
      </c>
      <c r="G83" s="9" t="str">
        <f ca="1">+WORLDCUP!BD66</f>
        <v>Senegal</v>
      </c>
      <c r="H83" s="9" t="str">
        <f ca="1">+WORLDCUP!BD64</f>
        <v>Bélgica</v>
      </c>
      <c r="I83" s="9" t="str">
        <f ca="1">+WORLDCUP!BD69</f>
        <v>Panamá</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Catar</v>
      </c>
      <c r="F84" s="9" t="str">
        <f ca="1">+WORLDCUP!BD60</f>
        <v>Marruecos</v>
      </c>
      <c r="G84" s="9" t="str">
        <f ca="1">+WORLDCUP!BD66</f>
        <v>Senegal</v>
      </c>
      <c r="H84" s="9" t="str">
        <f ca="1">+WORLDCUP!BD63</f>
        <v>Japón</v>
      </c>
      <c r="I84" s="9" t="str">
        <f ca="1">+WORLDCUP!BD69</f>
        <v>Panamá</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Catar</v>
      </c>
      <c r="F85" s="9" t="str">
        <f ca="1">+WORLDCUP!BD60</f>
        <v>Marruecos</v>
      </c>
      <c r="G85" s="9" t="str">
        <f ca="1">+WORLDCUP!BD67</f>
        <v>Jordania</v>
      </c>
      <c r="H85" s="9" t="str">
        <f ca="1">+WORLDCUP!BD63</f>
        <v>Japón</v>
      </c>
      <c r="I85" s="9" t="str">
        <f ca="1">+WORLDCUP!BD69</f>
        <v>Panamá</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Catar</v>
      </c>
      <c r="F86" s="9" t="str">
        <f ca="1">+WORLDCUP!BD60</f>
        <v>Marruecos</v>
      </c>
      <c r="G86" s="9" t="str">
        <f ca="1">+WORLDCUP!BD67</f>
        <v>Jordania</v>
      </c>
      <c r="H86" s="9" t="str">
        <f ca="1">+WORLDCUP!BD63</f>
        <v>Japón</v>
      </c>
      <c r="I86" s="9" t="str">
        <f ca="1">+WORLDCUP!BD69</f>
        <v>Panamá</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Catar</v>
      </c>
      <c r="F87" s="9" t="str">
        <f ca="1">+WORLDCUP!BD60</f>
        <v>Marruecos</v>
      </c>
      <c r="G87" s="9" t="str">
        <f ca="1">+WORLDCUP!BD66</f>
        <v>Senegal</v>
      </c>
      <c r="H87" s="9" t="str">
        <f ca="1">+WORLDCUP!BD63</f>
        <v>Japón</v>
      </c>
      <c r="I87" s="9" t="str">
        <f ca="1">+WORLDCUP!BD69</f>
        <v>Panamá</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Catar</v>
      </c>
      <c r="F88" s="9" t="str">
        <f ca="1">+WORLDCUP!BD60</f>
        <v>Marruecos</v>
      </c>
      <c r="G88" s="9" t="str">
        <f ca="1">+WORLDCUP!BD67</f>
        <v>Jordania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Catar</v>
      </c>
      <c r="F89" s="9" t="str">
        <f ca="1">+WORLDCUP!BD60</f>
        <v>Marruecos</v>
      </c>
      <c r="G89" s="9" t="str">
        <f ca="1">+WORLDCUP!BD67</f>
        <v>Jordania</v>
      </c>
      <c r="H89" s="9" t="str">
        <f ca="1">+WORLDCUP!BD63</f>
        <v>Japón</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Catar</v>
      </c>
      <c r="F90" s="9" t="str">
        <f ca="1">+WORLDCUP!BD60</f>
        <v>Marruecos</v>
      </c>
      <c r="G90" s="9" t="str">
        <f ca="1">+WORLDCUP!BD66</f>
        <v>Senegal</v>
      </c>
      <c r="H90" s="9" t="str">
        <f ca="1">+WORLDCUP!BD65</f>
        <v>España</v>
      </c>
      <c r="I90" s="9" t="str">
        <f ca="1">+WORLDCUP!BD69</f>
        <v>Panamá</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Catar</v>
      </c>
      <c r="F91" s="9" t="str">
        <f ca="1">+WORLDCUP!BD60</f>
        <v>Marruecos</v>
      </c>
      <c r="G91" s="9" t="str">
        <f ca="1">+WORLDCUP!BD66</f>
        <v>Senegal</v>
      </c>
      <c r="H91" s="9" t="str">
        <f ca="1">+WORLDCUP!BD64</f>
        <v>Bélgica</v>
      </c>
      <c r="I91" s="9" t="str">
        <f ca="1">+WORLDCUP!BD69</f>
        <v>Panamá</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Catar</v>
      </c>
      <c r="F92" s="9" t="str">
        <f ca="1">+WORLDCUP!BD60</f>
        <v>Marruecos</v>
      </c>
      <c r="G92" s="9" t="str">
        <f ca="1">+WORLDCUP!BD65</f>
        <v>España</v>
      </c>
      <c r="H92" s="9" t="str">
        <f ca="1">+WORLDCUP!BD64</f>
        <v>Bélgica</v>
      </c>
      <c r="I92" s="9" t="str">
        <f ca="1">+WORLDCUP!BD69</f>
        <v>Panamá</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Catar</v>
      </c>
      <c r="F93" s="9" t="str">
        <f ca="1">+WORLDCUP!BD60</f>
        <v>Marruecos</v>
      </c>
      <c r="G93" s="9" t="str">
        <f ca="1">+WORLDCUP!BD66</f>
        <v>Senegal</v>
      </c>
      <c r="H93" s="9" t="str">
        <f ca="1">+WORLDCUP!BD65</f>
        <v>España</v>
      </c>
      <c r="I93" s="9" t="str">
        <f ca="1">+WORLDCUP!BD69</f>
        <v>Panamá</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Catar</v>
      </c>
      <c r="F94" s="9" t="str">
        <f ca="1">+WORLDCUP!BD60</f>
        <v>Marruecos</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Catar</v>
      </c>
      <c r="F95" s="9" t="str">
        <f ca="1">+WORLDCUP!BD60</f>
        <v>Marruecos</v>
      </c>
      <c r="G95" s="9" t="str">
        <f ca="1">+WORLDCUP!BD65</f>
        <v>España</v>
      </c>
      <c r="H95" s="9" t="str">
        <f ca="1">+WORLDCUP!BD64</f>
        <v>Bélgica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Catar</v>
      </c>
      <c r="F96" s="9" t="str">
        <f ca="1">+WORLDCUP!BD60</f>
        <v>Marruecos</v>
      </c>
      <c r="G96" s="9" t="str">
        <f ca="1">+WORLDCUP!BD66</f>
        <v>Senegal</v>
      </c>
      <c r="H96" s="9" t="str">
        <f ca="1">+WORLDCUP!BD63</f>
        <v>Japón</v>
      </c>
      <c r="I96" s="9" t="str">
        <f ca="1">+WORLDCUP!BD69</f>
        <v>Panamá</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Catar</v>
      </c>
      <c r="F97" s="9" t="str">
        <f ca="1">+WORLDCUP!BD60</f>
        <v>Marruecos</v>
      </c>
      <c r="G97" s="9" t="str">
        <f ca="1">+WORLDCUP!BD65</f>
        <v>España</v>
      </c>
      <c r="H97" s="9" t="str">
        <f ca="1">+WORLDCUP!BD63</f>
        <v>Japón</v>
      </c>
      <c r="I97" s="9" t="str">
        <f ca="1">+WORLDCUP!BD69</f>
        <v>Panamá</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Catar</v>
      </c>
      <c r="F98" s="9" t="str">
        <f ca="1">+WORLDCUP!BD60</f>
        <v>Marruecos</v>
      </c>
      <c r="G98" s="9" t="str">
        <f ca="1">+WORLDCUP!BD65</f>
        <v>España</v>
      </c>
      <c r="H98" s="9" t="str">
        <f ca="1">+WORLDCUP!BD63</f>
        <v>Japón</v>
      </c>
      <c r="I98" s="9" t="str">
        <f ca="1">+WORLDCUP!BD69</f>
        <v>Panamá</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Catar</v>
      </c>
      <c r="F99" s="9" t="str">
        <f ca="1">+WORLDCUP!BD60</f>
        <v>Marruecos</v>
      </c>
      <c r="G99" s="9" t="str">
        <f ca="1">+WORLDCUP!BD65</f>
        <v>España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Catar</v>
      </c>
      <c r="F100" s="9" t="str">
        <f ca="1">+WORLDCUP!BD60</f>
        <v>Marruecos</v>
      </c>
      <c r="G100" s="9" t="str">
        <f ca="1">+WORLDCUP!BD65</f>
        <v>España</v>
      </c>
      <c r="H100" s="9" t="str">
        <f ca="1">+WORLDCUP!BD63</f>
        <v>Japón</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Catar</v>
      </c>
      <c r="F101" s="9" t="str">
        <f ca="1">+WORLDCUP!BD60</f>
        <v>Marruecos</v>
      </c>
      <c r="G101" s="9" t="str">
        <f ca="1">+WORLDCUP!BD67</f>
        <v>Jordania</v>
      </c>
      <c r="H101" s="9" t="str">
        <f ca="1">+WORLDCUP!BD63</f>
        <v>Japón</v>
      </c>
      <c r="I101" s="9" t="str">
        <f ca="1">+WORLDCUP!BD69</f>
        <v>Panamá</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Catar</v>
      </c>
      <c r="F102" s="9" t="str">
        <f ca="1">+WORLDCUP!BD60</f>
        <v>Marruecos</v>
      </c>
      <c r="G102" s="9" t="str">
        <f ca="1">+WORLDCUP!BD66</f>
        <v>Senegal</v>
      </c>
      <c r="H102" s="9" t="str">
        <f ca="1">+WORLDCUP!BD63</f>
        <v>Japón</v>
      </c>
      <c r="I102" s="9" t="str">
        <f ca="1">+WORLDCUP!BD69</f>
        <v>Panamá</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Catar</v>
      </c>
      <c r="F103" s="9" t="str">
        <f ca="1">+WORLDCUP!BD60</f>
        <v>Marruecos</v>
      </c>
      <c r="G103" s="9" t="str">
        <f ca="1">+WORLDCUP!BD67</f>
        <v>Jordania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Catar</v>
      </c>
      <c r="F104" s="9" t="str">
        <f ca="1">+WORLDCUP!BD60</f>
        <v>Marruecos</v>
      </c>
      <c r="G104" s="9" t="str">
        <f ca="1">+WORLDCUP!BD67</f>
        <v>Jordania</v>
      </c>
      <c r="H104" s="9" t="str">
        <f ca="1">+WORLDCUP!BD63</f>
        <v>Japón</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Panamá</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Catar</v>
      </c>
      <c r="F106" s="9" t="str">
        <f ca="1">+WORLDCUP!BD60</f>
        <v>Marruecos</v>
      </c>
      <c r="G106" s="9" t="str">
        <f ca="1">+WORLDCUP!BD67</f>
        <v>Jordania</v>
      </c>
      <c r="H106" s="9" t="str">
        <f ca="1">+WORLDCUP!BD63</f>
        <v>Japón</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Catar</v>
      </c>
      <c r="F107" s="9" t="str">
        <f ca="1">+WORLDCUP!BD60</f>
        <v>Marruecos</v>
      </c>
      <c r="G107" s="9" t="str">
        <f ca="1">+WORLDCUP!BD67</f>
        <v>Jordania</v>
      </c>
      <c r="H107" s="9" t="str">
        <f ca="1">+WORLDCUP!BD63</f>
        <v>Japón</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Catar</v>
      </c>
      <c r="F110" s="9" t="str">
        <f ca="1">+WORLDCUP!BD60</f>
        <v>Marruecos</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Catar</v>
      </c>
      <c r="F111" s="9" t="str">
        <f ca="1">+WORLDCUP!BD60</f>
        <v>Marruecos</v>
      </c>
      <c r="G111" s="9" t="str">
        <f ca="1">+WORLDCUP!BD66</f>
        <v>Senegal</v>
      </c>
      <c r="H111" s="9" t="str">
        <f ca="1">+WORLDCUP!BD61</f>
        <v>Turquía</v>
      </c>
      <c r="I111" s="9" t="str">
        <f ca="1">+WORLDCUP!BD69</f>
        <v>Panamá</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Catar</v>
      </c>
      <c r="F112" s="9" t="str">
        <f ca="1">+WORLDCUP!BD60</f>
        <v>Marruecos</v>
      </c>
      <c r="G112" s="9" t="str">
        <f ca="1">+WORLDCUP!BD67</f>
        <v>Jordania</v>
      </c>
      <c r="H112" s="9" t="str">
        <f ca="1">+WORLDCUP!BD61</f>
        <v>Turquía</v>
      </c>
      <c r="I112" s="9" t="str">
        <f ca="1">+WORLDCUP!BD69</f>
        <v>Panamá</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Catar</v>
      </c>
      <c r="F113" s="9" t="str">
        <f ca="1">+WORLDCUP!BD60</f>
        <v>Marruecos</v>
      </c>
      <c r="G113" s="9" t="str">
        <f ca="1">+WORLDCUP!BD67</f>
        <v>Jordania</v>
      </c>
      <c r="H113" s="9" t="str">
        <f ca="1">+WORLDCUP!BD61</f>
        <v>Turquía</v>
      </c>
      <c r="I113" s="9" t="str">
        <f ca="1">+WORLDCUP!BD69</f>
        <v>Panamá</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Catar</v>
      </c>
      <c r="F114" s="9" t="str">
        <f ca="1">+WORLDCUP!BD60</f>
        <v>Marruecos</v>
      </c>
      <c r="G114" s="9" t="str">
        <f ca="1">+WORLDCUP!BD66</f>
        <v>Senegal</v>
      </c>
      <c r="H114" s="9" t="str">
        <f ca="1">+WORLDCUP!BD61</f>
        <v>Turquía</v>
      </c>
      <c r="I114" s="9" t="str">
        <f ca="1">+WORLDCUP!BD69</f>
        <v>Panamá</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Catar</v>
      </c>
      <c r="F115" s="9" t="str">
        <f ca="1">+WORLDCUP!BD60</f>
        <v>Marruecos</v>
      </c>
      <c r="G115" s="9" t="str">
        <f ca="1">+WORLDCUP!BD67</f>
        <v>Jordania</v>
      </c>
      <c r="H115" s="9" t="str">
        <f ca="1">+WORLDCUP!BD61</f>
        <v>Turquía</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Catar</v>
      </c>
      <c r="F116" s="9" t="str">
        <f ca="1">+WORLDCUP!BD60</f>
        <v>Marruecos</v>
      </c>
      <c r="G116" s="9" t="str">
        <f ca="1">+WORLDCUP!BD67</f>
        <v>Jordania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Jordania</v>
      </c>
      <c r="E117" s="9" t="str">
        <f ca="1">+WORLDCUP!BD59</f>
        <v>Catar</v>
      </c>
      <c r="F117" s="9" t="str">
        <f ca="1">+WORLDCUP!BD61</f>
        <v>Turquía</v>
      </c>
      <c r="G117" s="9" t="str">
        <f ca="1">+WORLDCUP!BD66</f>
        <v>Senegal</v>
      </c>
      <c r="H117" s="9" t="str">
        <f ca="1">+WORLDCUP!BD63</f>
        <v>Japón</v>
      </c>
      <c r="I117" s="9" t="str">
        <f ca="1">+WORLDCUP!BD69</f>
        <v>Panamá</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Jordania</v>
      </c>
      <c r="E118" s="9" t="str">
        <f ca="1">+WORLDCUP!BD59</f>
        <v>Catar</v>
      </c>
      <c r="F118" s="9" t="str">
        <f ca="1">+WORLDCUP!BD61</f>
        <v>Turquía</v>
      </c>
      <c r="G118" s="9" t="str">
        <f ca="1">+WORLDCUP!BD65</f>
        <v>España</v>
      </c>
      <c r="H118" s="9" t="str">
        <f ca="1">+WORLDCUP!BD63</f>
        <v>Japón</v>
      </c>
      <c r="I118" s="9" t="str">
        <f ca="1">+WORLDCUP!BD69</f>
        <v>Panamá</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Catar</v>
      </c>
      <c r="F119" s="9" t="str">
        <f ca="1">+WORLDCUP!BD61</f>
        <v>Turquía</v>
      </c>
      <c r="G119" s="9" t="str">
        <f ca="1">+WORLDCUP!BD65</f>
        <v>España</v>
      </c>
      <c r="H119" s="9" t="str">
        <f ca="1">+WORLDCUP!BD63</f>
        <v>Japón</v>
      </c>
      <c r="I119" s="9" t="str">
        <f ca="1">+WORLDCUP!BD69</f>
        <v>Panamá</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Jordania</v>
      </c>
      <c r="E120" s="9" t="str">
        <f ca="1">+WORLDCUP!BD59</f>
        <v>Catar</v>
      </c>
      <c r="F120" s="9" t="str">
        <f ca="1">+WORLDCUP!BD61</f>
        <v>Turquía</v>
      </c>
      <c r="G120" s="9" t="str">
        <f ca="1">+WORLDCUP!BD65</f>
        <v>España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Jordania</v>
      </c>
      <c r="E121" s="9" t="str">
        <f ca="1">+WORLDCUP!BD59</f>
        <v>Catar</v>
      </c>
      <c r="F121" s="9" t="str">
        <f ca="1">+WORLDCUP!BD61</f>
        <v>Turquía</v>
      </c>
      <c r="G121" s="9" t="str">
        <f ca="1">+WORLDCUP!BD65</f>
        <v>España</v>
      </c>
      <c r="H121" s="9" t="str">
        <f ca="1">+WORLDCUP!BD63</f>
        <v>Japón</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Bélgica</v>
      </c>
      <c r="E122" s="9" t="str">
        <f ca="1">+WORLDCUP!BD59</f>
        <v>Catar</v>
      </c>
      <c r="F122" s="9" t="str">
        <f ca="1">+WORLDCUP!BD61</f>
        <v>Turquía</v>
      </c>
      <c r="G122" s="9" t="str">
        <f ca="1">+WORLDCUP!BD67</f>
        <v>Jordania</v>
      </c>
      <c r="H122" s="9" t="str">
        <f ca="1">+WORLDCUP!BD63</f>
        <v>Japón</v>
      </c>
      <c r="I122" s="9" t="str">
        <f ca="1">+WORLDCUP!BD69</f>
        <v>Panamá</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Bélgica</v>
      </c>
      <c r="E123" s="9" t="str">
        <f ca="1">+WORLDCUP!BD59</f>
        <v>Catar</v>
      </c>
      <c r="F123" s="9" t="str">
        <f ca="1">+WORLDCUP!BD61</f>
        <v>Turquía</v>
      </c>
      <c r="G123" s="9" t="str">
        <f ca="1">+WORLDCUP!BD66</f>
        <v>Senegal</v>
      </c>
      <c r="H123" s="9" t="str">
        <f ca="1">+WORLDCUP!BD63</f>
        <v>Japón</v>
      </c>
      <c r="I123" s="9" t="str">
        <f ca="1">+WORLDCUP!BD69</f>
        <v>Panamá</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Bélgica</v>
      </c>
      <c r="E124" s="9" t="str">
        <f ca="1">+WORLDCUP!BD59</f>
        <v>Catar</v>
      </c>
      <c r="F124" s="9" t="str">
        <f ca="1">+WORLDCUP!BD61</f>
        <v>Turquía</v>
      </c>
      <c r="G124" s="9" t="str">
        <f ca="1">+WORLDCUP!BD67</f>
        <v>Jordania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Bélgica</v>
      </c>
      <c r="E125" s="9" t="str">
        <f ca="1">+WORLDCUP!BD59</f>
        <v>Catar</v>
      </c>
      <c r="F125" s="9" t="str">
        <f ca="1">+WORLDCUP!BD61</f>
        <v>Turquía</v>
      </c>
      <c r="G125" s="9" t="str">
        <f ca="1">+WORLDCUP!BD67</f>
        <v>Jordania</v>
      </c>
      <c r="H125" s="9" t="str">
        <f ca="1">+WORLDCUP!BD63</f>
        <v>Japón</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Panamá</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Catar</v>
      </c>
      <c r="F128" s="9" t="str">
        <f ca="1">+WORLDCUP!BD60</f>
        <v>Marruecos</v>
      </c>
      <c r="G128" s="9" t="str">
        <f ca="1">+WORLDCUP!BD67</f>
        <v>Jordania</v>
      </c>
      <c r="H128" s="9" t="str">
        <f ca="1">+WORLDCUP!BD63</f>
        <v>Japón</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Catar</v>
      </c>
      <c r="F131" s="9" t="str">
        <f ca="1">+WORLDCUP!BD60</f>
        <v>Marruecos</v>
      </c>
      <c r="G131" s="9" t="str">
        <f ca="1">+WORLDCUP!BD67</f>
        <v>Jordania</v>
      </c>
      <c r="H131" s="9" t="str">
        <f ca="1">+WORLDCUP!BD63</f>
        <v>Japón</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Catar</v>
      </c>
      <c r="F132" s="9" t="str">
        <f ca="1">+WORLDCUP!BD60</f>
        <v>Marruecos</v>
      </c>
      <c r="G132" s="9" t="str">
        <f ca="1">+WORLDCUP!BD66</f>
        <v>Senegal</v>
      </c>
      <c r="H132" s="9" t="str">
        <f ca="1">+WORLDCUP!BD61</f>
        <v>Turquía</v>
      </c>
      <c r="I132" s="9" t="str">
        <f ca="1">+WORLDCUP!BD69</f>
        <v>Panamá</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Catar</v>
      </c>
      <c r="F133" s="9" t="str">
        <f ca="1">+WORLDCUP!BD60</f>
        <v>Marruecos</v>
      </c>
      <c r="G133" s="9" t="str">
        <f ca="1">+WORLDCUP!BD65</f>
        <v>España</v>
      </c>
      <c r="H133" s="9" t="str">
        <f ca="1">+WORLDCUP!BD61</f>
        <v>Turquía</v>
      </c>
      <c r="I133" s="9" t="str">
        <f ca="1">+WORLDCUP!BD69</f>
        <v>Panamá</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Catar</v>
      </c>
      <c r="F134" s="9" t="str">
        <f ca="1">+WORLDCUP!BD60</f>
        <v>Marruecos</v>
      </c>
      <c r="G134" s="9" t="str">
        <f ca="1">+WORLDCUP!BD65</f>
        <v>España</v>
      </c>
      <c r="H134" s="9" t="str">
        <f ca="1">+WORLDCUP!BD61</f>
        <v>Turquía</v>
      </c>
      <c r="I134" s="9" t="str">
        <f ca="1">+WORLDCUP!BD69</f>
        <v>Panamá</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Catar</v>
      </c>
      <c r="F135" s="9" t="str">
        <f ca="1">+WORLDCUP!BD60</f>
        <v>Marruecos</v>
      </c>
      <c r="G135" s="9" t="str">
        <f ca="1">+WORLDCUP!BD65</f>
        <v>España</v>
      </c>
      <c r="H135" s="9" t="str">
        <f ca="1">+WORLDCUP!BD61</f>
        <v>Turquía</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Catar</v>
      </c>
      <c r="F136" s="9" t="str">
        <f ca="1">+WORLDCUP!BD60</f>
        <v>Marruecos</v>
      </c>
      <c r="G136" s="9" t="str">
        <f ca="1">+WORLDCUP!BD65</f>
        <v>España</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Catar</v>
      </c>
      <c r="F137" s="9" t="str">
        <f ca="1">+WORLDCUP!BD60</f>
        <v>Marruecos</v>
      </c>
      <c r="G137" s="9" t="str">
        <f ca="1">+WORLDCUP!BD67</f>
        <v>Jordania</v>
      </c>
      <c r="H137" s="9" t="str">
        <f ca="1">+WORLDCUP!BD61</f>
        <v>Turquía</v>
      </c>
      <c r="I137" s="9" t="str">
        <f ca="1">+WORLDCUP!BD69</f>
        <v>Panamá</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Catar</v>
      </c>
      <c r="F138" s="9" t="str">
        <f ca="1">+WORLDCUP!BD60</f>
        <v>Marruecos</v>
      </c>
      <c r="G138" s="9" t="str">
        <f ca="1">+WORLDCUP!BD66</f>
        <v>Senegal</v>
      </c>
      <c r="H138" s="9" t="str">
        <f ca="1">+WORLDCUP!BD61</f>
        <v>Turquía</v>
      </c>
      <c r="I138" s="9" t="str">
        <f ca="1">+WORLDCUP!BD69</f>
        <v>Panamá</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Catar</v>
      </c>
      <c r="F139" s="9" t="str">
        <f ca="1">+WORLDCUP!BD60</f>
        <v>Marruecos</v>
      </c>
      <c r="G139" s="9" t="str">
        <f ca="1">+WORLDCUP!BD67</f>
        <v>Jordania</v>
      </c>
      <c r="H139" s="9" t="str">
        <f ca="1">+WORLDCUP!BD61</f>
        <v>Turquía</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Catar</v>
      </c>
      <c r="F140" s="9" t="str">
        <f ca="1">+WORLDCUP!BD60</f>
        <v>Marruecos</v>
      </c>
      <c r="G140" s="9" t="str">
        <f ca="1">+WORLDCUP!BD67</f>
        <v>Jordania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Panamá</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Catar</v>
      </c>
      <c r="F142" s="9" t="str">
        <f ca="1">+WORLDCUP!BD60</f>
        <v>Marruecos</v>
      </c>
      <c r="G142" s="9" t="str">
        <f ca="1">+WORLDCUP!BD67</f>
        <v>Jordania</v>
      </c>
      <c r="H142" s="9" t="str">
        <f ca="1">+WORLDCUP!BD61</f>
        <v>Turquía</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Catar</v>
      </c>
      <c r="F143" s="9" t="str">
        <f ca="1">+WORLDCUP!BD60</f>
        <v>Marruecos</v>
      </c>
      <c r="G143" s="9" t="str">
        <f ca="1">+WORLDCUP!BD67</f>
        <v>Jordania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Catar</v>
      </c>
      <c r="F146" s="9" t="str">
        <f ca="1">+WORLDCUP!BD60</f>
        <v>Marruecos</v>
      </c>
      <c r="G146" s="9" t="str">
        <f ca="1">+WORLDCUP!BD67</f>
        <v>Jordania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Jordania</v>
      </c>
      <c r="E147" s="9" t="str">
        <f ca="1">+WORLDCUP!BD59</f>
        <v>Catar</v>
      </c>
      <c r="F147" s="9" t="str">
        <f ca="1">+WORLDCUP!BD61</f>
        <v>Turquía</v>
      </c>
      <c r="G147" s="9" t="str">
        <f ca="1">+WORLDCUP!BD62</f>
        <v>Ecuador</v>
      </c>
      <c r="H147" s="9" t="str">
        <f ca="1">+WORLDCUP!BD63</f>
        <v>Japón</v>
      </c>
      <c r="I147" s="9" t="str">
        <f ca="1">+WORLDCUP!BD69</f>
        <v>Panamá</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Senegal</v>
      </c>
      <c r="H148" s="9" t="str">
        <f ca="1">+WORLDCUP!BD63</f>
        <v>Japón</v>
      </c>
      <c r="I148" s="9" t="str">
        <f ca="1">+WORLDCUP!BD69</f>
        <v>Panamá</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Jordania</v>
      </c>
      <c r="E149" s="9" t="str">
        <f ca="1">+WORLDCUP!BD59</f>
        <v>Catar</v>
      </c>
      <c r="F149" s="9" t="str">
        <f ca="1">+WORLDCUP!BD61</f>
        <v>Turquía</v>
      </c>
      <c r="G149" s="9" t="str">
        <f ca="1">+WORLDCUP!BD62</f>
        <v>Ecuador</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Jordania</v>
      </c>
      <c r="E150" s="9" t="str">
        <f ca="1">+WORLDCUP!BD59</f>
        <v>Catar</v>
      </c>
      <c r="F150" s="9" t="str">
        <f ca="1">+WORLDCUP!BD61</f>
        <v>Turquía</v>
      </c>
      <c r="G150" s="9" t="str">
        <f ca="1">+WORLDCUP!BD62</f>
        <v>Ecuador</v>
      </c>
      <c r="H150" s="9" t="str">
        <f ca="1">+WORLDCUP!BD63</f>
        <v>Japón</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Panamá</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Jordania</v>
      </c>
      <c r="E152" s="9" t="str">
        <f ca="1">+WORLDCUP!BD59</f>
        <v>Catar</v>
      </c>
      <c r="F152" s="9" t="str">
        <f ca="1">+WORLDCUP!BD61</f>
        <v>Turquía</v>
      </c>
      <c r="G152" s="9" t="str">
        <f ca="1">+WORLDCUP!BD65</f>
        <v>España</v>
      </c>
      <c r="H152" s="9" t="str">
        <f ca="1">+WORLDCUP!BD63</f>
        <v>Japón</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Jordania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Jordania</v>
      </c>
      <c r="E156" s="9" t="str">
        <f ca="1">+WORLDCUP!BD59</f>
        <v>Catar</v>
      </c>
      <c r="F156" s="9" t="str">
        <f ca="1">+WORLDCUP!BD61</f>
        <v>Turquía</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Panamá</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Bélgica</v>
      </c>
      <c r="E158" s="9" t="str">
        <f ca="1">+WORLDCUP!BD59</f>
        <v>Catar</v>
      </c>
      <c r="F158" s="9" t="str">
        <f ca="1">+WORLDCUP!BD61</f>
        <v>Turquía</v>
      </c>
      <c r="G158" s="9" t="str">
        <f ca="1">+WORLDCUP!BD67</f>
        <v>Jordania</v>
      </c>
      <c r="H158" s="9" t="str">
        <f ca="1">+WORLDCUP!BD63</f>
        <v>Japón</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Bélgica</v>
      </c>
      <c r="E159" s="9" t="str">
        <f ca="1">+WORLDCUP!BD59</f>
        <v>Catar</v>
      </c>
      <c r="F159" s="9" t="str">
        <f ca="1">+WORLDCUP!BD61</f>
        <v>Turquía</v>
      </c>
      <c r="G159" s="9" t="str">
        <f ca="1">+WORLDCUP!BD67</f>
        <v>Jordania</v>
      </c>
      <c r="H159" s="9" t="str">
        <f ca="1">+WORLDCUP!BD63</f>
        <v>Japón</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Bélgica</v>
      </c>
      <c r="E162" s="9" t="str">
        <f ca="1">+WORLDCUP!BD59</f>
        <v>Catar</v>
      </c>
      <c r="F162" s="9" t="str">
        <f ca="1">+WORLDCUP!BD61</f>
        <v>Turquía</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Catar</v>
      </c>
      <c r="F165" s="9" t="str">
        <f ca="1">+WORLDCUP!BD60</f>
        <v>Marruecos</v>
      </c>
      <c r="G165" s="9" t="str">
        <f ca="1">+WORLDCUP!BD67</f>
        <v>Jordania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Panamá</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Panamá</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Panamá</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Panamá</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Panamá</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Panamá</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Panamá</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Panamá</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Panamá</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Panamá</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Panamá</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Panamá</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Panamá</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Panamá</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Panamá</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Panamá</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Panamá</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Panamá</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Panamá</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Panamá</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Panamá</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Panamá</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Panamá</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Panamá</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Panamá</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Panamá</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Panamá</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Panamá</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Panamá</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Panamá</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Panamá</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Panamá</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Panamá</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Panamá</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Panamá</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Panamá</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Panamá</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Panamá</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Panamá</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Panamá</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Panamá</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Panamá</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Panamá</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Panamá</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Panamá</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Panamá</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Panamá</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Panamá</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Panamá</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Panamá</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Catar</v>
      </c>
      <c r="F287" s="9" t="str">
        <f ca="1">+WORLDCUP!BD58</f>
        <v>República Checa</v>
      </c>
      <c r="G287" s="9" t="str">
        <f ca="1">+WORLDCUP!BD66</f>
        <v>Senegal</v>
      </c>
      <c r="H287" s="9" t="str">
        <f ca="1">+WORLDCUP!BD64</f>
        <v>Bélgica</v>
      </c>
      <c r="I287" s="9" t="str">
        <f ca="1">+WORLDCUP!BD69</f>
        <v>Panamá</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Catar</v>
      </c>
      <c r="F288" s="9" t="str">
        <f ca="1">+WORLDCUP!BD58</f>
        <v>República Checa</v>
      </c>
      <c r="G288" s="9" t="str">
        <f ca="1">+WORLDCUP!BD66</f>
        <v>Senegal</v>
      </c>
      <c r="H288" s="9" t="str">
        <f ca="1">+WORLDCUP!BD63</f>
        <v>Japón</v>
      </c>
      <c r="I288" s="9" t="str">
        <f ca="1">+WORLDCUP!BD69</f>
        <v>Panamá</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Catar</v>
      </c>
      <c r="F289" s="9" t="str">
        <f ca="1">+WORLDCUP!BD63</f>
        <v>Japón</v>
      </c>
      <c r="G289" s="9" t="str">
        <f ca="1">+WORLDCUP!BD58</f>
        <v>República Checa</v>
      </c>
      <c r="H289" s="9" t="str">
        <f ca="1">+WORLDCUP!BD64</f>
        <v>Bélgica</v>
      </c>
      <c r="I289" s="9" t="str">
        <f ca="1">+WORLDCUP!BD69</f>
        <v>Panamá</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Catar</v>
      </c>
      <c r="F290" s="9" t="str">
        <f ca="1">+WORLDCUP!BD63</f>
        <v>Japón</v>
      </c>
      <c r="G290" s="9" t="str">
        <f ca="1">+WORLDCUP!BD58</f>
        <v>República Checa</v>
      </c>
      <c r="H290" s="9" t="str">
        <f ca="1">+WORLDCUP!BD64</f>
        <v>Bélgica</v>
      </c>
      <c r="I290" s="9" t="str">
        <f ca="1">+WORLDCUP!BD69</f>
        <v>Panamá</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Senegal</v>
      </c>
      <c r="H291" s="9" t="str">
        <f ca="1">+WORLDCUP!BD63</f>
        <v>Japón</v>
      </c>
      <c r="I291" s="9" t="str">
        <f ca="1">+WORLDCUP!BD69</f>
        <v>Panamá</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Catar</v>
      </c>
      <c r="F292" s="9" t="str">
        <f ca="1">+WORLDCUP!BD63</f>
        <v>Japón</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Catar</v>
      </c>
      <c r="F293" s="9" t="str">
        <f ca="1">+WORLDCUP!BD63</f>
        <v>Japón</v>
      </c>
      <c r="G293" s="9" t="str">
        <f ca="1">+WORLDCUP!BD58</f>
        <v>República Checa</v>
      </c>
      <c r="H293" s="9" t="str">
        <f ca="1">+WORLDCUP!BD64</f>
        <v>Bélgica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Catar</v>
      </c>
      <c r="F294" s="9" t="str">
        <f ca="1">+WORLDCUP!BD58</f>
        <v>República Checa</v>
      </c>
      <c r="G294" s="9" t="str">
        <f ca="1">+WORLDCUP!BD66</f>
        <v>Senegal</v>
      </c>
      <c r="H294" s="9" t="str">
        <f ca="1">+WORLDCUP!BD65</f>
        <v>España</v>
      </c>
      <c r="I294" s="9" t="str">
        <f ca="1">+WORLDCUP!BD69</f>
        <v>Panamá</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Catar</v>
      </c>
      <c r="F295" s="9" t="str">
        <f ca="1">+WORLDCUP!BD58</f>
        <v>República Checa</v>
      </c>
      <c r="G295" s="9" t="str">
        <f ca="1">+WORLDCUP!BD66</f>
        <v>Senegal</v>
      </c>
      <c r="H295" s="9" t="str">
        <f ca="1">+WORLDCUP!BD64</f>
        <v>Bélgica</v>
      </c>
      <c r="I295" s="9" t="str">
        <f ca="1">+WORLDCUP!BD69</f>
        <v>Panamá</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Catar</v>
      </c>
      <c r="F296" s="9" t="str">
        <f ca="1">+WORLDCUP!BD58</f>
        <v>República Checa</v>
      </c>
      <c r="G296" s="9" t="str">
        <f ca="1">+WORLDCUP!BD65</f>
        <v>España</v>
      </c>
      <c r="H296" s="9" t="str">
        <f ca="1">+WORLDCUP!BD64</f>
        <v>Bélgica</v>
      </c>
      <c r="I296" s="9" t="str">
        <f ca="1">+WORLDCUP!BD69</f>
        <v>Panamá</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Senegal</v>
      </c>
      <c r="H297" s="9" t="str">
        <f ca="1">+WORLDCUP!BD65</f>
        <v>España</v>
      </c>
      <c r="I297" s="9" t="str">
        <f ca="1">+WORLDCUP!BD69</f>
        <v>Panamá</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Catar</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Catar</v>
      </c>
      <c r="F299" s="9" t="str">
        <f ca="1">+WORLDCUP!BD58</f>
        <v>República Checa</v>
      </c>
      <c r="G299" s="9" t="str">
        <f ca="1">+WORLDCUP!BD65</f>
        <v>España</v>
      </c>
      <c r="H299" s="9" t="str">
        <f ca="1">+WORLDCUP!BD64</f>
        <v>Bélgica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Catar</v>
      </c>
      <c r="F300" s="9" t="str">
        <f ca="1">+WORLDCUP!BD58</f>
        <v>República Checa</v>
      </c>
      <c r="G300" s="9" t="str">
        <f ca="1">+WORLDCUP!BD66</f>
        <v>Senegal</v>
      </c>
      <c r="H300" s="9" t="str">
        <f ca="1">+WORLDCUP!BD63</f>
        <v>Japón</v>
      </c>
      <c r="I300" s="9" t="str">
        <f ca="1">+WORLDCUP!BD69</f>
        <v>Panamá</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Catar</v>
      </c>
      <c r="F301" s="9" t="str">
        <f ca="1">+WORLDCUP!BD63</f>
        <v>Japón</v>
      </c>
      <c r="G301" s="9" t="str">
        <f ca="1">+WORLDCUP!BD58</f>
        <v>República Checa</v>
      </c>
      <c r="H301" s="9" t="str">
        <f ca="1">+WORLDCUP!BD65</f>
        <v>España</v>
      </c>
      <c r="I301" s="9" t="str">
        <f ca="1">+WORLDCUP!BD69</f>
        <v>Panamá</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Catar</v>
      </c>
      <c r="F302" s="9" t="str">
        <f ca="1">+WORLDCUP!BD63</f>
        <v>Japón</v>
      </c>
      <c r="G302" s="9" t="str">
        <f ca="1">+WORLDCUP!BD58</f>
        <v>República Checa</v>
      </c>
      <c r="H302" s="9" t="str">
        <f ca="1">+WORLDCUP!BD65</f>
        <v>España</v>
      </c>
      <c r="I302" s="9" t="str">
        <f ca="1">+WORLDCUP!BD69</f>
        <v>Panamá</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Catar</v>
      </c>
      <c r="F303" s="9" t="str">
        <f ca="1">+WORLDCUP!BD63</f>
        <v>Japón</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Catar</v>
      </c>
      <c r="F304" s="9" t="str">
        <f ca="1">+WORLDCUP!BD63</f>
        <v>Japón</v>
      </c>
      <c r="G304" s="9" t="str">
        <f ca="1">+WORLDCUP!BD58</f>
        <v>República Checa</v>
      </c>
      <c r="H304" s="9" t="str">
        <f ca="1">+WORLDCUP!BD65</f>
        <v>España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Catar</v>
      </c>
      <c r="F305" s="9" t="str">
        <f ca="1">+WORLDCUP!BD63</f>
        <v>Japón</v>
      </c>
      <c r="G305" s="9" t="str">
        <f ca="1">+WORLDCUP!BD58</f>
        <v>República Checa</v>
      </c>
      <c r="H305" s="9" t="str">
        <f ca="1">+WORLDCUP!BD64</f>
        <v>Bélgica</v>
      </c>
      <c r="I305" s="9" t="str">
        <f ca="1">+WORLDCUP!BD69</f>
        <v>Panamá</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Senegal</v>
      </c>
      <c r="H306" s="9" t="str">
        <f ca="1">+WORLDCUP!BD63</f>
        <v>Japón</v>
      </c>
      <c r="I306" s="9" t="str">
        <f ca="1">+WORLDCUP!BD69</f>
        <v>Panamá</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Catar</v>
      </c>
      <c r="F307" s="9" t="str">
        <f ca="1">+WORLDCUP!BD63</f>
        <v>Japón</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Catar</v>
      </c>
      <c r="F308" s="9" t="str">
        <f ca="1">+WORLDCUP!BD63</f>
        <v>Japón</v>
      </c>
      <c r="G308" s="9" t="str">
        <f ca="1">+WORLDCUP!BD58</f>
        <v>República Checa</v>
      </c>
      <c r="H308" s="9" t="str">
        <f ca="1">+WORLDCUP!BD64</f>
        <v>Bélgica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Panamá</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Catar</v>
      </c>
      <c r="F310" s="9" t="str">
        <f ca="1">+WORLDCUP!BD63</f>
        <v>Japón</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Catar</v>
      </c>
      <c r="F315" s="9" t="str">
        <f ca="1">+WORLDCUP!BD61</f>
        <v>Turquía</v>
      </c>
      <c r="G315" s="9" t="str">
        <f ca="1">+WORLDCUP!BD58</f>
        <v>República Checa</v>
      </c>
      <c r="H315" s="9" t="str">
        <f ca="1">+WORLDCUP!BD65</f>
        <v>España</v>
      </c>
      <c r="I315" s="9" t="str">
        <f ca="1">+WORLDCUP!BD69</f>
        <v>Panamá</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Catar</v>
      </c>
      <c r="F316" s="9" t="str">
        <f ca="1">+WORLDCUP!BD61</f>
        <v>Turquía</v>
      </c>
      <c r="G316" s="9" t="str">
        <f ca="1">+WORLDCUP!BD58</f>
        <v>República Checa</v>
      </c>
      <c r="H316" s="9" t="str">
        <f ca="1">+WORLDCUP!BD64</f>
        <v>Bélgica</v>
      </c>
      <c r="I316" s="9" t="str">
        <f ca="1">+WORLDCUP!BD69</f>
        <v>Panamá</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Catar</v>
      </c>
      <c r="F317" s="9" t="str">
        <f ca="1">+WORLDCUP!BD61</f>
        <v>Turquía</v>
      </c>
      <c r="G317" s="9" t="str">
        <f ca="1">+WORLDCUP!BD58</f>
        <v>República Checa</v>
      </c>
      <c r="H317" s="9" t="str">
        <f ca="1">+WORLDCUP!BD64</f>
        <v>Bélgica</v>
      </c>
      <c r="I317" s="9" t="str">
        <f ca="1">+WORLDCUP!BD69</f>
        <v>Panamá</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Panamá</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Catar</v>
      </c>
      <c r="F319" s="9" t="str">
        <f ca="1">+WORLDCUP!BD61</f>
        <v>Turquía</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Catar</v>
      </c>
      <c r="F320" s="9" t="str">
        <f ca="1">+WORLDCUP!BD61</f>
        <v>Turquía</v>
      </c>
      <c r="G320" s="9" t="str">
        <f ca="1">+WORLDCUP!BD58</f>
        <v>República Checa</v>
      </c>
      <c r="H320" s="9" t="str">
        <f ca="1">+WORLDCUP!BD64</f>
        <v>Bélgica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Catar</v>
      </c>
      <c r="F321" s="9" t="str">
        <f ca="1">+WORLDCUP!BD61</f>
        <v>Turquía</v>
      </c>
      <c r="G321" s="9" t="str">
        <f ca="1">+WORLDCUP!BD58</f>
        <v>República Checa</v>
      </c>
      <c r="H321" s="9" t="str">
        <f ca="1">+WORLDCUP!BD63</f>
        <v>Japón</v>
      </c>
      <c r="I321" s="9" t="str">
        <f ca="1">+WORLDCUP!BD69</f>
        <v>Panamá</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Catar</v>
      </c>
      <c r="F322" s="9" t="str">
        <f ca="1">+WORLDCUP!BD61</f>
        <v>Turquía</v>
      </c>
      <c r="G322" s="9" t="str">
        <f ca="1">+WORLDCUP!BD58</f>
        <v>República Checa</v>
      </c>
      <c r="H322" s="9" t="str">
        <f ca="1">+WORLDCUP!BD63</f>
        <v>Japón</v>
      </c>
      <c r="I322" s="9" t="str">
        <f ca="1">+WORLDCUP!BD69</f>
        <v>Panamá</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Catar</v>
      </c>
      <c r="F323" s="9" t="str">
        <f ca="1">+WORLDCUP!BD61</f>
        <v>Turquía</v>
      </c>
      <c r="G323" s="9" t="str">
        <f ca="1">+WORLDCUP!BD58</f>
        <v>República Checa</v>
      </c>
      <c r="H323" s="9" t="str">
        <f ca="1">+WORLDCUP!BD63</f>
        <v>Japón</v>
      </c>
      <c r="I323" s="9" t="str">
        <f ca="1">+WORLDCUP!BD69</f>
        <v>Panamá</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Catar</v>
      </c>
      <c r="F324" s="9" t="str">
        <f ca="1">+WORLDCUP!BD61</f>
        <v>Turquía</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Catar</v>
      </c>
      <c r="F325" s="9" t="str">
        <f ca="1">+WORLDCUP!BD61</f>
        <v>Turquía</v>
      </c>
      <c r="G325" s="9" t="str">
        <f ca="1">+WORLDCUP!BD58</f>
        <v>República Checa</v>
      </c>
      <c r="H325" s="9" t="str">
        <f ca="1">+WORLDCUP!BD63</f>
        <v>Japón</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Catar</v>
      </c>
      <c r="F326" s="9" t="str">
        <f ca="1">+WORLDCUP!BD61</f>
        <v>Turquía</v>
      </c>
      <c r="G326" s="9" t="str">
        <f ca="1">+WORLDCUP!BD58</f>
        <v>República Checa</v>
      </c>
      <c r="H326" s="9" t="str">
        <f ca="1">+WORLDCUP!BD64</f>
        <v>Bélgica</v>
      </c>
      <c r="I326" s="9" t="str">
        <f ca="1">+WORLDCUP!BD69</f>
        <v>Panamá</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Panamá</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Catar</v>
      </c>
      <c r="F328" s="9" t="str">
        <f ca="1">+WORLDCUP!BD61</f>
        <v>Turquía</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Catar</v>
      </c>
      <c r="F329" s="9" t="str">
        <f ca="1">+WORLDCUP!BD61</f>
        <v>Turquía</v>
      </c>
      <c r="G329" s="9" t="str">
        <f ca="1">+WORLDCUP!BD58</f>
        <v>República Checa</v>
      </c>
      <c r="H329" s="9" t="str">
        <f ca="1">+WORLDCUP!BD64</f>
        <v>Bélgica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Panamá</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Jordania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Catar</v>
      </c>
      <c r="F336" s="9" t="str">
        <f ca="1">+WORLDCUP!BD58</f>
        <v>República Checa</v>
      </c>
      <c r="G336" s="9" t="str">
        <f ca="1">+WORLDCUP!BD66</f>
        <v>Senegal</v>
      </c>
      <c r="H336" s="9" t="str">
        <f ca="1">+WORLDCUP!BD61</f>
        <v>Turquía</v>
      </c>
      <c r="I336" s="9" t="str">
        <f ca="1">+WORLDCUP!BD69</f>
        <v>Panamá</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Catar</v>
      </c>
      <c r="F337" s="9" t="str">
        <f ca="1">+WORLDCUP!BD61</f>
        <v>Turquía</v>
      </c>
      <c r="G337" s="9" t="str">
        <f ca="1">+WORLDCUP!BD58</f>
        <v>República Checa</v>
      </c>
      <c r="H337" s="9" t="str">
        <f ca="1">+WORLDCUP!BD65</f>
        <v>España</v>
      </c>
      <c r="I337" s="9" t="str">
        <f ca="1">+WORLDCUP!BD69</f>
        <v>Panamá</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Catar</v>
      </c>
      <c r="F338" s="9" t="str">
        <f ca="1">+WORLDCUP!BD61</f>
        <v>Turquía</v>
      </c>
      <c r="G338" s="9" t="str">
        <f ca="1">+WORLDCUP!BD58</f>
        <v>República Checa</v>
      </c>
      <c r="H338" s="9" t="str">
        <f ca="1">+WORLDCUP!BD65</f>
        <v>España</v>
      </c>
      <c r="I338" s="9" t="str">
        <f ca="1">+WORLDCUP!BD69</f>
        <v>Panamá</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Catar</v>
      </c>
      <c r="F339" s="9" t="str">
        <f ca="1">+WORLDCUP!BD61</f>
        <v>Turquía</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Catar</v>
      </c>
      <c r="F340" s="9" t="str">
        <f ca="1">+WORLDCUP!BD61</f>
        <v>Turquía</v>
      </c>
      <c r="G340" s="9" t="str">
        <f ca="1">+WORLDCUP!BD58</f>
        <v>República Checa</v>
      </c>
      <c r="H340" s="9" t="str">
        <f ca="1">+WORLDCUP!BD65</f>
        <v>España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Catar</v>
      </c>
      <c r="F341" s="9" t="str">
        <f ca="1">+WORLDCUP!BD61</f>
        <v>Turquía</v>
      </c>
      <c r="G341" s="9" t="str">
        <f ca="1">+WORLDCUP!BD58</f>
        <v>República Checa</v>
      </c>
      <c r="H341" s="9" t="str">
        <f ca="1">+WORLDCUP!BD64</f>
        <v>Bélgica</v>
      </c>
      <c r="I341" s="9" t="str">
        <f ca="1">+WORLDCUP!BD69</f>
        <v>Panamá</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Senegal</v>
      </c>
      <c r="H342" s="9" t="str">
        <f ca="1">+WORLDCUP!BD61</f>
        <v>Turquía</v>
      </c>
      <c r="I342" s="9" t="str">
        <f ca="1">+WORLDCUP!BD69</f>
        <v>Panamá</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Catar</v>
      </c>
      <c r="F343" s="9" t="str">
        <f ca="1">+WORLDCUP!BD61</f>
        <v>Turquía</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Catar</v>
      </c>
      <c r="F344" s="9" t="str">
        <f ca="1">+WORLDCUP!BD61</f>
        <v>Turquía</v>
      </c>
      <c r="G344" s="9" t="str">
        <f ca="1">+WORLDCUP!BD58</f>
        <v>República Checa</v>
      </c>
      <c r="H344" s="9" t="str">
        <f ca="1">+WORLDCUP!BD64</f>
        <v>Bélgica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Panamá</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Catar</v>
      </c>
      <c r="F346" s="9" t="str">
        <f ca="1">+WORLDCUP!BD61</f>
        <v>Turquía</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Catar</v>
      </c>
      <c r="F351" s="9" t="str">
        <f ca="1">+WORLDCUP!BD61</f>
        <v>Turquía</v>
      </c>
      <c r="G351" s="9" t="str">
        <f ca="1">+WORLDCUP!BD58</f>
        <v>República Checa</v>
      </c>
      <c r="H351" s="9" t="str">
        <f ca="1">+WORLDCUP!BD63</f>
        <v>Japón</v>
      </c>
      <c r="I351" s="9" t="str">
        <f ca="1">+WORLDCUP!BD69</f>
        <v>Panamá</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Catar</v>
      </c>
      <c r="F352" s="9" t="str">
        <f ca="1">+WORLDCUP!BD61</f>
        <v>Turquía</v>
      </c>
      <c r="G352" s="9" t="str">
        <f ca="1">+WORLDCUP!BD58</f>
        <v>República Checa</v>
      </c>
      <c r="H352" s="9" t="str">
        <f ca="1">+WORLDCUP!BD63</f>
        <v>Japón</v>
      </c>
      <c r="I352" s="9" t="str">
        <f ca="1">+WORLDCUP!BD69</f>
        <v>Panamá</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Catar</v>
      </c>
      <c r="F353" s="9" t="str">
        <f ca="1">+WORLDCUP!BD61</f>
        <v>Turquía</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Catar</v>
      </c>
      <c r="F354" s="9" t="str">
        <f ca="1">+WORLDCUP!BD61</f>
        <v>Turquía</v>
      </c>
      <c r="G354" s="9" t="str">
        <f ca="1">+WORLDCUP!BD58</f>
        <v>República Checa</v>
      </c>
      <c r="H354" s="9" t="str">
        <f ca="1">+WORLDCUP!BD63</f>
        <v>Japón</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Panamá</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Catar</v>
      </c>
      <c r="F356" s="9" t="str">
        <f ca="1">+WORLDCUP!BD61</f>
        <v>Turquía</v>
      </c>
      <c r="G356" s="9" t="str">
        <f ca="1">+WORLDCUP!BD58</f>
        <v>República Checa</v>
      </c>
      <c r="H356" s="9" t="str">
        <f ca="1">+WORLDCUP!BD63</f>
        <v>Japón</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Panamá</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Jordania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Catar</v>
      </c>
      <c r="F371" s="9" t="str">
        <f ca="1">+WORLDCUP!BD60</f>
        <v>Marruecos</v>
      </c>
      <c r="G371" s="9" t="str">
        <f ca="1">+WORLDCUP!BD58</f>
        <v>República Checa</v>
      </c>
      <c r="H371" s="9" t="str">
        <f ca="1">+WORLDCUP!BD65</f>
        <v>España</v>
      </c>
      <c r="I371" s="9" t="str">
        <f ca="1">+WORLDCUP!BD69</f>
        <v>Panamá</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Catar</v>
      </c>
      <c r="F372" s="9" t="str">
        <f ca="1">+WORLDCUP!BD60</f>
        <v>Marruecos</v>
      </c>
      <c r="G372" s="9" t="str">
        <f ca="1">+WORLDCUP!BD58</f>
        <v>República Checa</v>
      </c>
      <c r="H372" s="9" t="str">
        <f ca="1">+WORLDCUP!BD64</f>
        <v>Bélgica</v>
      </c>
      <c r="I372" s="9" t="str">
        <f ca="1">+WORLDCUP!BD69</f>
        <v>Panamá</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Catar</v>
      </c>
      <c r="F373" s="9" t="str">
        <f ca="1">+WORLDCUP!BD60</f>
        <v>Marruecos</v>
      </c>
      <c r="G373" s="9" t="str">
        <f ca="1">+WORLDCUP!BD58</f>
        <v>República Checa</v>
      </c>
      <c r="H373" s="9" t="str">
        <f ca="1">+WORLDCUP!BD64</f>
        <v>Bélgica</v>
      </c>
      <c r="I373" s="9" t="str">
        <f ca="1">+WORLDCUP!BD69</f>
        <v>Panamá</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Panamá</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Catar</v>
      </c>
      <c r="F375" s="9" t="str">
        <f ca="1">+WORLDCUP!BD60</f>
        <v>Marruecos</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Catar</v>
      </c>
      <c r="F376" s="9" t="str">
        <f ca="1">+WORLDCUP!BD60</f>
        <v>Marruecos</v>
      </c>
      <c r="G376" s="9" t="str">
        <f ca="1">+WORLDCUP!BD58</f>
        <v>República Checa</v>
      </c>
      <c r="H376" s="9" t="str">
        <f ca="1">+WORLDCUP!BD64</f>
        <v>Bélgica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Catar</v>
      </c>
      <c r="F377" s="9" t="str">
        <f ca="1">+WORLDCUP!BD60</f>
        <v>Marruecos</v>
      </c>
      <c r="G377" s="9" t="str">
        <f ca="1">+WORLDCUP!BD58</f>
        <v>República Checa</v>
      </c>
      <c r="H377" s="9" t="str">
        <f ca="1">+WORLDCUP!BD63</f>
        <v>Japón</v>
      </c>
      <c r="I377" s="9" t="str">
        <f ca="1">+WORLDCUP!BD69</f>
        <v>Panamá</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Catar</v>
      </c>
      <c r="F378" s="9" t="str">
        <f ca="1">+WORLDCUP!BD60</f>
        <v>Marruecos</v>
      </c>
      <c r="G378" s="9" t="str">
        <f ca="1">+WORLDCUP!BD58</f>
        <v>República Checa</v>
      </c>
      <c r="H378" s="9" t="str">
        <f ca="1">+WORLDCUP!BD63</f>
        <v>Japón</v>
      </c>
      <c r="I378" s="9" t="str">
        <f ca="1">+WORLDCUP!BD69</f>
        <v>Panamá</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Catar</v>
      </c>
      <c r="F379" s="9" t="str">
        <f ca="1">+WORLDCUP!BD60</f>
        <v>Marruecos</v>
      </c>
      <c r="G379" s="9" t="str">
        <f ca="1">+WORLDCUP!BD58</f>
        <v>República Checa</v>
      </c>
      <c r="H379" s="9" t="str">
        <f ca="1">+WORLDCUP!BD63</f>
        <v>Japón</v>
      </c>
      <c r="I379" s="9" t="str">
        <f ca="1">+WORLDCUP!BD69</f>
        <v>Panamá</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Catar</v>
      </c>
      <c r="F380" s="9" t="str">
        <f ca="1">+WORLDCUP!BD60</f>
        <v>Marruecos</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Catar</v>
      </c>
      <c r="F381" s="9" t="str">
        <f ca="1">+WORLDCUP!BD60</f>
        <v>Marruecos</v>
      </c>
      <c r="G381" s="9" t="str">
        <f ca="1">+WORLDCUP!BD58</f>
        <v>República Checa</v>
      </c>
      <c r="H381" s="9" t="str">
        <f ca="1">+WORLDCUP!BD63</f>
        <v>Japón</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Jordania</v>
      </c>
      <c r="E382" s="9" t="str">
        <f ca="1">+WORLDCUP!BD59</f>
        <v>Catar</v>
      </c>
      <c r="F382" s="9" t="str">
        <f ca="1">+WORLDCUP!BD63</f>
        <v>Japón</v>
      </c>
      <c r="G382" s="9" t="str">
        <f ca="1">+WORLDCUP!BD58</f>
        <v>República Checa</v>
      </c>
      <c r="H382" s="9" t="str">
        <f ca="1">+WORLDCUP!BD64</f>
        <v>Bélgica</v>
      </c>
      <c r="I382" s="9" t="str">
        <f ca="1">+WORLDCUP!BD69</f>
        <v>Panamá</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Panamá</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Jordania</v>
      </c>
      <c r="E384" s="9" t="str">
        <f ca="1">+WORLDCUP!BD59</f>
        <v>Catar</v>
      </c>
      <c r="F384" s="9" t="str">
        <f ca="1">+WORLDCUP!BD63</f>
        <v>Japón</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Jordania</v>
      </c>
      <c r="E385" s="9" t="str">
        <f ca="1">+WORLDCUP!BD59</f>
        <v>Catar</v>
      </c>
      <c r="F385" s="9" t="str">
        <f ca="1">+WORLDCUP!BD63</f>
        <v>Japón</v>
      </c>
      <c r="G385" s="9" t="str">
        <f ca="1">+WORLDCUP!BD58</f>
        <v>República Checa</v>
      </c>
      <c r="H385" s="9" t="str">
        <f ca="1">+WORLDCUP!BD64</f>
        <v>Bélgica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Panamá</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Jordania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Catar</v>
      </c>
      <c r="F392" s="9" t="str">
        <f ca="1">+WORLDCUP!BD58</f>
        <v>República Checa</v>
      </c>
      <c r="G392" s="9" t="str">
        <f ca="1">+WORLDCUP!BD66</f>
        <v>Senegal</v>
      </c>
      <c r="H392" s="9" t="str">
        <f ca="1">+WORLDCUP!BD60</f>
        <v>Marruecos</v>
      </c>
      <c r="I392" s="9" t="str">
        <f ca="1">+WORLDCUP!BD69</f>
        <v>Panamá</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Catar</v>
      </c>
      <c r="F393" s="9" t="str">
        <f ca="1">+WORLDCUP!BD60</f>
        <v>Marruecos</v>
      </c>
      <c r="G393" s="9" t="str">
        <f ca="1">+WORLDCUP!BD58</f>
        <v>República Checa</v>
      </c>
      <c r="H393" s="9" t="str">
        <f ca="1">+WORLDCUP!BD65</f>
        <v>España</v>
      </c>
      <c r="I393" s="9" t="str">
        <f ca="1">+WORLDCUP!BD69</f>
        <v>Panamá</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Catar</v>
      </c>
      <c r="F394" s="9" t="str">
        <f ca="1">+WORLDCUP!BD60</f>
        <v>Marruecos</v>
      </c>
      <c r="G394" s="9" t="str">
        <f ca="1">+WORLDCUP!BD58</f>
        <v>República Checa</v>
      </c>
      <c r="H394" s="9" t="str">
        <f ca="1">+WORLDCUP!BD65</f>
        <v>España</v>
      </c>
      <c r="I394" s="9" t="str">
        <f ca="1">+WORLDCUP!BD69</f>
        <v>Panamá</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Catar</v>
      </c>
      <c r="F395" s="9" t="str">
        <f ca="1">+WORLDCUP!BD60</f>
        <v>Marruecos</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Catar</v>
      </c>
      <c r="F396" s="9" t="str">
        <f ca="1">+WORLDCUP!BD60</f>
        <v>Marruecos</v>
      </c>
      <c r="G396" s="9" t="str">
        <f ca="1">+WORLDCUP!BD58</f>
        <v>República Checa</v>
      </c>
      <c r="H396" s="9" t="str">
        <f ca="1">+WORLDCUP!BD65</f>
        <v>España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Catar</v>
      </c>
      <c r="F397" s="9" t="str">
        <f ca="1">+WORLDCUP!BD60</f>
        <v>Marruecos</v>
      </c>
      <c r="G397" s="9" t="str">
        <f ca="1">+WORLDCUP!BD58</f>
        <v>República Checa</v>
      </c>
      <c r="H397" s="9" t="str">
        <f ca="1">+WORLDCUP!BD64</f>
        <v>Bélgica</v>
      </c>
      <c r="I397" s="9" t="str">
        <f ca="1">+WORLDCUP!BD69</f>
        <v>Panamá</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Senegal</v>
      </c>
      <c r="H398" s="9" t="str">
        <f ca="1">+WORLDCUP!BD60</f>
        <v>Marruecos</v>
      </c>
      <c r="I398" s="9" t="str">
        <f ca="1">+WORLDCUP!BD69</f>
        <v>Panamá</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Catar</v>
      </c>
      <c r="F399" s="9" t="str">
        <f ca="1">+WORLDCUP!BD60</f>
        <v>Marruecos</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Catar</v>
      </c>
      <c r="F400" s="9" t="str">
        <f ca="1">+WORLDCUP!BD60</f>
        <v>Marruecos</v>
      </c>
      <c r="G400" s="9" t="str">
        <f ca="1">+WORLDCUP!BD58</f>
        <v>República Checa</v>
      </c>
      <c r="H400" s="9" t="str">
        <f ca="1">+WORLDCUP!BD64</f>
        <v>Bélgica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Panamá</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Catar</v>
      </c>
      <c r="F402" s="9" t="str">
        <f ca="1">+WORLDCUP!BD60</f>
        <v>Marruecos</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Catar</v>
      </c>
      <c r="F407" s="9" t="str">
        <f ca="1">+WORLDCUP!BD60</f>
        <v>Marruecos</v>
      </c>
      <c r="G407" s="9" t="str">
        <f ca="1">+WORLDCUP!BD58</f>
        <v>República Checa</v>
      </c>
      <c r="H407" s="9" t="str">
        <f ca="1">+WORLDCUP!BD63</f>
        <v>Japón</v>
      </c>
      <c r="I407" s="9" t="str">
        <f ca="1">+WORLDCUP!BD69</f>
        <v>Panamá</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Catar</v>
      </c>
      <c r="F408" s="9" t="str">
        <f ca="1">+WORLDCUP!BD60</f>
        <v>Marruecos</v>
      </c>
      <c r="G408" s="9" t="str">
        <f ca="1">+WORLDCUP!BD58</f>
        <v>República Checa</v>
      </c>
      <c r="H408" s="9" t="str">
        <f ca="1">+WORLDCUP!BD63</f>
        <v>Japón</v>
      </c>
      <c r="I408" s="9" t="str">
        <f ca="1">+WORLDCUP!BD69</f>
        <v>Panamá</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Catar</v>
      </c>
      <c r="F409" s="9" t="str">
        <f ca="1">+WORLDCUP!BD60</f>
        <v>Marruecos</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Catar</v>
      </c>
      <c r="F410" s="9" t="str">
        <f ca="1">+WORLDCUP!BD60</f>
        <v>Marruecos</v>
      </c>
      <c r="G410" s="9" t="str">
        <f ca="1">+WORLDCUP!BD58</f>
        <v>República Checa</v>
      </c>
      <c r="H410" s="9" t="str">
        <f ca="1">+WORLDCUP!BD63</f>
        <v>Japón</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Panamá</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Catar</v>
      </c>
      <c r="F412" s="9" t="str">
        <f ca="1">+WORLDCUP!BD60</f>
        <v>Marruecos</v>
      </c>
      <c r="G412" s="9" t="str">
        <f ca="1">+WORLDCUP!BD58</f>
        <v>República Checa</v>
      </c>
      <c r="H412" s="9" t="str">
        <f ca="1">+WORLDCUP!BD63</f>
        <v>Japón</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Panamá</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Jordania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Catar</v>
      </c>
      <c r="F427" s="9" t="str">
        <f ca="1">+WORLDCUP!BD60</f>
        <v>Marruecos</v>
      </c>
      <c r="G427" s="9" t="str">
        <f ca="1">+WORLDCUP!BD58</f>
        <v>República Checa</v>
      </c>
      <c r="H427" s="9" t="str">
        <f ca="1">+WORLDCUP!BD61</f>
        <v>Turquía</v>
      </c>
      <c r="I427" s="9" t="str">
        <f ca="1">+WORLDCUP!BD69</f>
        <v>Panamá</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Catar</v>
      </c>
      <c r="F428" s="9" t="str">
        <f ca="1">+WORLDCUP!BD60</f>
        <v>Marruecos</v>
      </c>
      <c r="G428" s="9" t="str">
        <f ca="1">+WORLDCUP!BD58</f>
        <v>República Checa</v>
      </c>
      <c r="H428" s="9" t="str">
        <f ca="1">+WORLDCUP!BD61</f>
        <v>Turquía</v>
      </c>
      <c r="I428" s="9" t="str">
        <f ca="1">+WORLDCUP!BD69</f>
        <v>Panamá</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Catar</v>
      </c>
      <c r="F429" s="9" t="str">
        <f ca="1">+WORLDCUP!BD60</f>
        <v>Marruecos</v>
      </c>
      <c r="G429" s="9" t="str">
        <f ca="1">+WORLDCUP!BD58</f>
        <v>República Checa</v>
      </c>
      <c r="H429" s="9" t="str">
        <f ca="1">+WORLDCUP!BD61</f>
        <v>Turquía</v>
      </c>
      <c r="I429" s="9" t="str">
        <f ca="1">+WORLDCUP!BD69</f>
        <v>Panamá</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Catar</v>
      </c>
      <c r="F430" s="9" t="str">
        <f ca="1">+WORLDCUP!BD60</f>
        <v>Marruecos</v>
      </c>
      <c r="G430" s="9" t="str">
        <f ca="1">+WORLDCUP!BD58</f>
        <v>República Checa</v>
      </c>
      <c r="H430" s="9" t="str">
        <f ca="1">+WORLDCUP!BD61</f>
        <v>Turquía</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Catar</v>
      </c>
      <c r="F431" s="9" t="str">
        <f ca="1">+WORLDCUP!BD60</f>
        <v>Marruecos</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Jordania</v>
      </c>
      <c r="E432" s="9" t="str">
        <f ca="1">+WORLDCUP!BD59</f>
        <v>Catar</v>
      </c>
      <c r="F432" s="9" t="str">
        <f ca="1">+WORLDCUP!BD61</f>
        <v>Turquía</v>
      </c>
      <c r="G432" s="9" t="str">
        <f ca="1">+WORLDCUP!BD58</f>
        <v>República Checa</v>
      </c>
      <c r="H432" s="9" t="str">
        <f ca="1">+WORLDCUP!BD64</f>
        <v>Bélgica</v>
      </c>
      <c r="I432" s="9" t="str">
        <f ca="1">+WORLDCUP!BD69</f>
        <v>Panamá</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Panamá</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Jordania</v>
      </c>
      <c r="E434" s="9" t="str">
        <f ca="1">+WORLDCUP!BD59</f>
        <v>Catar</v>
      </c>
      <c r="F434" s="9" t="str">
        <f ca="1">+WORLDCUP!BD61</f>
        <v>Turquía</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Jordania</v>
      </c>
      <c r="E435" s="9" t="str">
        <f ca="1">+WORLDCUP!BD59</f>
        <v>Catar</v>
      </c>
      <c r="F435" s="9" t="str">
        <f ca="1">+WORLDCUP!BD61</f>
        <v>Turquía</v>
      </c>
      <c r="G435" s="9" t="str">
        <f ca="1">+WORLDCUP!BD58</f>
        <v>República Checa</v>
      </c>
      <c r="H435" s="9" t="str">
        <f ca="1">+WORLDCUP!BD64</f>
        <v>Bélgica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Panamá</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Jordania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Jordania</v>
      </c>
      <c r="E442" s="9" t="str">
        <f ca="1">+WORLDCUP!BD59</f>
        <v>Catar</v>
      </c>
      <c r="F442" s="9" t="str">
        <f ca="1">+WORLDCUP!BD61</f>
        <v>Turquía</v>
      </c>
      <c r="G442" s="9" t="str">
        <f ca="1">+WORLDCUP!BD58</f>
        <v>República Checa</v>
      </c>
      <c r="H442" s="9" t="str">
        <f ca="1">+WORLDCUP!BD63</f>
        <v>Japón</v>
      </c>
      <c r="I442" s="9" t="str">
        <f ca="1">+WORLDCUP!BD69</f>
        <v>Panamá</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Catar</v>
      </c>
      <c r="F443" s="9" t="str">
        <f ca="1">+WORLDCUP!BD61</f>
        <v>Turquía</v>
      </c>
      <c r="G443" s="9" t="str">
        <f ca="1">+WORLDCUP!BD58</f>
        <v>República Checa</v>
      </c>
      <c r="H443" s="9" t="str">
        <f ca="1">+WORLDCUP!BD63</f>
        <v>Japón</v>
      </c>
      <c r="I443" s="9" t="str">
        <f ca="1">+WORLDCUP!BD69</f>
        <v>Panamá</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Jordania</v>
      </c>
      <c r="E444" s="9" t="str">
        <f ca="1">+WORLDCUP!BD59</f>
        <v>Catar</v>
      </c>
      <c r="F444" s="9" t="str">
        <f ca="1">+WORLDCUP!BD61</f>
        <v>Turquía</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Jordania</v>
      </c>
      <c r="E445" s="9" t="str">
        <f ca="1">+WORLDCUP!BD59</f>
        <v>Catar</v>
      </c>
      <c r="F445" s="9" t="str">
        <f ca="1">+WORLDCUP!BD61</f>
        <v>Turquía</v>
      </c>
      <c r="G445" s="9" t="str">
        <f ca="1">+WORLDCUP!BD58</f>
        <v>República Checa</v>
      </c>
      <c r="H445" s="9" t="str">
        <f ca="1">+WORLDCUP!BD63</f>
        <v>Japón</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Panamá</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Jordania</v>
      </c>
      <c r="E447" s="9" t="str">
        <f ca="1">+WORLDCUP!BD59</f>
        <v>Catar</v>
      </c>
      <c r="F447" s="9" t="str">
        <f ca="1">+WORLDCUP!BD61</f>
        <v>Turquía</v>
      </c>
      <c r="G447" s="9" t="str">
        <f ca="1">+WORLDCUP!BD58</f>
        <v>República Checa</v>
      </c>
      <c r="H447" s="9" t="str">
        <f ca="1">+WORLDCUP!BD63</f>
        <v>Japón</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Panamá</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Jordania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Catar</v>
      </c>
      <c r="F462" s="9" t="str">
        <f ca="1">+WORLDCUP!BD60</f>
        <v>Marruecos</v>
      </c>
      <c r="G462" s="9" t="str">
        <f ca="1">+WORLDCUP!BD58</f>
        <v>República Checa</v>
      </c>
      <c r="H462" s="9" t="str">
        <f ca="1">+WORLDCUP!BD61</f>
        <v>Turquía</v>
      </c>
      <c r="I462" s="9" t="str">
        <f ca="1">+WORLDCUP!BD69</f>
        <v>Panamá</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Catar</v>
      </c>
      <c r="F463" s="9" t="str">
        <f ca="1">+WORLDCUP!BD60</f>
        <v>Marruecos</v>
      </c>
      <c r="G463" s="9" t="str">
        <f ca="1">+WORLDCUP!BD58</f>
        <v>República Checa</v>
      </c>
      <c r="H463" s="9" t="str">
        <f ca="1">+WORLDCUP!BD61</f>
        <v>Turquía</v>
      </c>
      <c r="I463" s="9" t="str">
        <f ca="1">+WORLDCUP!BD69</f>
        <v>Panamá</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Catar</v>
      </c>
      <c r="F464" s="9" t="str">
        <f ca="1">+WORLDCUP!BD60</f>
        <v>Marruecos</v>
      </c>
      <c r="G464" s="9" t="str">
        <f ca="1">+WORLDCUP!BD58</f>
        <v>República Checa</v>
      </c>
      <c r="H464" s="9" t="str">
        <f ca="1">+WORLDCUP!BD61</f>
        <v>Turquía</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Catar</v>
      </c>
      <c r="F465" s="9" t="str">
        <f ca="1">+WORLDCUP!BD60</f>
        <v>Marruecos</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Panamá</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Catar</v>
      </c>
      <c r="F467" s="9" t="str">
        <f ca="1">+WORLDCUP!BD60</f>
        <v>Marruecos</v>
      </c>
      <c r="G467" s="9" t="str">
        <f ca="1">+WORLDCUP!BD58</f>
        <v>República Checa</v>
      </c>
      <c r="H467" s="9" t="str">
        <f ca="1">+WORLDCUP!BD61</f>
        <v>Turquía</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Panamá</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Jordania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Panamá</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Jordania</v>
      </c>
      <c r="E483" s="9" t="str">
        <f ca="1">+WORLDCUP!BD59</f>
        <v>Catar</v>
      </c>
      <c r="F483" s="9" t="str">
        <f ca="1">+WORLDCUP!BD61</f>
        <v>Turquía</v>
      </c>
      <c r="G483" s="9" t="str">
        <f ca="1">+WORLDCUP!BD58</f>
        <v>República Checa</v>
      </c>
      <c r="H483" s="9" t="str">
        <f ca="1">+WORLDCUP!BD63</f>
        <v>Japón</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Jordania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Jordania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2026-06-18T03:02:05Z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
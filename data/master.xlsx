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588C3346-7198-814C-BF32-275E577B4433}"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I64" i="2"/>
  <c r="H64" i="2"/>
  <c r="F64" i="2"/>
  <c r="L64" i="2"/>
  <c r="U64" i="2"/>
  <c r="T64" i="2"/>
  <c r="R64" i="2"/>
  <c r="O64" i="2"/>
  <c r="C213" i="3"/>
  <c r="L32" i="2"/>
  <c r="K32" i="2"/>
  <c r="F54" i="2"/>
  <c r="E54" i="2"/>
  <c r="N54" i="2"/>
  <c r="L54" i="2"/>
  <c r="K54" i="2"/>
  <c r="H54" i="2"/>
  <c r="Q54"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14" i="4" l="1"/>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38" i="4" l="1"/>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BT42" i="2"/>
  <c r="E76" i="2" s="1"/>
  <c r="BT9" i="2"/>
  <c r="E8" i="2" s="1"/>
  <c r="BT37" i="2"/>
  <c r="F61" i="2" s="1"/>
  <c r="BT8" i="2"/>
  <c r="F9" i="2" s="1"/>
  <c r="BT18" i="2"/>
  <c r="BT11" i="2"/>
  <c r="BT25" i="2"/>
  <c r="BT39" i="2"/>
  <c r="F68" i="2" s="1"/>
  <c r="BT52" i="2"/>
  <c r="E93" i="2" s="1"/>
  <c r="BT16" i="2"/>
  <c r="BT32" i="2"/>
  <c r="E53" i="2" s="1"/>
  <c r="BT17" i="2"/>
  <c r="BT35" i="2"/>
  <c r="F60" i="2" s="1"/>
  <c r="BT26" i="2"/>
  <c r="BT50" i="2"/>
  <c r="E92" i="2" s="1"/>
  <c r="BT30" i="2"/>
  <c r="E52" i="2" s="1"/>
  <c r="BT34" i="2"/>
  <c r="E60" i="2" s="1"/>
  <c r="BT7" i="2"/>
  <c r="E9" i="2" s="1"/>
  <c r="BT27" i="2"/>
  <c r="F44" i="2" s="1"/>
  <c r="BT28" i="2"/>
  <c r="BT48" i="2"/>
  <c r="E85" i="2" s="1"/>
  <c r="BT20" i="2"/>
  <c r="BT24" i="2"/>
  <c r="BT13" i="2"/>
  <c r="BT23" i="2"/>
  <c r="BT22" i="2"/>
  <c r="BT31" i="2"/>
  <c r="F52" i="2" s="1"/>
  <c r="BT49" i="2"/>
  <c r="F85" i="2" s="1"/>
  <c r="BT21" i="2"/>
  <c r="BT15" i="2"/>
  <c r="BT45" i="2"/>
  <c r="F77" i="2" s="1"/>
  <c r="BT33" i="2"/>
  <c r="F53" i="2" s="1"/>
  <c r="BT12" i="2"/>
  <c r="BT6" i="2"/>
  <c r="F8" i="2" s="1"/>
  <c r="BT10" i="2"/>
  <c r="BT46" i="2"/>
  <c r="E84" i="2" s="1"/>
  <c r="BT19" i="2"/>
  <c r="BT29" i="2"/>
  <c r="F45" i="2" s="1"/>
  <c r="BT53" i="2"/>
  <c r="F93" i="2" s="1"/>
  <c r="BT36" i="2"/>
  <c r="E61" i="2" s="1"/>
  <c r="F37" i="2" l="1"/>
  <c r="E39" i="2"/>
  <c r="F36" i="2"/>
  <c r="F39" i="2"/>
  <c r="E36" i="2"/>
  <c r="E38" i="2"/>
  <c r="E37" i="2"/>
  <c r="F38" i="2"/>
  <c r="E45" i="2"/>
  <c r="F46" i="2"/>
  <c r="E44" i="2"/>
  <c r="E46" i="2"/>
  <c r="F28" i="2"/>
  <c r="F31" i="2"/>
  <c r="F29" i="2"/>
  <c r="E31" i="2"/>
  <c r="E21" i="2"/>
  <c r="F23" i="2"/>
  <c r="E20" i="2"/>
  <c r="E23" i="2"/>
  <c r="F20" i="2"/>
  <c r="F22" i="2"/>
  <c r="F21" i="2"/>
  <c r="E22" i="2"/>
  <c r="E29" i="2"/>
  <c r="F30" i="2"/>
  <c r="E28" i="2"/>
  <c r="E30" i="2"/>
  <c r="E13" i="2"/>
  <c r="F15" i="2"/>
  <c r="E12" i="2"/>
  <c r="E15" i="2"/>
  <c r="F13" i="2"/>
  <c r="E14" i="2"/>
  <c r="F12" i="2"/>
  <c r="F14" i="2"/>
  <c r="BV40" i="2"/>
  <c r="E69" i="2"/>
  <c r="BU41" i="2" s="1"/>
  <c r="E5" i="2"/>
  <c r="F7" i="2"/>
  <c r="E4" i="2"/>
  <c r="E7" i="2"/>
  <c r="F5" i="2"/>
  <c r="BU8" i="2" s="1"/>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I38" i="2" s="1"/>
  <c r="BZ36" i="2"/>
  <c r="BZ39" i="2"/>
  <c r="BZ31" i="2"/>
  <c r="BZ22" i="2"/>
  <c r="H38" i="2" s="1"/>
  <c r="BZ23" i="2"/>
  <c r="I39" i="2" s="1"/>
  <c r="BZ33" i="2"/>
  <c r="BZ21" i="2"/>
  <c r="H31" i="2" s="1"/>
  <c r="BZ27" i="2"/>
  <c r="BZ12" i="2"/>
  <c r="BZ53" i="2"/>
  <c r="BZ25" i="2"/>
  <c r="H39" i="2" s="1"/>
  <c r="BZ51" i="2"/>
  <c r="BZ16" i="2"/>
  <c r="I23" i="2" s="1"/>
  <c r="BZ50" i="2"/>
  <c r="BZ34" i="2"/>
  <c r="BZ41" i="2"/>
  <c r="BZ30" i="2"/>
  <c r="BZ9" i="2"/>
  <c r="H8" i="2" s="1"/>
  <c r="BZ32" i="2"/>
  <c r="BZ17" i="2"/>
  <c r="H22" i="2" s="1"/>
  <c r="BZ47" i="2"/>
  <c r="BZ6" i="2"/>
  <c r="BZ38" i="2"/>
  <c r="BZ46" i="2"/>
  <c r="BZ15" i="2"/>
  <c r="I22" i="2" s="1"/>
  <c r="BZ44" i="2"/>
  <c r="BZ48" i="2"/>
  <c r="BZ26" i="2"/>
  <c r="H46" i="2" s="1"/>
  <c r="BZ19" i="2"/>
  <c r="I31" i="2" s="1"/>
  <c r="BZ20" i="2"/>
  <c r="I30" i="2" s="1"/>
  <c r="BZ29" i="2"/>
  <c r="BZ10" i="2"/>
  <c r="H15" i="2" s="1"/>
  <c r="BZ8" i="2"/>
  <c r="BZ28" i="2"/>
  <c r="I46" i="2" s="1"/>
  <c r="BZ37" i="2"/>
  <c r="BZ52" i="2"/>
  <c r="BZ13" i="2"/>
  <c r="H14" i="2" s="1"/>
  <c r="BZ35" i="2"/>
  <c r="BZ18" i="2"/>
  <c r="H30" i="2" s="1"/>
  <c r="BZ43" i="2"/>
  <c r="BZ11" i="2"/>
  <c r="I14" i="2" s="1"/>
  <c r="BZ14" i="2"/>
  <c r="H23" i="2" s="1"/>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A38" i="2"/>
  <c r="CB48" i="2"/>
  <c r="CC48" i="2" s="1"/>
  <c r="H4" i="2"/>
  <c r="CA41" i="2"/>
  <c r="CC49" i="2"/>
  <c r="CC53" i="2" l="1"/>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CE23" i="2"/>
  <c r="L39" i="2" s="1"/>
  <c r="CE30" i="2"/>
  <c r="CE51" i="2"/>
  <c r="CE53" i="2"/>
  <c r="CE44" i="2"/>
  <c r="CE52" i="2"/>
  <c r="CE24" i="2"/>
  <c r="L38" i="2" s="1"/>
  <c r="CE50" i="2"/>
  <c r="CE27" i="2"/>
  <c r="CE39" i="2"/>
  <c r="CE36" i="2"/>
  <c r="CE42" i="2"/>
  <c r="CE7" i="2"/>
  <c r="CE25" i="2"/>
  <c r="K39" i="2" s="1"/>
  <c r="CE20" i="2"/>
  <c r="L30" i="2" s="1"/>
  <c r="CE47" i="2"/>
  <c r="CE34" i="2"/>
  <c r="CE6" i="2"/>
  <c r="L8" i="2" s="1"/>
  <c r="CE33" i="2"/>
  <c r="CE11" i="2"/>
  <c r="L14" i="2" s="1"/>
  <c r="CE15" i="2"/>
  <c r="L22" i="2" s="1"/>
  <c r="CE32" i="2"/>
  <c r="CE8" i="2"/>
  <c r="L9" i="2" s="1"/>
  <c r="CE31" i="2"/>
  <c r="CE45" i="2"/>
  <c r="CE12" i="2"/>
  <c r="L15" i="2" s="1"/>
  <c r="CE22" i="2"/>
  <c r="K38" i="2" s="1"/>
  <c r="CE37" i="2"/>
  <c r="CE9" i="2"/>
  <c r="CE49" i="2"/>
  <c r="CE28" i="2"/>
  <c r="L46" i="2" s="1"/>
  <c r="CE21" i="2"/>
  <c r="K31" i="2" s="1"/>
  <c r="CE48" i="2"/>
  <c r="CE10" i="2"/>
  <c r="K15" i="2" s="1"/>
  <c r="CE13" i="2"/>
  <c r="K14" i="2" s="1"/>
  <c r="CE40" i="2"/>
  <c r="CE38" i="2"/>
  <c r="CE35" i="2"/>
  <c r="CE16" i="2"/>
  <c r="L23" i="2" s="1"/>
  <c r="CE26" i="2"/>
  <c r="K46" i="2" s="1"/>
  <c r="CE19" i="2"/>
  <c r="L31" i="2" s="1"/>
  <c r="CE18" i="2"/>
  <c r="K30" i="2" s="1"/>
  <c r="CE41" i="2"/>
  <c r="CE43" i="2"/>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CH44" i="2"/>
  <c r="CH25" i="2"/>
  <c r="N39" i="2" s="1"/>
  <c r="CH8" i="2"/>
  <c r="O9" i="2" s="1"/>
  <c r="CH45" i="2"/>
  <c r="CH18" i="2"/>
  <c r="CH23" i="2"/>
  <c r="CH47" i="2"/>
  <c r="CH32" i="2"/>
  <c r="CH43" i="2"/>
  <c r="CH49" i="2"/>
  <c r="CH14" i="2"/>
  <c r="N23" i="2" s="1"/>
  <c r="CH38" i="2"/>
  <c r="N68" i="2" s="1"/>
  <c r="CH36" i="2"/>
  <c r="CH46" i="2"/>
  <c r="CH48" i="2"/>
  <c r="CH24" i="2"/>
  <c r="O38" i="2" s="1"/>
  <c r="CH31" i="2"/>
  <c r="CH12" i="2"/>
  <c r="O15" i="2" s="1"/>
  <c r="CH37" i="2"/>
  <c r="CH35" i="2"/>
  <c r="CH53" i="2"/>
  <c r="CK41" i="2"/>
  <c r="CH17" i="2"/>
  <c r="N22" i="2" s="1"/>
  <c r="CH19" i="2"/>
  <c r="O31" i="2" s="1"/>
  <c r="CH52" i="2"/>
  <c r="N93" i="2" s="1"/>
  <c r="CH51" i="2"/>
  <c r="CH9" i="2"/>
  <c r="O5" i="2" s="1"/>
  <c r="CH30" i="2"/>
  <c r="CH13" i="2"/>
  <c r="N14" i="2" s="1"/>
  <c r="CH42" i="2"/>
  <c r="CH27" i="2"/>
  <c r="CH40" i="2"/>
  <c r="N69" i="2" s="1"/>
  <c r="N9" i="2"/>
  <c r="CH26" i="2"/>
  <c r="CH11" i="2"/>
  <c r="CH33" i="2"/>
  <c r="O53" i="2" s="1"/>
  <c r="CH22" i="2"/>
  <c r="CH21" i="2"/>
  <c r="CH15" i="2"/>
  <c r="O22" i="2" s="1"/>
  <c r="CH10" i="2"/>
  <c r="CH39" i="2"/>
  <c r="O68" i="2" s="1"/>
  <c r="CH29" i="2"/>
  <c r="O45" i="2" s="1"/>
  <c r="CH20" i="2"/>
  <c r="O30" i="2" s="1"/>
  <c r="CH50" i="2"/>
  <c r="N92" i="2" s="1"/>
  <c r="O8" i="2"/>
  <c r="CJ28" i="2"/>
  <c r="O36" i="2" l="1"/>
  <c r="O39" i="2"/>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R93" i="2" s="1"/>
  <c r="CN18" i="2"/>
  <c r="CN33" i="2"/>
  <c r="R53" i="2" s="1"/>
  <c r="CN30" i="2"/>
  <c r="Q52" i="2" s="1"/>
  <c r="CN28" i="2"/>
  <c r="CN36" i="2"/>
  <c r="Q61" i="2" s="1"/>
  <c r="CN24" i="2"/>
  <c r="CN48" i="2"/>
  <c r="Q85" i="2" s="1"/>
  <c r="CN34" i="2"/>
  <c r="Q60" i="2" s="1"/>
  <c r="CN13" i="2"/>
  <c r="CN51" i="2"/>
  <c r="R92" i="2" s="1"/>
  <c r="CN43" i="2"/>
  <c r="R76" i="2" s="1"/>
  <c r="CN15" i="2"/>
  <c r="CN14" i="2"/>
  <c r="CN40" i="2"/>
  <c r="Q69" i="2" s="1"/>
  <c r="CN26" i="2"/>
  <c r="CN31" i="2"/>
  <c r="R52" i="2" s="1"/>
  <c r="CN38" i="2"/>
  <c r="Q68" i="2" s="1"/>
  <c r="CN21" i="2"/>
  <c r="CN23" i="2"/>
  <c r="CN17" i="2"/>
  <c r="CN20" i="2"/>
  <c r="CN35" i="2"/>
  <c r="R60" i="2" s="1"/>
  <c r="CN44" i="2"/>
  <c r="Q77" i="2" s="1"/>
  <c r="CN25" i="2"/>
  <c r="CN39" i="2"/>
  <c r="R68" i="2" s="1"/>
  <c r="CN52" i="2"/>
  <c r="Q93" i="2" s="1"/>
  <c r="CN47" i="2"/>
  <c r="R84" i="2" s="1"/>
  <c r="CN50" i="2"/>
  <c r="Q92" i="2" s="1"/>
  <c r="CN16" i="2"/>
  <c r="CN12" i="2"/>
  <c r="CN22" i="2"/>
  <c r="CN19" i="2"/>
  <c r="CN49" i="2"/>
  <c r="R85" i="2" s="1"/>
  <c r="CN41" i="2"/>
  <c r="R69" i="2" s="1"/>
  <c r="CN8" i="2"/>
  <c r="CN9" i="2"/>
  <c r="CN10" i="2"/>
  <c r="CN6" i="2"/>
  <c r="Q4" i="2" s="1"/>
  <c r="CN7" i="2"/>
  <c r="R4" i="2" s="1"/>
  <c r="CN46" i="2"/>
  <c r="Q84" i="2" s="1"/>
  <c r="CN11" i="2"/>
  <c r="R37" i="2" l="1"/>
  <c r="Q39" i="2"/>
  <c r="R36" i="2"/>
  <c r="R39" i="2"/>
  <c r="Q36" i="2"/>
  <c r="Q38" i="2"/>
  <c r="Q37" i="2"/>
  <c r="R38" i="2"/>
  <c r="Q45" i="2"/>
  <c r="R46" i="2"/>
  <c r="Q44" i="2"/>
  <c r="Q46" i="2"/>
  <c r="R28" i="2"/>
  <c r="R31" i="2"/>
  <c r="R29" i="2"/>
  <c r="Q31" i="2"/>
  <c r="Q21" i="2"/>
  <c r="R23" i="2"/>
  <c r="Q20" i="2"/>
  <c r="Q23" i="2"/>
  <c r="R21" i="2"/>
  <c r="Q22" i="2"/>
  <c r="R20" i="2"/>
  <c r="R22" i="2"/>
  <c r="Q28" i="2"/>
  <c r="Q30" i="2"/>
  <c r="Q29" i="2"/>
  <c r="R30" i="2"/>
  <c r="Q12" i="2"/>
  <c r="Q15" i="2"/>
  <c r="Q13" i="2"/>
  <c r="R15" i="2"/>
  <c r="R12" i="2"/>
  <c r="R14" i="2"/>
  <c r="R13" i="2"/>
  <c r="Q14" i="2"/>
  <c r="CP42" i="2"/>
  <c r="Q76" i="2"/>
  <c r="CP29" i="2"/>
  <c r="R45" i="2"/>
  <c r="CP27" i="2"/>
  <c r="R44" i="2"/>
  <c r="CP26" i="2" s="1"/>
  <c r="CO42" i="2"/>
  <c r="CO29" i="2"/>
  <c r="CQ29" i="2" s="1"/>
  <c r="CO27" i="2"/>
  <c r="CO30" i="2"/>
  <c r="CP30" i="2"/>
  <c r="CP38" i="2"/>
  <c r="CO38" i="2"/>
  <c r="R8" i="2"/>
  <c r="Q7" i="2"/>
  <c r="CP40" i="2"/>
  <c r="CO40" i="2"/>
  <c r="Q8" i="2"/>
  <c r="R5" i="2"/>
  <c r="CO8" i="2" s="1"/>
  <c r="Q6" i="2"/>
  <c r="CP7" i="2" s="1"/>
  <c r="CP39" i="2"/>
  <c r="CO39" i="2"/>
  <c r="CP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P10" i="2" l="1"/>
  <c r="CO10" i="2"/>
  <c r="CO14" i="2"/>
  <c r="CQ14" i="2" s="1"/>
  <c r="CO7" i="2"/>
  <c r="CQ7" i="2" s="1"/>
  <c r="CO26" i="2"/>
  <c r="CQ26" i="2" s="1"/>
  <c r="CQ42" i="2"/>
  <c r="CQ27" i="2"/>
  <c r="CP8" i="2"/>
  <c r="CQ8" i="2" s="1"/>
  <c r="CP6" i="2"/>
  <c r="CQ6" i="2" s="1"/>
  <c r="CQ16" i="2"/>
  <c r="CQ30" i="2"/>
  <c r="CQ36" i="2"/>
  <c r="CQ31" i="2"/>
  <c r="CQ37" i="2"/>
  <c r="CQ11" i="2"/>
  <c r="CQ49" i="2"/>
  <c r="CQ53" i="2"/>
  <c r="CQ48" i="2"/>
  <c r="CQ17" i="2"/>
  <c r="CQ52" i="2"/>
  <c r="CQ20" i="2"/>
  <c r="CQ38"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CS53" i="2"/>
  <c r="CS41" i="2"/>
  <c r="CS29" i="2"/>
  <c r="CS8" i="2"/>
  <c r="U7" i="2" s="1"/>
  <c r="CS31" i="2"/>
  <c r="CS39" i="2"/>
  <c r="CS28" i="2"/>
  <c r="U46" i="2" s="1"/>
  <c r="CS44" i="2"/>
  <c r="CS20" i="2"/>
  <c r="U30" i="2" s="1"/>
  <c r="CS21" i="2"/>
  <c r="T31" i="2" s="1"/>
  <c r="CS38" i="2"/>
  <c r="CS30" i="2"/>
  <c r="CS32" i="2"/>
  <c r="CS17" i="2"/>
  <c r="T22" i="2" s="1"/>
  <c r="CS7" i="2"/>
  <c r="U4" i="2" s="1"/>
  <c r="CS23" i="2"/>
  <c r="U39" i="2" s="1"/>
  <c r="CS48" i="2"/>
  <c r="CS12" i="2"/>
  <c r="U15" i="2" s="1"/>
  <c r="CS34" i="2"/>
  <c r="CS16" i="2"/>
  <c r="U23" i="2" s="1"/>
  <c r="CS10" i="2"/>
  <c r="T15" i="2" s="1"/>
  <c r="CS9" i="2"/>
  <c r="T6" i="2" s="1"/>
  <c r="CS40" i="2"/>
  <c r="CS6" i="2"/>
  <c r="T7" i="2" s="1"/>
  <c r="CS11" i="2"/>
  <c r="U14" i="2" s="1"/>
  <c r="CS27" i="2"/>
  <c r="CS46" i="2"/>
  <c r="CS42" i="2"/>
  <c r="CS25" i="2"/>
  <c r="T39" i="2" s="1"/>
  <c r="CS19" i="2"/>
  <c r="U31" i="2" s="1"/>
  <c r="CS33" i="2"/>
  <c r="CS13" i="2"/>
  <c r="T14" i="2" s="1"/>
  <c r="CS37" i="2"/>
  <c r="CS36" i="2"/>
  <c r="CS51" i="2"/>
  <c r="CS50" i="2"/>
  <c r="CS45" i="2"/>
  <c r="CS24" i="2"/>
  <c r="U38" i="2" s="1"/>
  <c r="CS47" i="2"/>
  <c r="CS43" i="2"/>
  <c r="CS35" i="2"/>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33" i="2"/>
  <c r="CU48" i="2"/>
  <c r="CU27" i="2"/>
  <c r="CU29" i="2"/>
  <c r="CU20" i="2"/>
  <c r="CU18" i="2"/>
  <c r="CU10" i="2"/>
  <c r="CU8" i="2"/>
  <c r="CU11" i="2" l="1"/>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<sst xmlns="http://schemas.openxmlformats.org/spreadsheetml/2006/main" count="6754" uniqueCount="1516">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</sst>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V42" sqref="AV4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20" zoomScaleNormal="100" workbookViewId="0">
      <selection activeCell="AV42" sqref="AV4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7"/>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8"/>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7"/>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7"/>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7"/>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8"/>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7"/>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8"/>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6</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3</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3</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3</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3</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3</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3</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3</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6</v>
      </c>
      <c r="DL27" s="16">
        <f t="shared" ca="1" si="49"/>
        <v>1</v>
      </c>
      <c r="DM27" s="16" t="str">
        <f t="shared" ca="1" si="50"/>
        <v>2.1</v>
      </c>
      <c r="DN27" s="16">
        <f t="array" aca="1" ref="DN27" ca="1">OFFSET(Horarios!$P$3,DJ27-1,0,DL27,1)</f>
        <v>2</v>
      </c>
      <c r="DO27" s="16"/>
      <c r="DP27" s="16" t="s">
        <v>93</v>
      </c>
      <c r="DQ27" s="16" t="str">
        <f t="shared" ca="1" si="51"/>
        <v>Suecia</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6</v>
      </c>
      <c r="DL28" s="16">
        <f t="shared" ca="1" si="49"/>
        <v>1</v>
      </c>
      <c r="DM28" s="16" t="str">
        <f t="shared" ca="1" si="50"/>
        <v>3.1</v>
      </c>
      <c r="DN28" s="16">
        <f t="array" aca="1" ref="DN28" ca="1">OFFSET(Horarios!$P$3,DJ28-1,0,DL28,1)</f>
        <v>3</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6</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7"/>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8"/>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7"/>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7"/>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8"/>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7"/>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Suecia</v>
      </c>
      <c r="AM47" s="38">
        <f t="shared" ca="1" si="131"/>
        <v>3</v>
      </c>
      <c r="AN47" s="39">
        <f t="shared" ca="1" si="131"/>
        <v>2</v>
      </c>
      <c r="AO47" s="39">
        <f t="shared" ca="1" si="131"/>
        <v>1</v>
      </c>
      <c r="AP47" s="39">
        <f t="shared" ca="1" si="131"/>
        <v>0</v>
      </c>
      <c r="AQ47" s="39">
        <f t="shared" ca="1" si="131"/>
        <v>1</v>
      </c>
      <c r="AR47" s="39">
        <f t="shared" ca="1" si="131"/>
        <v>6</v>
      </c>
      <c r="AS47" s="39">
        <f t="shared" ca="1" si="131"/>
        <v>6</v>
      </c>
      <c r="AT47" s="43">
        <f t="shared" ca="1" si="131"/>
        <v>0</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7"/>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8"/>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1"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7"/>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7"/>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7"/>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7"/>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7</v>
      </c>
      <c r="BN58" s="16">
        <f t="shared" ref="BN58:BN69" ca="1" si="153">CF58</f>
        <v>7</v>
      </c>
      <c r="BO58" s="16" t="str">
        <f t="shared" ref="BO58:BO69" si="154">"4"&amp;BC58</f>
        <v>4A</v>
      </c>
      <c r="BP58" s="16"/>
      <c r="BQ58" s="16"/>
      <c r="BR58" s="16">
        <f t="shared" ref="BR58:BR69" ca="1" si="155">+BE58</f>
        <v>1</v>
      </c>
      <c r="BS58" s="16">
        <f t="shared" ref="BS58:BS69" ca="1" si="156">COUNTIFS(BR$58:BR$69,"&gt;"&amp;BR58)+1</f>
        <v>3</v>
      </c>
      <c r="BT58" s="16" t="str">
        <f t="shared" ref="BT58:BT69" ca="1" si="157">IF(COUNTIF(BS$58:BS$69,BS58)=1,"-","Pos. "&amp;BS58&amp;" ("&amp;COUNTIF(BS$58:BS$69,BS58)&amp;")")</f>
        <v>Pos. 3 (7)</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2</v>
      </c>
      <c r="BY58" s="16">
        <f t="shared" ref="BY58:BY69" ca="1" si="162">BV58+COUNTIFS(BW$58:BW$69,BW58,BX$58:BX$69,"&gt;"&amp;BX58)</f>
        <v>7</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7</v>
      </c>
      <c r="CC58" s="16"/>
      <c r="CD58" s="16">
        <f t="shared" ref="CD58:CD69" ca="1" si="166">IF(OR(INDEX($AW$102:$AW$113,MATCH($BD58,$AV$102:$AV$113,0))="",BZ58="-"),CB58,INDEX($AW$102:$AW$113,MATCH($BD58,$AV$102:$AV$113,0))+CB58/1000)</f>
        <v>7</v>
      </c>
      <c r="CE58" s="16" t="str">
        <f t="shared" ref="CE58:CE69" ca="1" si="167">IF(BZ58="-","-",COUNTIF(CD$58:CD$69,"&lt;"&amp;CD58))</f>
        <v>-</v>
      </c>
      <c r="CF58" s="16">
        <f t="shared" ref="CF58:CF69" ca="1" si="168">BY58+COUNTIFS(BZ$58:BZ$69,BZ58,CE$58:CE$69,"&lt;"&amp;CE58)</f>
        <v>7</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Escocia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9</v>
      </c>
      <c r="BN59" s="16">
        <f t="shared" ca="1" si="153"/>
        <v>9</v>
      </c>
      <c r="BO59" s="16" t="str">
        <f t="shared" si="154"/>
        <v>4B</v>
      </c>
      <c r="BP59" s="16"/>
      <c r="BQ59" s="16"/>
      <c r="BR59" s="16">
        <f t="shared" ca="1" si="155"/>
        <v>1</v>
      </c>
      <c r="BS59" s="16">
        <f t="shared" ca="1" si="156"/>
        <v>3</v>
      </c>
      <c r="BT59" s="16" t="str">
        <f t="shared" ca="1" si="157"/>
        <v>Pos. 3 (7)</v>
      </c>
      <c r="BU59" s="16">
        <f t="shared" ca="1" si="158"/>
        <v>-3</v>
      </c>
      <c r="BV59" s="16">
        <f t="shared" ca="1" si="159"/>
        <v>9</v>
      </c>
      <c r="BW59" s="16" t="str">
        <f t="shared" ca="1" si="160"/>
        <v>-</v>
      </c>
      <c r="BX59" s="16" t="str">
        <f t="shared" ca="1" si="161"/>
        <v>-</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Paraguay</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1</v>
      </c>
      <c r="BN60" s="16">
        <f t="shared" ca="1" si="153"/>
        <v>1</v>
      </c>
      <c r="BO60" s="16" t="str">
        <f t="shared" si="154"/>
        <v>4C</v>
      </c>
      <c r="BP60" s="16"/>
      <c r="BQ60" s="16"/>
      <c r="BR60" s="16">
        <f t="shared" ca="1" si="155"/>
        <v>3</v>
      </c>
      <c r="BS60" s="16">
        <f t="shared" ca="1" si="156"/>
        <v>1</v>
      </c>
      <c r="BT60" s="16" t="str">
        <f t="shared" ca="1" si="157"/>
        <v>Pos. 1 (2)</v>
      </c>
      <c r="BU60" s="16">
        <f t="shared" ca="1" si="158"/>
        <v>0</v>
      </c>
      <c r="BV60" s="16">
        <f t="shared" ca="1" si="159"/>
        <v>1</v>
      </c>
      <c r="BW60" s="16" t="str">
        <f t="shared" ca="1" si="160"/>
        <v>-</v>
      </c>
      <c r="BX60" s="16" t="str">
        <f t="shared" ca="1" si="161"/>
        <v>-</v>
      </c>
      <c r="BY60" s="16">
        <f t="shared" ca="1" si="162"/>
        <v>1</v>
      </c>
      <c r="BZ60" s="16" t="str">
        <f t="shared" ca="1" si="163"/>
        <v>-</v>
      </c>
      <c r="CA60" s="16" t="str">
        <f t="shared" ca="1" si="164"/>
        <v>-</v>
      </c>
      <c r="CB60" s="16">
        <f t="shared" ca="1" si="165"/>
        <v>1</v>
      </c>
      <c r="CC60" s="16"/>
      <c r="CD60" s="16">
        <f t="shared" ca="1" si="166"/>
        <v>1</v>
      </c>
      <c r="CE60" s="16" t="str">
        <f t="shared" ca="1" si="167"/>
        <v>-</v>
      </c>
      <c r="CF60" s="16">
        <f t="shared" ca="1" si="168"/>
        <v>1</v>
      </c>
      <c r="DJ60" s="16">
        <f t="shared" ca="1" si="169"/>
        <v>3</v>
      </c>
      <c r="DK60" s="16"/>
      <c r="DL60" s="16">
        <f t="shared" ca="1" si="170"/>
        <v>1</v>
      </c>
      <c r="DM60" s="16" t="str">
        <f t="shared" ca="1" si="171"/>
        <v>3.1</v>
      </c>
      <c r="DN60" s="16">
        <f t="array" aca="1" ref="DN60" ca="1">OFFSET(Horarios!$P$3,DJ60-1,0,DL60,1)</f>
        <v>3</v>
      </c>
      <c r="DO60" s="16"/>
      <c r="DP60" s="16">
        <v>3</v>
      </c>
      <c r="DQ60" s="16" t="str">
        <f t="shared" ca="1" si="172"/>
        <v>Japón</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7"/>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2</v>
      </c>
      <c r="BN61" s="16">
        <f t="shared" ca="1" si="153"/>
        <v>2</v>
      </c>
      <c r="BO61" s="16" t="str">
        <f t="shared" si="154"/>
        <v>4D</v>
      </c>
      <c r="BP61" s="16"/>
      <c r="BQ61" s="16"/>
      <c r="BR61" s="16">
        <f t="shared" ca="1" si="155"/>
        <v>3</v>
      </c>
      <c r="BS61" s="16">
        <f t="shared" ca="1" si="156"/>
        <v>1</v>
      </c>
      <c r="BT61" s="16" t="str">
        <f t="shared" ca="1" si="157"/>
        <v>Pos. 1 (2)</v>
      </c>
      <c r="BU61" s="16">
        <f t="shared" ca="1" si="158"/>
        <v>-2</v>
      </c>
      <c r="BV61" s="16">
        <f t="shared" ca="1" si="159"/>
        <v>2</v>
      </c>
      <c r="BW61" s="16" t="str">
        <f t="shared" ca="1" si="160"/>
        <v>-</v>
      </c>
      <c r="BX61" s="16" t="str">
        <f t="shared" ca="1" si="161"/>
        <v>-</v>
      </c>
      <c r="BY61" s="16">
        <f t="shared" ca="1" si="162"/>
        <v>2</v>
      </c>
      <c r="BZ61" s="16" t="str">
        <f t="shared" ca="1" si="163"/>
        <v>-</v>
      </c>
      <c r="CA61" s="16" t="str">
        <f t="shared" ca="1" si="164"/>
        <v>-</v>
      </c>
      <c r="CB61" s="16">
        <f t="shared" ca="1" si="165"/>
        <v>2</v>
      </c>
      <c r="CC61" s="16"/>
      <c r="CD61" s="16">
        <f t="shared" ca="1" si="166"/>
        <v>2</v>
      </c>
      <c r="CE61" s="16" t="str">
        <f t="shared" ca="1" si="167"/>
        <v>-</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Bélgica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7"/>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1</v>
      </c>
      <c r="BS62" s="16">
        <f t="shared" ca="1" si="156"/>
        <v>3</v>
      </c>
      <c r="BT62" s="16" t="str">
        <f t="shared" ca="1" si="157"/>
        <v>Pos. 3 (7)</v>
      </c>
      <c r="BU62" s="16">
        <f t="shared" ca="1" si="158"/>
        <v>-1</v>
      </c>
      <c r="BV62" s="16">
        <f t="shared" ca="1" si="159"/>
        <v>7</v>
      </c>
      <c r="BW62" s="16" t="str">
        <f t="shared" ca="1" si="160"/>
        <v>Pos. 7 (2)</v>
      </c>
      <c r="BX62" s="16">
        <f t="shared" ca="1" si="161"/>
        <v>0</v>
      </c>
      <c r="BY62" s="16">
        <f t="shared" ca="1" si="162"/>
        <v>8</v>
      </c>
      <c r="BZ62" s="16" t="str">
        <f t="shared" ca="1" si="163"/>
        <v>-</v>
      </c>
      <c r="CA62" s="16" t="str">
        <f t="shared" ca="1" si="164"/>
        <v>-</v>
      </c>
      <c r="CB62" s="16">
        <f t="shared" ca="1" si="165"/>
        <v>8</v>
      </c>
      <c r="CC62" s="16"/>
      <c r="CD62" s="16">
        <f t="shared" ca="1" si="166"/>
        <v>8</v>
      </c>
      <c r="CE62" s="16" t="str">
        <f t="shared" ca="1" si="167"/>
        <v>-</v>
      </c>
      <c r="CF62" s="16">
        <f t="shared" ca="1" si="168"/>
        <v>8</v>
      </c>
      <c r="DJ62" s="16">
        <f t="shared" ca="1" si="169"/>
        <v>4</v>
      </c>
      <c r="DK62" s="16"/>
      <c r="DL62" s="16">
        <f t="shared" ca="1" si="170"/>
        <v>1</v>
      </c>
      <c r="DM62" s="16" t="str">
        <f t="shared" ca="1" si="171"/>
        <v>4.1</v>
      </c>
      <c r="DN62" s="16">
        <f t="array" aca="1" ref="DN62" ca="1">OFFSET(Horarios!$P$3,DJ62-1,0,DL62,1)</f>
        <v>4</v>
      </c>
      <c r="DO62" s="16"/>
      <c r="DP62" s="16">
        <v>5</v>
      </c>
      <c r="DQ62" s="16" t="str">
        <f t="shared" ca="1" si="172"/>
        <v>RD Congo</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7"/>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3</v>
      </c>
      <c r="BN63" s="16">
        <f t="shared" ca="1" si="153"/>
        <v>3</v>
      </c>
      <c r="BO63" s="16" t="str">
        <f t="shared" si="154"/>
        <v>4F</v>
      </c>
      <c r="BP63" s="16"/>
      <c r="BQ63" s="16"/>
      <c r="BR63" s="16">
        <f t="shared" ca="1" si="155"/>
        <v>1</v>
      </c>
      <c r="BS63" s="16">
        <f t="shared" ca="1" si="156"/>
        <v>3</v>
      </c>
      <c r="BT63" s="16" t="str">
        <f t="shared" ca="1" si="157"/>
        <v>Pos. 3 (7)</v>
      </c>
      <c r="BU63" s="16">
        <f t="shared" ca="1" si="158"/>
        <v>0</v>
      </c>
      <c r="BV63" s="16">
        <f t="shared" ca="1" si="159"/>
        <v>3</v>
      </c>
      <c r="BW63" s="16" t="str">
        <f t="shared" ca="1" si="160"/>
        <v>Pos. 3 (4)</v>
      </c>
      <c r="BX63" s="16">
        <f t="shared" ca="1" si="161"/>
        <v>2</v>
      </c>
      <c r="BY63" s="16">
        <f t="shared" ca="1" si="162"/>
        <v>3</v>
      </c>
      <c r="BZ63" s="16" t="str">
        <f t="shared" ca="1" si="163"/>
        <v>-</v>
      </c>
      <c r="CA63" s="16" t="str">
        <f t="shared" ca="1" si="164"/>
        <v>-</v>
      </c>
      <c r="CB63" s="16">
        <f t="shared" ca="1" si="165"/>
        <v>3</v>
      </c>
      <c r="CC63" s="16"/>
      <c r="CD63" s="16">
        <f t="shared" ca="1" si="166"/>
        <v>3</v>
      </c>
      <c r="CE63" s="16" t="str">
        <f t="shared" ca="1" si="167"/>
        <v>-</v>
      </c>
      <c r="CF63" s="16">
        <f t="shared" ca="1" si="168"/>
        <v>3</v>
      </c>
      <c r="DJ63" s="16">
        <f t="shared" ca="1" si="169"/>
        <v>6</v>
      </c>
      <c r="DK63" s="16"/>
      <c r="DL63" s="16">
        <f t="shared" ca="1" si="170"/>
        <v>1</v>
      </c>
      <c r="DM63" s="16" t="str">
        <f t="shared" ca="1" si="171"/>
        <v>6.1</v>
      </c>
      <c r="DN63" s="16">
        <f t="array" aca="1" ref="DN63" ca="1">OFFSET(Horarios!$P$3,DJ63-1,0,DL63,1)</f>
        <v>6</v>
      </c>
      <c r="DO63" s="16"/>
      <c r="DP63" s="16">
        <v>6</v>
      </c>
      <c r="DQ63" s="16" t="str">
        <f t="shared" ca="1" si="172"/>
        <v>España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4</v>
      </c>
      <c r="BN64" s="16">
        <f t="shared" ca="1" si="153"/>
        <v>4</v>
      </c>
      <c r="BO64" s="16" t="str">
        <f t="shared" si="154"/>
        <v>4G</v>
      </c>
      <c r="BP64" s="16"/>
      <c r="BQ64" s="16"/>
      <c r="BR64" s="16">
        <f t="shared" ca="1" si="155"/>
        <v>1</v>
      </c>
      <c r="BS64" s="16">
        <f t="shared" ca="1" si="156"/>
        <v>3</v>
      </c>
      <c r="BT64" s="16" t="str">
        <f t="shared" ca="1" si="157"/>
        <v>Pos. 3 (7)</v>
      </c>
      <c r="BU64" s="16">
        <f t="shared" ca="1" si="158"/>
        <v>0</v>
      </c>
      <c r="BV64" s="16">
        <f t="shared" ca="1" si="159"/>
        <v>3</v>
      </c>
      <c r="BW64" s="16" t="str">
        <f t="shared" ca="1" si="160"/>
        <v>Pos. 3 (4)</v>
      </c>
      <c r="BX64" s="16">
        <f t="shared" ca="1" si="161"/>
        <v>1</v>
      </c>
      <c r="BY64" s="16">
        <f t="shared" ca="1" si="162"/>
        <v>4</v>
      </c>
      <c r="BZ64" s="16" t="str">
        <f t="shared" ca="1" si="163"/>
        <v>Pos. 4 (2)</v>
      </c>
      <c r="CA64" s="16">
        <f t="shared" ca="1" si="164"/>
        <v>11</v>
      </c>
      <c r="CB64" s="16">
        <f t="shared" ca="1" si="165"/>
        <v>4</v>
      </c>
      <c r="CC64" s="16"/>
      <c r="CD64" s="16">
        <f t="shared" ca="1" si="166"/>
        <v>4</v>
      </c>
      <c r="CE64" s="16">
        <f t="shared" ca="1" si="167"/>
        <v>3</v>
      </c>
      <c r="CF64" s="16">
        <f t="shared" ca="1" si="168"/>
        <v>4</v>
      </c>
      <c r="DJ64" s="16">
        <f t="shared" ca="1" si="169"/>
        <v>7</v>
      </c>
      <c r="DK64" s="16"/>
      <c r="DL64" s="16">
        <f t="shared" ca="1" si="170"/>
        <v>1</v>
      </c>
      <c r="DM64" s="16" t="str">
        <f t="shared" ca="1" si="171"/>
        <v>7.1</v>
      </c>
      <c r="DN64" s="16">
        <f t="array" aca="1" ref="DN64" ca="1">OFFSET(Horarios!$P$3,DJ64-1,0,DL64,1)</f>
        <v>7</v>
      </c>
      <c r="DO64" s="16"/>
      <c r="DP64" s="16">
        <v>7</v>
      </c>
      <c r="DQ64" s="16" t="str">
        <f t="shared" ca="1" si="172"/>
        <v>República Checa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8"/>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6</v>
      </c>
      <c r="BN65" s="16">
        <f t="shared" ca="1" si="153"/>
        <v>6</v>
      </c>
      <c r="BO65" s="16" t="str">
        <f t="shared" si="154"/>
        <v>4H</v>
      </c>
      <c r="BP65" s="16"/>
      <c r="BQ65" s="16"/>
      <c r="BR65" s="16">
        <f t="shared" ca="1" si="155"/>
        <v>1</v>
      </c>
      <c r="BS65" s="16">
        <f t="shared" ca="1" si="156"/>
        <v>3</v>
      </c>
      <c r="BT65" s="16" t="str">
        <f t="shared" ca="1" si="157"/>
        <v>Pos. 3 (7)</v>
      </c>
      <c r="BU65" s="16">
        <f t="shared" ca="1" si="158"/>
        <v>0</v>
      </c>
      <c r="BV65" s="16">
        <f t="shared" ca="1" si="159"/>
        <v>3</v>
      </c>
      <c r="BW65" s="16" t="str">
        <f t="shared" ca="1" si="160"/>
        <v>Pos. 3 (4)</v>
      </c>
      <c r="BX65" s="16">
        <f t="shared" ca="1" si="161"/>
        <v>0</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12</v>
      </c>
      <c r="BN66" s="16">
        <f t="shared" ca="1" si="153"/>
        <v>12</v>
      </c>
      <c r="BO66" s="16" t="str">
        <f t="shared" si="154"/>
        <v>4I</v>
      </c>
      <c r="BP66" s="16"/>
      <c r="BQ66" s="16"/>
      <c r="BR66" s="16">
        <f t="shared" ca="1" si="155"/>
        <v>0</v>
      </c>
      <c r="BS66" s="16">
        <f t="shared" ca="1" si="156"/>
        <v>10</v>
      </c>
      <c r="BT66" s="16" t="str">
        <f t="shared" ca="1" si="157"/>
        <v>Pos. 10 (3)</v>
      </c>
      <c r="BU66" s="16">
        <f t="shared" ca="1" si="158"/>
        <v>-2</v>
      </c>
      <c r="BV66" s="16">
        <f t="shared" ca="1" si="159"/>
        <v>11</v>
      </c>
      <c r="BW66" s="16" t="str">
        <f t="shared" ca="1" si="160"/>
        <v>Pos. 11 (2)</v>
      </c>
      <c r="BX66" s="16">
        <f t="shared" ca="1" si="161"/>
        <v>1</v>
      </c>
      <c r="BY66" s="16">
        <f t="shared" ca="1" si="162"/>
        <v>11</v>
      </c>
      <c r="BZ66" s="16" t="str">
        <f t="shared" ca="1" si="163"/>
        <v>Pos. 11 (2)</v>
      </c>
      <c r="CA66" s="16">
        <f t="shared" ca="1" si="164"/>
        <v>0</v>
      </c>
      <c r="CB66" s="16">
        <f t="shared" ca="1" si="165"/>
        <v>12</v>
      </c>
      <c r="CC66" s="16"/>
      <c r="CD66" s="16">
        <f t="shared" ca="1" si="166"/>
        <v>12</v>
      </c>
      <c r="CE66" s="16">
        <f t="shared" ca="1" si="167"/>
        <v>11</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11</v>
      </c>
      <c r="BN67" s="16">
        <f t="shared" ca="1" si="153"/>
        <v>11</v>
      </c>
      <c r="BO67" s="16" t="str">
        <f t="shared" si="154"/>
        <v>4J</v>
      </c>
      <c r="BP67" s="16"/>
      <c r="BQ67" s="16"/>
      <c r="BR67" s="16">
        <f t="shared" ca="1" si="155"/>
        <v>0</v>
      </c>
      <c r="BS67" s="16">
        <f t="shared" ca="1" si="156"/>
        <v>10</v>
      </c>
      <c r="BT67" s="16" t="str">
        <f t="shared" ca="1" si="157"/>
        <v>Pos. 10 (3)</v>
      </c>
      <c r="BU67" s="16">
        <f t="shared" ca="1" si="158"/>
        <v>-2</v>
      </c>
      <c r="BV67" s="16">
        <f t="shared" ca="1" si="159"/>
        <v>11</v>
      </c>
      <c r="BW67" s="16" t="str">
        <f t="shared" ca="1" si="160"/>
        <v>Pos. 11 (2)</v>
      </c>
      <c r="BX67" s="16">
        <f t="shared" ca="1" si="161"/>
        <v>1</v>
      </c>
      <c r="BY67" s="16">
        <f t="shared" ca="1" si="162"/>
        <v>11</v>
      </c>
      <c r="BZ67" s="16" t="str">
        <f t="shared" ca="1" si="163"/>
        <v>Pos. 11 (2)</v>
      </c>
      <c r="CA67" s="16">
        <f t="shared" ca="1" si="164"/>
        <v>5</v>
      </c>
      <c r="CB67" s="16">
        <f t="shared" ca="1" si="165"/>
        <v>11</v>
      </c>
      <c r="CC67" s="16"/>
      <c r="CD67" s="16">
        <f t="shared" ca="1" si="166"/>
        <v>11</v>
      </c>
      <c r="CE67" s="16">
        <f t="shared" ca="1" si="167"/>
        <v>10</v>
      </c>
      <c r="CF67" s="16">
        <f t="shared" ca="1" si="168"/>
        <v>11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Panamá</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5</v>
      </c>
      <c r="BN68" s="16">
        <f t="shared" ca="1" si="153"/>
        <v>5</v>
      </c>
      <c r="BO68" s="16" t="str">
        <f t="shared" si="154"/>
        <v>4K</v>
      </c>
      <c r="BP68" s="16"/>
      <c r="BQ68" s="16"/>
      <c r="BR68" s="16">
        <f t="shared" ca="1" si="155"/>
        <v>1</v>
      </c>
      <c r="BS68" s="16">
        <f t="shared" ca="1" si="156"/>
        <v>3</v>
      </c>
      <c r="BT68" s="16" t="str">
        <f t="shared" ca="1" si="157"/>
        <v>Pos. 3 (7)</v>
      </c>
      <c r="BU68" s="16">
        <f t="shared" ca="1" si="158"/>
        <v>0</v>
      </c>
      <c r="BV68" s="16">
        <f t="shared" ca="1" si="159"/>
        <v>3</v>
      </c>
      <c r="BW68" s="16" t="str">
        <f t="shared" ca="1" si="160"/>
        <v>Pos. 3 (4)</v>
      </c>
      <c r="BX68" s="16">
        <f t="shared" ca="1" si="161"/>
        <v>1</v>
      </c>
      <c r="BY68" s="16">
        <f t="shared" ca="1" si="162"/>
        <v>4</v>
      </c>
      <c r="BZ68" s="16" t="str">
        <f t="shared" ca="1" si="163"/>
        <v>Pos. 4 (2)</v>
      </c>
      <c r="CA68" s="16">
        <f t="shared" ca="1" si="164"/>
        <v>2</v>
      </c>
      <c r="CB68" s="16">
        <f t="shared" ca="1" si="165"/>
        <v>5</v>
      </c>
      <c r="CC68" s="16"/>
      <c r="CD68" s="16">
        <f t="shared" ca="1" si="166"/>
        <v>5</v>
      </c>
      <c r="CE68" s="16">
        <f t="shared" ca="1" si="167"/>
        <v>4</v>
      </c>
      <c r="CF68" s="16">
        <f t="shared" ca="1" si="168"/>
        <v>5</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7"/>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10</v>
      </c>
      <c r="BN69" s="16">
        <f t="shared" ca="1" si="153"/>
        <v>10</v>
      </c>
      <c r="BO69" s="16" t="str">
        <f t="shared" si="154"/>
        <v>4L</v>
      </c>
      <c r="BP69" s="16"/>
      <c r="BQ69" s="16"/>
      <c r="BR69" s="16">
        <f t="shared" ca="1" si="155"/>
        <v>0</v>
      </c>
      <c r="BS69" s="16">
        <f t="shared" ca="1" si="156"/>
        <v>10</v>
      </c>
      <c r="BT69" s="16" t="str">
        <f t="shared" ca="1" si="157"/>
        <v>Pos. 10 (3)</v>
      </c>
      <c r="BU69" s="16">
        <f t="shared" ca="1" si="158"/>
        <v>-1</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11</v>
      </c>
      <c r="DK69" s="16"/>
      <c r="DL69" s="16">
        <f t="shared" ca="1" si="170"/>
        <v>1</v>
      </c>
      <c r="DM69" s="16" t="str">
        <f t="shared" ca="1" si="171"/>
        <v>11.1</v>
      </c>
      <c r="DN69" s="16">
        <f t="array" aca="1" ref="DN69" ca="1">OFFSET(Horarios!$P$3,DJ69-1,0,DL69,1)</f>
        <v>11</v>
      </c>
      <c r="DO69" s="16"/>
      <c r="DP69" s="16">
        <v>12</v>
      </c>
      <c r="DQ69" s="16" t="str">
        <f t="shared" ca="1" si="172"/>
        <v>Senegal</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7"/>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7"/>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7"/>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8"/>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41"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7"/>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7"/>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7"/>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8"/>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7"/>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7"/>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7"/>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8"/>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7"/>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7"/>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8"/>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ACDEFGHK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Escocia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1</v>
      </c>
      <c r="AS102" s="83">
        <f t="shared" ca="1" si="269"/>
        <v>1</v>
      </c>
      <c r="AT102" s="84">
        <f t="shared" ca="1" si="269"/>
        <v>0</v>
      </c>
      <c r="AU102" s="323" t="str">
        <f t="shared" ref="AU102:AU113" ca="1" si="270">IF($H$113=144,INDEX($DL$58:$DL$69,MATCH(AI102,$DP$58:$DP$69,0)),"")</f>
        <v/>
      </c>
      <c r="AV102" s="182" t="str">
        <f t="shared" ref="AV102:AV113" ca="1" si="271">INDEX($BD$58:$BD$69,MATCH(AI102,$BM$58:$BM$69,0))</f>
        <v>Escocia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7"/>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Paraguay</v>
      </c>
      <c r="AM103" s="576">
        <f t="shared" ca="1" si="269"/>
        <v>3</v>
      </c>
      <c r="AN103" s="86">
        <f t="shared" ca="1" si="269"/>
        <v>2</v>
      </c>
      <c r="AO103" s="86">
        <f t="shared" ca="1" si="269"/>
        <v>1</v>
      </c>
      <c r="AP103" s="86">
        <f t="shared" ca="1" si="269"/>
        <v>0</v>
      </c>
      <c r="AQ103" s="86">
        <f t="shared" ca="1" si="269"/>
        <v>1</v>
      </c>
      <c r="AR103" s="86">
        <f t="shared" ca="1" si="269"/>
        <v>2</v>
      </c>
      <c r="AS103" s="86">
        <f t="shared" ca="1" si="269"/>
        <v>4</v>
      </c>
      <c r="AT103" s="87">
        <f t="shared" ca="1" si="269"/>
        <v>-2</v>
      </c>
      <c r="AU103" s="323" t="str">
        <f t="shared" ca="1" si="270"/>
        <v/>
      </c>
      <c r="AV103" s="182" t="str">
        <f t="shared" ca="1" si="271"/>
        <v>Paraguay</v>
      </c>
      <c r="AW103" s="215"/>
      <c r="AX103" s="170"/>
      <c r="AY103" s="270"/>
      <c r="AZ103" s="273" t="str">
        <f t="shared" ref="AZ103:AZ110" ca="1" si="272">+IF(OR($H$113&gt;=48,$AJ$99=144),BF117&amp;" - "&amp;BG117,"")</f>
        <v>1A - 3H</v>
      </c>
      <c r="BA103" s="176"/>
      <c r="BF103" t="str">
        <f t="shared" ref="BF103:BF110" ca="1" si="273">IFERROR(INDEX($BC$6:$BC$53,MATCH(AL102,$BD$6:$BD$53,0)),"")</f>
        <v>C</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7"/>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Japón</v>
      </c>
      <c r="AM104" s="576">
        <f t="shared" ca="1" si="269"/>
        <v>1</v>
      </c>
      <c r="AN104" s="86">
        <f t="shared" ca="1" si="269"/>
        <v>1</v>
      </c>
      <c r="AO104" s="86">
        <f t="shared" ca="1" si="269"/>
        <v>0</v>
      </c>
      <c r="AP104" s="86">
        <f t="shared" ca="1" si="269"/>
        <v>1</v>
      </c>
      <c r="AQ104" s="86">
        <f t="shared" ca="1" si="269"/>
        <v>0</v>
      </c>
      <c r="AR104" s="86">
        <f t="shared" ca="1" si="269"/>
        <v>2</v>
      </c>
      <c r="AS104" s="86">
        <f t="shared" ca="1" si="269"/>
        <v>2</v>
      </c>
      <c r="AT104" s="87">
        <f t="shared" ca="1" si="269"/>
        <v>0</v>
      </c>
      <c r="AU104" s="323" t="str">
        <f t="shared" ca="1" si="270"/>
        <v/>
      </c>
      <c r="AV104" s="182" t="str">
        <f t="shared" ca="1" si="271"/>
        <v>Japón</v>
      </c>
      <c r="AW104" s="215"/>
      <c r="AX104" s="170"/>
      <c r="AY104" s="270"/>
      <c r="AZ104" s="273" t="str">
        <f t="shared" ca="1" si="272"/>
        <v>1B - 3G</v>
      </c>
      <c r="BA104" s="176"/>
      <c r="BF104" t="str">
        <f t="shared" ca="1" si="273"/>
        <v>D</v>
      </c>
      <c r="BG104">
        <f t="shared" ca="1" si="274"/>
        <v>3</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Bélgica</v>
      </c>
      <c r="AM105" s="576">
        <f t="shared" ca="1" si="269"/>
        <v>1</v>
      </c>
      <c r="AN105" s="86">
        <f t="shared" ca="1" si="269"/>
        <v>1</v>
      </c>
      <c r="AO105" s="86">
        <f t="shared" ca="1" si="269"/>
        <v>0</v>
      </c>
      <c r="AP105" s="86">
        <f t="shared" ca="1" si="269"/>
        <v>1</v>
      </c>
      <c r="AQ105" s="86">
        <f t="shared" ca="1" si="269"/>
        <v>0</v>
      </c>
      <c r="AR105" s="86">
        <f t="shared" ca="1" si="269"/>
        <v>1</v>
      </c>
      <c r="AS105" s="86">
        <f t="shared" ca="1" si="269"/>
        <v>1</v>
      </c>
      <c r="AT105" s="87">
        <f t="shared" ca="1" si="269"/>
        <v>0</v>
      </c>
      <c r="AU105" s="323" t="str">
        <f t="shared" ca="1" si="270"/>
        <v/>
      </c>
      <c r="AV105" s="182" t="str">
        <f t="shared" ca="1" si="271"/>
        <v>Bélgica</v>
      </c>
      <c r="AW105" s="215"/>
      <c r="AX105" s="170"/>
      <c r="AY105" s="270"/>
      <c r="AZ105" s="273" t="str">
        <f t="shared" ca="1" si="272"/>
        <v>1D - 3E</v>
      </c>
      <c r="BA105" s="176"/>
      <c r="BF105" t="str">
        <f t="shared" ca="1" si="273"/>
        <v>F</v>
      </c>
      <c r="BG105">
        <f t="shared" ca="1" si="274"/>
        <v>5</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6</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RD Congo</v>
      </c>
      <c r="AM106" s="576">
        <f t="shared" ca="1" si="269"/>
        <v>1</v>
      </c>
      <c r="AN106" s="86">
        <f t="shared" ca="1" si="269"/>
        <v>1</v>
      </c>
      <c r="AO106" s="86">
        <f t="shared" ca="1" si="269"/>
        <v>0</v>
      </c>
      <c r="AP106" s="86">
        <f t="shared" ca="1" si="269"/>
        <v>1</v>
      </c>
      <c r="AQ106" s="86">
        <f t="shared" ca="1" si="269"/>
        <v>0</v>
      </c>
      <c r="AR106" s="86">
        <f t="shared" ca="1" si="269"/>
        <v>1</v>
      </c>
      <c r="AS106" s="86">
        <f t="shared" ca="1" si="269"/>
        <v>1</v>
      </c>
      <c r="AT106" s="87">
        <f t="shared" ca="1" si="269"/>
        <v>0</v>
      </c>
      <c r="AU106" s="323" t="str">
        <f t="shared" ca="1" si="270"/>
        <v/>
      </c>
      <c r="AV106" s="182" t="str">
        <f t="shared" ca="1" si="271"/>
        <v>RD Congo</v>
      </c>
      <c r="AW106" s="215"/>
      <c r="AX106" s="170"/>
      <c r="AY106" s="270"/>
      <c r="AZ106" s="273" t="str">
        <f t="shared" ca="1" si="272"/>
        <v>1E - 3C</v>
      </c>
      <c r="BA106" s="176"/>
      <c r="BF106" t="str">
        <f t="shared" ca="1" si="273"/>
        <v>G</v>
      </c>
      <c r="BG106">
        <f t="shared" ca="1" si="274"/>
        <v>6</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7"/>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España</v>
      </c>
      <c r="AM107" s="576">
        <f t="shared" ca="1" si="269"/>
        <v>1</v>
      </c>
      <c r="AN107" s="86">
        <f t="shared" ca="1" si="269"/>
        <v>1</v>
      </c>
      <c r="AO107" s="86">
        <f t="shared" ca="1" si="269"/>
        <v>0</v>
      </c>
      <c r="AP107" s="86">
        <f t="shared" ca="1" si="269"/>
        <v>1</v>
      </c>
      <c r="AQ107" s="86">
        <f t="shared" ca="1" si="269"/>
        <v>0</v>
      </c>
      <c r="AR107" s="86">
        <f t="shared" ca="1" si="269"/>
        <v>0</v>
      </c>
      <c r="AS107" s="86">
        <f t="shared" ca="1" si="269"/>
        <v>0</v>
      </c>
      <c r="AT107" s="87">
        <f t="shared" ca="1" si="269"/>
        <v>0</v>
      </c>
      <c r="AU107" s="323" t="str">
        <f t="shared" ca="1" si="270"/>
        <v/>
      </c>
      <c r="AV107" s="182" t="str">
        <f t="shared" ca="1" si="271"/>
        <v>España</v>
      </c>
      <c r="AW107" s="215"/>
      <c r="AX107" s="170"/>
      <c r="AY107" s="270"/>
      <c r="AZ107" s="273" t="str">
        <f t="shared" ca="1" si="272"/>
        <v>1G - 3A</v>
      </c>
      <c r="BA107" s="176"/>
      <c r="BF107" t="str">
        <f t="shared" ca="1" si="273"/>
        <v>K</v>
      </c>
      <c r="BG107">
        <f t="shared" ca="1" si="274"/>
        <v>8</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7"/>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República Checa</v>
      </c>
      <c r="AM108" s="576">
        <f t="shared" ca="1" si="269"/>
        <v>1</v>
      </c>
      <c r="AN108" s="86">
        <f t="shared" ca="1" si="269"/>
        <v>2</v>
      </c>
      <c r="AO108" s="86">
        <f t="shared" ca="1" si="269"/>
        <v>0</v>
      </c>
      <c r="AP108" s="86">
        <f t="shared" ca="1" si="269"/>
        <v>1</v>
      </c>
      <c r="AQ108" s="86">
        <f t="shared" ca="1" si="269"/>
        <v>1</v>
      </c>
      <c r="AR108" s="86">
        <f t="shared" ca="1" si="269"/>
        <v>2</v>
      </c>
      <c r="AS108" s="86">
        <f t="shared" ca="1" si="269"/>
        <v>3</v>
      </c>
      <c r="AT108" s="87">
        <f t="shared" ca="1" si="269"/>
        <v>-1</v>
      </c>
      <c r="AU108" s="323" t="str">
        <f t="shared" ca="1" si="270"/>
        <v/>
      </c>
      <c r="AV108" s="182" t="str">
        <f t="shared" ca="1" si="271"/>
        <v>República Checa</v>
      </c>
      <c r="AW108" s="215"/>
      <c r="AX108" s="170"/>
      <c r="AY108" s="270"/>
      <c r="AZ108" s="273" t="str">
        <f t="shared" ca="1" si="272"/>
        <v>1I - 3F</v>
      </c>
      <c r="BA108" s="176"/>
      <c r="BF108" t="str">
        <f t="shared" ca="1" si="273"/>
        <v>H</v>
      </c>
      <c r="BG108">
        <f t="shared" ca="1" si="274"/>
        <v>7</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1</v>
      </c>
      <c r="AN109" s="86">
        <f t="shared" ca="1" si="269"/>
        <v>2</v>
      </c>
      <c r="AO109" s="86">
        <f t="shared" ca="1" si="269"/>
        <v>0</v>
      </c>
      <c r="AP109" s="86">
        <f t="shared" ca="1" si="269"/>
        <v>1</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- 3D</v>
      </c>
      <c r="BA109" s="176"/>
      <c r="BF109" t="str">
        <f t="shared" ca="1" si="273"/>
        <v>A</v>
      </c>
      <c r="BG109">
        <f t="shared" ca="1" si="274"/>
        <v>1</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Bosnia y Herzegovina</v>
      </c>
      <c r="AM110" s="576">
        <f t="shared" ca="1" si="269"/>
        <v>1</v>
      </c>
      <c r="AN110" s="86">
        <f t="shared" ca="1" si="269"/>
        <v>2</v>
      </c>
      <c r="AO110" s="86">
        <f t="shared" ca="1" si="269"/>
        <v>0</v>
      </c>
      <c r="AP110" s="86">
        <f t="shared" ca="1" si="269"/>
        <v>1</v>
      </c>
      <c r="AQ110" s="86">
        <f t="shared" ca="1" si="269"/>
        <v>1</v>
      </c>
      <c r="AR110" s="86">
        <f t="shared" ca="1" si="269"/>
        <v>2</v>
      </c>
      <c r="AS110" s="86">
        <f t="shared" ca="1" si="269"/>
        <v>5</v>
      </c>
      <c r="AT110" s="87">
        <f t="shared" ca="1" si="269"/>
        <v>-3</v>
      </c>
      <c r="AU110" s="323" t="str">
        <f t="shared" ca="1" si="270"/>
        <v/>
      </c>
      <c r="AV110" s="182" t="str">
        <f t="shared" ca="1" si="271"/>
        <v>Bosnia y Herzegovina</v>
      </c>
      <c r="AW110" s="215"/>
      <c r="AX110" s="170"/>
      <c r="AY110" s="270"/>
      <c r="AZ110" s="273" t="str">
        <f t="shared" ca="1" si="272"/>
        <v>1L - 3K</v>
      </c>
      <c r="BA110" s="176"/>
      <c r="BF110" t="str">
        <f t="shared" ca="1" si="273"/>
        <v>E</v>
      </c>
      <c r="BG110">
        <f t="shared" ca="1" si="274"/>
        <v>4</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7"/>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Panamá</v>
      </c>
      <c r="AM111" s="576">
        <f t="shared" ca="1" si="269"/>
        <v>0</v>
      </c>
      <c r="AN111" s="86">
        <f t="shared" ca="1" si="269"/>
        <v>1</v>
      </c>
      <c r="AO111" s="86">
        <f t="shared" ca="1" si="269"/>
        <v>0</v>
      </c>
      <c r="AP111" s="86">
        <f t="shared" ca="1" si="269"/>
        <v>0</v>
      </c>
      <c r="AQ111" s="86">
        <f t="shared" ca="1" si="269"/>
        <v>1</v>
      </c>
      <c r="AR111" s="86">
        <f t="shared" ca="1" si="269"/>
        <v>0</v>
      </c>
      <c r="AS111" s="86">
        <f t="shared" ca="1" si="269"/>
        <v>1</v>
      </c>
      <c r="AT111" s="87">
        <f t="shared" ca="1" si="269"/>
        <v>-1</v>
      </c>
      <c r="AU111" s="323" t="str">
        <f t="shared" ca="1" si="270"/>
        <v/>
      </c>
      <c r="AV111" s="182" t="str">
        <f t="shared" ca="1" si="271"/>
        <v>Panamá</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Jordania</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Jordania</v>
      </c>
      <c r="AW112" s="215"/>
      <c r="AX112" s="170"/>
      <c r="AY112" s="269"/>
      <c r="AZ112" s="269"/>
      <c r="BA112" s="176"/>
      <c r="BI112" t="str">
        <f ca="1">IFERROR(CONCATENATE(BJ103,BJ104,BJ105,BJ106,BJ107,BJ108,BJ109,BJ110),"¿A/B/C/D/E/F/G/H/I/J/K/L?")</f>
        <v>ACDEFGHK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70</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1</v>
      </c>
      <c r="AO113" s="47">
        <f t="shared" ca="1" si="269"/>
        <v>0</v>
      </c>
      <c r="AP113" s="47">
        <f t="shared" ca="1" si="269"/>
        <v>0</v>
      </c>
      <c r="AQ113" s="47">
        <f t="shared" ca="1" si="269"/>
        <v>1</v>
      </c>
      <c r="AR113" s="47">
        <f t="shared" ca="1" si="269"/>
        <v>1</v>
      </c>
      <c r="AS113" s="47">
        <f t="shared" ca="1" si="269"/>
        <v>3</v>
      </c>
      <c r="AT113" s="48">
        <f t="shared" ca="1" si="269"/>
        <v>-2</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7"/>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3E</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3D</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WORLDCUP!AA122</f>
        <v>W76</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WORLDCUP!AF122</f>
        <v>W78</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Sue</v>
      </c>
      <c r="I45" s="38">
        <f ca="1">+INDEX(WORLDCUP!$AM$6:$AM$97,MATCH(L45,WORLDCUP!$AI$6:$AI$97,0))</f>
        <v>3</v>
      </c>
      <c r="J45" s="39">
        <f ca="1">+INDEX(WORLDCUP!$AT$6:$AT$97,MATCH(L45,WORLDCUP!$AI$6:$AI$97,0))</f>
        <v>0</v>
      </c>
      <c r="K45" s="43" t="str">
        <f ca="1">+INDEX(WORLDCUP!$AR$6:$AR$97,MATCH(L45,WORLDCUP!$AI$6:$AI$97,0))&amp;"-"&amp;INDEX(WORLDCUP!$AS$6:$AS$97,MATCH(L45,WORLDCUP!$AI$6:$AI$97,0))</f>
        <v>6-6</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Paraguay</v>
      </c>
      <c r="G3" s="9" t="str">
        <f ca="1">+WORLDCUP!BD67</f>
        <v>Jordania</v>
      </c>
      <c r="H3" s="9" t="str">
        <f ca="1">+WORLDCUP!BD63</f>
        <v>Japón</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Paraguay</v>
      </c>
      <c r="G4" s="9" t="str">
        <f ca="1">+WORLDCUP!BD65</f>
        <v>España</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Paraguay</v>
      </c>
      <c r="G5" s="9" t="str">
        <f ca="1">+WORLDCUP!BD65</f>
        <v>España</v>
      </c>
      <c r="H5" s="9" t="str">
        <f ca="1">+WORLDCUP!BD63</f>
        <v>Japón</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Japón</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Paraguay</v>
      </c>
      <c r="G7" s="9" t="str">
        <f ca="1">+WORLDCUP!BD65</f>
        <v>España</v>
      </c>
      <c r="H7" s="9" t="str">
        <f ca="1">+WORLDCUP!BD63</f>
        <v>Japón</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España</v>
      </c>
      <c r="H8" s="9" t="str">
        <f ca="1">+WORLDCUP!BD63</f>
        <v>Japón</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Paraguay</v>
      </c>
      <c r="G9" s="9" t="str">
        <f ca="1">+WORLDCUP!BD65</f>
        <v>España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Paraguay</v>
      </c>
      <c r="G10" s="9" t="str">
        <f ca="1">+WORLDCUP!BD65</f>
        <v>España</v>
      </c>
      <c r="H10" s="9" t="str">
        <f ca="1">+WORLDCUP!BD63</f>
        <v>Japón</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Escocia</v>
      </c>
      <c r="G11" s="9" t="str">
        <f ca="1">+WORLDCUP!BD67</f>
        <v>Jordania</v>
      </c>
      <c r="H11" s="9" t="str">
        <f ca="1">+WORLDCUP!BD63</f>
        <v>Japón</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Escocia</v>
      </c>
      <c r="G12" s="9" t="str">
        <f ca="1">+WORLDCUP!BD65</f>
        <v>España</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Escocia</v>
      </c>
      <c r="G13" s="9" t="str">
        <f ca="1">+WORLDCUP!BD65</f>
        <v>España</v>
      </c>
      <c r="H13" s="9" t="str">
        <f ca="1">+WORLDCUP!BD63</f>
        <v>Japón</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Japón</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Escocia</v>
      </c>
      <c r="G15" s="9" t="str">
        <f ca="1">+WORLDCUP!BD65</f>
        <v>España</v>
      </c>
      <c r="H15" s="9" t="str">
        <f ca="1">+WORLDCUP!BD63</f>
        <v>Japón</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España</v>
      </c>
      <c r="H16" s="9" t="str">
        <f ca="1">+WORLDCUP!BD63</f>
        <v>Japón</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Escocia</v>
      </c>
      <c r="G17" s="9" t="str">
        <f ca="1">+WORLDCUP!BD65</f>
        <v>España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Escocia</v>
      </c>
      <c r="G18" s="9" t="str">
        <f ca="1">+WORLDCUP!BD65</f>
        <v>España</v>
      </c>
      <c r="H18" s="9" t="str">
        <f ca="1">+WORLDCUP!BD63</f>
        <v>Japón</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España</v>
      </c>
      <c r="H20" s="9" t="str">
        <f ca="1">+WORLDCUP!BD63</f>
        <v>Japón</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Japón</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Jordania</v>
      </c>
      <c r="F22" s="9" t="str">
        <f ca="1">+WORLDCUP!BD61</f>
        <v>Paraguay</v>
      </c>
      <c r="G22" s="9" t="str">
        <f ca="1">+WORLDCUP!BD65</f>
        <v>España</v>
      </c>
      <c r="H22" s="9" t="str">
        <f ca="1">+WORLDCUP!BD63</f>
        <v>Japón</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España</v>
      </c>
      <c r="H23" s="9" t="str">
        <f ca="1">+WORLDCUP!BD63</f>
        <v>Japón</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Jordania</v>
      </c>
      <c r="F24" s="9" t="str">
        <f ca="1">+WORLDCUP!BD61</f>
        <v>Paraguay</v>
      </c>
      <c r="G24" s="9" t="str">
        <f ca="1">+WORLDCUP!BD65</f>
        <v>España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Jordania</v>
      </c>
      <c r="F25" s="9" t="str">
        <f ca="1">+WORLDCUP!BD61</f>
        <v>Paraguay</v>
      </c>
      <c r="G25" s="9" t="str">
        <f ca="1">+WORLDCUP!BD65</f>
        <v>España</v>
      </c>
      <c r="H25" s="9" t="str">
        <f ca="1">+WORLDCUP!BD63</f>
        <v>Japón</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Escocia</v>
      </c>
      <c r="G26" s="9" t="str">
        <f ca="1">+WORLDCUP!BD65</f>
        <v>España</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Escocia</v>
      </c>
      <c r="G28" s="9" t="str">
        <f ca="1">+WORLDCUP!BD65</f>
        <v>España</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España</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Escocia</v>
      </c>
      <c r="G30" s="9" t="str">
        <f ca="1">+WORLDCUP!BD65</f>
        <v>España</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Escocia</v>
      </c>
      <c r="G31" s="9" t="str">
        <f ca="1">+WORLDCUP!BD65</f>
        <v>España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Japón</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Ecuador</v>
      </c>
      <c r="F33" s="9" t="str">
        <f ca="1">+WORLDCUP!BD61</f>
        <v>Paraguay</v>
      </c>
      <c r="G33" s="9" t="str">
        <f ca="1">+WORLDCUP!BD65</f>
        <v>España</v>
      </c>
      <c r="H33" s="9" t="str">
        <f ca="1">+WORLDCUP!BD63</f>
        <v>Japón</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España</v>
      </c>
      <c r="H34" s="9" t="str">
        <f ca="1">+WORLDCUP!BD63</f>
        <v>Japón</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Ecuador</v>
      </c>
      <c r="F35" s="9" t="str">
        <f ca="1">+WORLDCUP!BD61</f>
        <v>Paraguay</v>
      </c>
      <c r="G35" s="9" t="str">
        <f ca="1">+WORLDCUP!BD65</f>
        <v>España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Ecuador</v>
      </c>
      <c r="F36" s="9" t="str">
        <f ca="1">+WORLDCUP!BD61</f>
        <v>Paraguay</v>
      </c>
      <c r="G36" s="9" t="str">
        <f ca="1">+WORLDCUP!BD65</f>
        <v>España</v>
      </c>
      <c r="H36" s="9" t="str">
        <f ca="1">+WORLDCUP!BD63</f>
        <v>Japón</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Japón</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Japón</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Japón</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España</v>
      </c>
      <c r="H41" s="9" t="str">
        <f ca="1">+WORLDCUP!BD63</f>
        <v>Japón</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Jordania</v>
      </c>
      <c r="F42" s="9" t="str">
        <f ca="1">+WORLDCUP!BD61</f>
        <v>Paraguay</v>
      </c>
      <c r="G42" s="9" t="str">
        <f ca="1">+WORLDCUP!BD65</f>
        <v>España</v>
      </c>
      <c r="H42" s="9" t="str">
        <f ca="1">+WORLDCUP!BD63</f>
        <v>Japón</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Jordania</v>
      </c>
      <c r="F43" s="9" t="str">
        <f ca="1">+WORLDCUP!BD61</f>
        <v>Paraguay</v>
      </c>
      <c r="G43" s="9" t="str">
        <f ca="1">+WORLDCUP!BD65</f>
        <v>España</v>
      </c>
      <c r="H43" s="9" t="str">
        <f ca="1">+WORLDCUP!BD63</f>
        <v>Japón</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España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España</v>
      </c>
      <c r="H45" s="9" t="str">
        <f ca="1">+WORLDCUP!BD63</f>
        <v>Japón</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Jordania</v>
      </c>
      <c r="F46" s="9" t="str">
        <f ca="1">+WORLDCUP!BD61</f>
        <v>Paraguay</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Bosnia y Herzegovina</v>
      </c>
      <c r="F56" s="9" t="str">
        <f ca="1">+WORLDCUP!BD61</f>
        <v>Paraguay</v>
      </c>
      <c r="G56" s="9" t="str">
        <f ca="1">+WORLDCUP!BD66</f>
        <v>Senegal</v>
      </c>
      <c r="H56" s="9" t="str">
        <f ca="1">+WORLDCUP!BD63</f>
        <v>Japón</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Japón</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Bosnia y Herzegovina</v>
      </c>
      <c r="F58" s="9" t="str">
        <f ca="1">+WORLDCUP!BD61</f>
        <v>Paraguay</v>
      </c>
      <c r="G58" s="9" t="str">
        <f ca="1">+WORLDCUP!BD67</f>
        <v>Jordania</v>
      </c>
      <c r="H58" s="9" t="str">
        <f ca="1">+WORLDCUP!BD63</f>
        <v>Japón</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Bosnia y Herzegovina</v>
      </c>
      <c r="F59" s="9" t="str">
        <f ca="1">+WORLDCUP!BD61</f>
        <v>Paraguay</v>
      </c>
      <c r="G59" s="9" t="str">
        <f ca="1">+WORLDCUP!BD66</f>
        <v>Senegal</v>
      </c>
      <c r="H59" s="9" t="str">
        <f ca="1">+WORLDCUP!BD63</f>
        <v>Japón</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Bosnia y Herzegovina</v>
      </c>
      <c r="F60" s="9" t="str">
        <f ca="1">+WORLDCUP!BD61</f>
        <v>Paraguay</v>
      </c>
      <c r="G60" s="9" t="str">
        <f ca="1">+WORLDCUP!BD67</f>
        <v>Jordania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Bosnia y Herzegovina</v>
      </c>
      <c r="F61" s="9" t="str">
        <f ca="1">+WORLDCUP!BD61</f>
        <v>Paraguay</v>
      </c>
      <c r="G61" s="9" t="str">
        <f ca="1">+WORLDCUP!BD67</f>
        <v>Jordania</v>
      </c>
      <c r="H61" s="9" t="str">
        <f ca="1">+WORLDCUP!BD63</f>
        <v>Japón</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España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España</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España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España</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Japón</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España</v>
      </c>
      <c r="H69" s="9" t="str">
        <f ca="1">+WORLDCUP!BD63</f>
        <v>Japón</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España</v>
      </c>
      <c r="H70" s="9" t="str">
        <f ca="1">+WORLDCUP!BD63</f>
        <v>Japón</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España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España</v>
      </c>
      <c r="H72" s="9" t="str">
        <f ca="1">+WORLDCUP!BD63</f>
        <v>Japón</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Japón</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Japón</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Japón</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España</v>
      </c>
      <c r="H77" s="9" t="str">
        <f ca="1">+WORLDCUP!BD63</f>
        <v>Japón</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Bosnia y Herzegovina</v>
      </c>
      <c r="F78" s="9" t="str">
        <f ca="1">+WORLDCUP!BD61</f>
        <v>Paraguay</v>
      </c>
      <c r="G78" s="9" t="str">
        <f ca="1">+WORLDCUP!BD67</f>
        <v>Jordania</v>
      </c>
      <c r="H78" s="9" t="str">
        <f ca="1">+WORLDCUP!BD63</f>
        <v>Japón</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Bosnia y Herzegovina</v>
      </c>
      <c r="F79" s="9" t="str">
        <f ca="1">+WORLDCUP!BD61</f>
        <v>Paraguay</v>
      </c>
      <c r="G79" s="9" t="str">
        <f ca="1">+WORLDCUP!BD67</f>
        <v>Jordania</v>
      </c>
      <c r="H79" s="9" t="str">
        <f ca="1">+WORLDCUP!BD63</f>
        <v>Japón</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España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España</v>
      </c>
      <c r="H81" s="9" t="str">
        <f ca="1">+WORLDCUP!BD63</f>
        <v>Japón</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Bosnia y Herzegovina</v>
      </c>
      <c r="F82" s="9" t="str">
        <f ca="1">+WORLDCUP!BD61</f>
        <v>Paraguay</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Japón</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Bosnia y Herzegovina</v>
      </c>
      <c r="F86" s="9" t="str">
        <f ca="1">+WORLDCUP!BD60</f>
        <v>Escocia</v>
      </c>
      <c r="G86" s="9" t="str">
        <f ca="1">+WORLDCUP!BD67</f>
        <v>Jordania</v>
      </c>
      <c r="H86" s="9" t="str">
        <f ca="1">+WORLDCUP!BD63</f>
        <v>Japón</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Bosnia y Herzegovina</v>
      </c>
      <c r="F88" s="9" t="str">
        <f ca="1">+WORLDCUP!BD60</f>
        <v>Escocia</v>
      </c>
      <c r="G88" s="9" t="str">
        <f ca="1">+WORLDCUP!BD67</f>
        <v>Jordania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Bosnia y Herzegovina</v>
      </c>
      <c r="F89" s="9" t="str">
        <f ca="1">+WORLDCUP!BD60</f>
        <v>Escocia</v>
      </c>
      <c r="G89" s="9" t="str">
        <f ca="1">+WORLDCUP!BD67</f>
        <v>Jordania</v>
      </c>
      <c r="H89" s="9" t="str">
        <f ca="1">+WORLDCUP!BD63</f>
        <v>Japón</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España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España</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España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España</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España</v>
      </c>
      <c r="H97" s="9" t="str">
        <f ca="1">+WORLDCUP!BD63</f>
        <v>Japón</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España</v>
      </c>
      <c r="H98" s="9" t="str">
        <f ca="1">+WORLDCUP!BD63</f>
        <v>Japón</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España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España</v>
      </c>
      <c r="H100" s="9" t="str">
        <f ca="1">+WORLDCUP!BD63</f>
        <v>Japón</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Japón</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Japón</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España</v>
      </c>
      <c r="H105" s="9" t="str">
        <f ca="1">+WORLDCUP!BD63</f>
        <v>Japón</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Bosnia y Herzegovina</v>
      </c>
      <c r="F106" s="9" t="str">
        <f ca="1">+WORLDCUP!BD60</f>
        <v>Escocia</v>
      </c>
      <c r="G106" s="9" t="str">
        <f ca="1">+WORLDCUP!BD67</f>
        <v>Jordania</v>
      </c>
      <c r="H106" s="9" t="str">
        <f ca="1">+WORLDCUP!BD63</f>
        <v>Japón</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Bosnia y Herzegovina</v>
      </c>
      <c r="F107" s="9" t="str">
        <f ca="1">+WORLDCUP!BD60</f>
        <v>Escocia</v>
      </c>
      <c r="G107" s="9" t="str">
        <f ca="1">+WORLDCUP!BD67</f>
        <v>Jordania</v>
      </c>
      <c r="H107" s="9" t="str">
        <f ca="1">+WORLDCUP!BD63</f>
        <v>Japón</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España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España</v>
      </c>
      <c r="H109" s="9" t="str">
        <f ca="1">+WORLDCUP!BD63</f>
        <v>Japón</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Bosnia y Herzegovina</v>
      </c>
      <c r="F110" s="9" t="str">
        <f ca="1">+WORLDCUP!BD60</f>
        <v>Escocia</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Japón</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España</v>
      </c>
      <c r="H118" s="9" t="str">
        <f ca="1">+WORLDCUP!BD63</f>
        <v>Japón</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España</v>
      </c>
      <c r="H119" s="9" t="str">
        <f ca="1">+WORLDCUP!BD63</f>
        <v>Japón</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España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España</v>
      </c>
      <c r="H121" s="9" t="str">
        <f ca="1">+WORLDCUP!BD63</f>
        <v>Japón</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Japón</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Japón</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Japón</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España</v>
      </c>
      <c r="H126" s="9" t="str">
        <f ca="1">+WORLDCUP!BD63</f>
        <v>Japón</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España</v>
      </c>
      <c r="H127" s="9" t="str">
        <f ca="1">+WORLDCUP!BD63</f>
        <v>Japón</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Bosnia y Herzegovina</v>
      </c>
      <c r="F128" s="9" t="str">
        <f ca="1">+WORLDCUP!BD60</f>
        <v>Escocia</v>
      </c>
      <c r="G128" s="9" t="str">
        <f ca="1">+WORLDCUP!BD67</f>
        <v>Jordania</v>
      </c>
      <c r="H128" s="9" t="str">
        <f ca="1">+WORLDCUP!BD63</f>
        <v>Japón</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España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España</v>
      </c>
      <c r="H130" s="9" t="str">
        <f ca="1">+WORLDCUP!BD63</f>
        <v>Japón</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Bosnia y Herzegovina</v>
      </c>
      <c r="F131" s="9" t="str">
        <f ca="1">+WORLDCUP!BD60</f>
        <v>Escocia</v>
      </c>
      <c r="G131" s="9" t="str">
        <f ca="1">+WORLDCUP!BD67</f>
        <v>Jordania</v>
      </c>
      <c r="H131" s="9" t="str">
        <f ca="1">+WORLDCUP!BD63</f>
        <v>Japón</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España</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España</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España</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España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España</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España</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España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Japón</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Japón</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Japón</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España</v>
      </c>
      <c r="H151" s="9" t="str">
        <f ca="1">+WORLDCUP!BD63</f>
        <v>Japón</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España</v>
      </c>
      <c r="H152" s="9" t="str">
        <f ca="1">+WORLDCUP!BD63</f>
        <v>Japón</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España</v>
      </c>
      <c r="H153" s="9" t="str">
        <f ca="1">+WORLDCUP!BD63</f>
        <v>Japón</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España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España</v>
      </c>
      <c r="H155" s="9" t="str">
        <f ca="1">+WORLDCUP!BD63</f>
        <v>Japón</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Japón</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Japón</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Japón</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Japón</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España</v>
      </c>
      <c r="H163" s="9" t="str">
        <f ca="1">+WORLDCUP!BD63</f>
        <v>Japón</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España</v>
      </c>
      <c r="H164" s="9" t="str">
        <f ca="1">+WORLDCUP!BD63</f>
        <v>Japón</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Bosnia y Herzegovina</v>
      </c>
      <c r="F165" s="9" t="str">
        <f ca="1">+WORLDCUP!BD60</f>
        <v>Escocia</v>
      </c>
      <c r="G165" s="9" t="str">
        <f ca="1">+WORLDCUP!BD67</f>
        <v>Jordania</v>
      </c>
      <c r="H165" s="9" t="str">
        <f ca="1">+WORLDCUP!BD63</f>
        <v>Japón</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Paraguay</v>
      </c>
      <c r="G176" s="9" t="str">
        <f ca="1">+WORLDCUP!BD58</f>
        <v>República Checa</v>
      </c>
      <c r="H176" s="9" t="str">
        <f ca="1">+WORLDCUP!BD63</f>
        <v>Japón</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Japón</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Paraguay</v>
      </c>
      <c r="G178" s="9" t="str">
        <f ca="1">+WORLDCUP!BD58</f>
        <v>República Checa</v>
      </c>
      <c r="H178" s="9" t="str">
        <f ca="1">+WORLDCUP!BD63</f>
        <v>Japón</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Paraguay</v>
      </c>
      <c r="G179" s="9" t="str">
        <f ca="1">+WORLDCUP!BD58</f>
        <v>República Checa</v>
      </c>
      <c r="H179" s="9" t="str">
        <f ca="1">+WORLDCUP!BD63</f>
        <v>Japón</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Paraguay</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Paraguay</v>
      </c>
      <c r="G181" s="9" t="str">
        <f ca="1">+WORLDCUP!BD58</f>
        <v>República Checa</v>
      </c>
      <c r="H181" s="9" t="str">
        <f ca="1">+WORLDCUP!BD63</f>
        <v>Japón</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España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España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España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España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Japón</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Paraguay</v>
      </c>
      <c r="G189" s="9" t="str">
        <f ca="1">+WORLDCUP!BD58</f>
        <v>República Checa</v>
      </c>
      <c r="H189" s="9" t="str">
        <f ca="1">+WORLDCUP!BD63</f>
        <v>Japón</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Paraguay</v>
      </c>
      <c r="G190" s="9" t="str">
        <f ca="1">+WORLDCUP!BD58</f>
        <v>República Checa</v>
      </c>
      <c r="H190" s="9" t="str">
        <f ca="1">+WORLDCUP!BD63</f>
        <v>Japón</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Paraguay</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Paraguay</v>
      </c>
      <c r="G192" s="9" t="str">
        <f ca="1">+WORLDCUP!BD58</f>
        <v>República Checa</v>
      </c>
      <c r="H192" s="9" t="str">
        <f ca="1">+WORLDCUP!BD63</f>
        <v>Japón</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Japón</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Japón</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Japón</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Paraguay</v>
      </c>
      <c r="G197" s="9" t="str">
        <f ca="1">+WORLDCUP!BD58</f>
        <v>República Checa</v>
      </c>
      <c r="H197" s="9" t="str">
        <f ca="1">+WORLDCUP!BD63</f>
        <v>Japón</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Paraguay</v>
      </c>
      <c r="G198" s="9" t="str">
        <f ca="1">+WORLDCUP!BD58</f>
        <v>República Checa</v>
      </c>
      <c r="H198" s="9" t="str">
        <f ca="1">+WORLDCUP!BD63</f>
        <v>Japón</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Paraguay</v>
      </c>
      <c r="G199" s="9" t="str">
        <f ca="1">+WORLDCUP!BD58</f>
        <v>República Checa</v>
      </c>
      <c r="H199" s="9" t="str">
        <f ca="1">+WORLDCUP!BD63</f>
        <v>Japón</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Paraguay</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Paraguay</v>
      </c>
      <c r="G201" s="9" t="str">
        <f ca="1">+WORLDCUP!BD58</f>
        <v>República Checa</v>
      </c>
      <c r="H201" s="9" t="str">
        <f ca="1">+WORLDCUP!BD63</f>
        <v>Japón</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Paraguay</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Japón</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Escocia</v>
      </c>
      <c r="G206" s="9" t="str">
        <f ca="1">+WORLDCUP!BD58</f>
        <v>República Checa</v>
      </c>
      <c r="H206" s="9" t="str">
        <f ca="1">+WORLDCUP!BD63</f>
        <v>Japón</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Escocia</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Escocia</v>
      </c>
      <c r="G209" s="9" t="str">
        <f ca="1">+WORLDCUP!BD58</f>
        <v>República Checa</v>
      </c>
      <c r="H209" s="9" t="str">
        <f ca="1">+WORLDCUP!BD63</f>
        <v>Japón</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España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España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España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España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Escocia</v>
      </c>
      <c r="G217" s="9" t="str">
        <f ca="1">+WORLDCUP!BD58</f>
        <v>República Checa</v>
      </c>
      <c r="H217" s="9" t="str">
        <f ca="1">+WORLDCUP!BD63</f>
        <v>Japón</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Escocia</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Escocia</v>
      </c>
      <c r="G220" s="9" t="str">
        <f ca="1">+WORLDCUP!BD58</f>
        <v>República Checa</v>
      </c>
      <c r="H220" s="9" t="str">
        <f ca="1">+WORLDCUP!BD63</f>
        <v>Japón</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Japón</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Japón</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Escocia</v>
      </c>
      <c r="G225" s="9" t="str">
        <f ca="1">+WORLDCUP!BD58</f>
        <v>República Checa</v>
      </c>
      <c r="H225" s="9" t="str">
        <f ca="1">+WORLDCUP!BD63</f>
        <v>Japón</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Escocia</v>
      </c>
      <c r="G226" s="9" t="str">
        <f ca="1">+WORLDCUP!BD58</f>
        <v>República Checa</v>
      </c>
      <c r="H226" s="9" t="str">
        <f ca="1">+WORLDCUP!BD63</f>
        <v>Japón</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Escocia</v>
      </c>
      <c r="G227" s="9" t="str">
        <f ca="1">+WORLDCUP!BD58</f>
        <v>República Checa</v>
      </c>
      <c r="H227" s="9" t="str">
        <f ca="1">+WORLDCUP!BD63</f>
        <v>Japón</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Escocia</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Escocia</v>
      </c>
      <c r="G229" s="9" t="str">
        <f ca="1">+WORLDCUP!BD58</f>
        <v>República Checa</v>
      </c>
      <c r="H229" s="9" t="str">
        <f ca="1">+WORLDCUP!BD63</f>
        <v>Japón</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Escocia</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Japón</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Japón</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Japón</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Japón</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Japón</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Escocia</v>
      </c>
      <c r="G248" s="9" t="str">
        <f ca="1">+WORLDCUP!BD58</f>
        <v>República Checa</v>
      </c>
      <c r="H248" s="9" t="str">
        <f ca="1">+WORLDCUP!BD63</f>
        <v>Japón</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Escocia</v>
      </c>
      <c r="G251" s="9" t="str">
        <f ca="1">+WORLDCUP!BD58</f>
        <v>República Checa</v>
      </c>
      <c r="H251" s="9" t="str">
        <f ca="1">+WORLDCUP!BD63</f>
        <v>Japón</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Japón</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Japón</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Japón</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Escocia</v>
      </c>
      <c r="G273" s="9" t="str">
        <f ca="1">+WORLDCUP!BD58</f>
        <v>República Checa</v>
      </c>
      <c r="H273" s="9" t="str">
        <f ca="1">+WORLDCUP!BD63</f>
        <v>Japón</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Escocia</v>
      </c>
      <c r="G276" s="9" t="str">
        <f ca="1">+WORLDCUP!BD58</f>
        <v>República Checa</v>
      </c>
      <c r="H276" s="9" t="str">
        <f ca="1">+WORLDCUP!BD63</f>
        <v>Japón</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Japón</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Japón</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Japón</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Japón</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1</v>
      </c>
      <c r="C284" s="9" t="str">
        <f ca="1">+WORLDCUP!BD65</f>
        <v>España</v>
      </c>
      <c r="D284" s="9" t="str">
        <f ca="1">+WORLDCUP!BD64</f>
        <v>Bélgica</v>
      </c>
      <c r="E284" s="9" t="str">
        <f ca="1">+WORLDCUP!BD62</f>
        <v>Ecuador</v>
      </c>
      <c r="F284" s="9" t="str">
        <f ca="1">+WORLDCUP!BD60</f>
        <v>Escocia</v>
      </c>
      <c r="G284" s="9" t="str">
        <f ca="1">+WORLDCUP!BD58</f>
        <v>República Checa</v>
      </c>
      <c r="H284" s="9" t="str">
        <f ca="1">+WORLDCUP!BD63</f>
        <v>Japón</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Escocia</v>
      </c>
      <c r="G285" s="9" t="str">
        <f ca="1">+WORLDCUP!BD58</f>
        <v>República Checa</v>
      </c>
      <c r="H285" s="9" t="str">
        <f ca="1">+WORLDCUP!BD63</f>
        <v>Japón</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Escocia</v>
      </c>
      <c r="G286" s="9" t="str">
        <f ca="1">+WORLDCUP!BD58</f>
        <v>República Checa</v>
      </c>
      <c r="H286" s="9" t="str">
        <f ca="1">+WORLDCUP!BD63</f>
        <v>Japón</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España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España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Japón</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Bosnia y Herzegovina</v>
      </c>
      <c r="F322" s="9" t="str">
        <f ca="1">+WORLDCUP!BD61</f>
        <v>Paraguay</v>
      </c>
      <c r="G322" s="9" t="str">
        <f ca="1">+WORLDCUP!BD58</f>
        <v>República Checa</v>
      </c>
      <c r="H322" s="9" t="str">
        <f ca="1">+WORLDCUP!BD63</f>
        <v>Japón</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Bosnia y Herzegovina</v>
      </c>
      <c r="F323" s="9" t="str">
        <f ca="1">+WORLDCUP!BD61</f>
        <v>Paraguay</v>
      </c>
      <c r="G323" s="9" t="str">
        <f ca="1">+WORLDCUP!BD58</f>
        <v>República Checa</v>
      </c>
      <c r="H323" s="9" t="str">
        <f ca="1">+WORLDCUP!BD63</f>
        <v>Japón</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Bosnia y Herzegovina</v>
      </c>
      <c r="F324" s="9" t="str">
        <f ca="1">+WORLDCUP!BD61</f>
        <v>Paraguay</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Bosnia y Herzegovina</v>
      </c>
      <c r="F325" s="9" t="str">
        <f ca="1">+WORLDCUP!BD61</f>
        <v>Paraguay</v>
      </c>
      <c r="G325" s="9" t="str">
        <f ca="1">+WORLDCUP!BD58</f>
        <v>República Checa</v>
      </c>
      <c r="H325" s="9" t="str">
        <f ca="1">+WORLDCUP!BD63</f>
        <v>Japón</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Japón</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Bosnia y Herzegovina</v>
      </c>
      <c r="F330" s="9" t="str">
        <f ca="1">+WORLDCUP!BD61</f>
        <v>Paraguay</v>
      </c>
      <c r="G330" s="9" t="str">
        <f ca="1">+WORLDCUP!BD58</f>
        <v>República Checa</v>
      </c>
      <c r="H330" s="9" t="str">
        <f ca="1">+WORLDCUP!BD63</f>
        <v>Japón</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Bosnia y Herzegovina</v>
      </c>
      <c r="F331" s="9" t="str">
        <f ca="1">+WORLDCUP!BD61</f>
        <v>Paraguay</v>
      </c>
      <c r="G331" s="9" t="str">
        <f ca="1">+WORLDCUP!BD58</f>
        <v>República Checa</v>
      </c>
      <c r="H331" s="9" t="str">
        <f ca="1">+WORLDCUP!BD63</f>
        <v>Japón</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Bosnia y Herzegovina</v>
      </c>
      <c r="F332" s="9" t="str">
        <f ca="1">+WORLDCUP!BD61</f>
        <v>Paraguay</v>
      </c>
      <c r="G332" s="9" t="str">
        <f ca="1">+WORLDCUP!BD58</f>
        <v>República Checa</v>
      </c>
      <c r="H332" s="9" t="str">
        <f ca="1">+WORLDCUP!BD63</f>
        <v>Japón</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Bosnia y Herzegovina</v>
      </c>
      <c r="F333" s="9" t="str">
        <f ca="1">+WORLDCUP!BD61</f>
        <v>Paraguay</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Bosnia y Herzegovina</v>
      </c>
      <c r="F334" s="9" t="str">
        <f ca="1">+WORLDCUP!BD61</f>
        <v>Paraguay</v>
      </c>
      <c r="G334" s="9" t="str">
        <f ca="1">+WORLDCUP!BD58</f>
        <v>República Checa</v>
      </c>
      <c r="H334" s="9" t="str">
        <f ca="1">+WORLDCUP!BD63</f>
        <v>Japón</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Bosnia y Herzegovina</v>
      </c>
      <c r="F335" s="9" t="str">
        <f ca="1">+WORLDCUP!BD61</f>
        <v>Paraguay</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España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España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España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España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España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Japón</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Japón</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Japón</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Bosnia y Herzegovina</v>
      </c>
      <c r="F355" s="9" t="str">
        <f ca="1">+WORLDCUP!BD61</f>
        <v>Paraguay</v>
      </c>
      <c r="G355" s="9" t="str">
        <f ca="1">+WORLDCUP!BD58</f>
        <v>República Checa</v>
      </c>
      <c r="H355" s="9" t="str">
        <f ca="1">+WORLDCUP!BD63</f>
        <v>Japón</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Bosnia y Herzegovina</v>
      </c>
      <c r="F356" s="9" t="str">
        <f ca="1">+WORLDCUP!BD61</f>
        <v>Paraguay</v>
      </c>
      <c r="G356" s="9" t="str">
        <f ca="1">+WORLDCUP!BD58</f>
        <v>República Checa</v>
      </c>
      <c r="H356" s="9" t="str">
        <f ca="1">+WORLDCUP!BD63</f>
        <v>Japón</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Bosnia y Herzegovina</v>
      </c>
      <c r="F357" s="9" t="str">
        <f ca="1">+WORLDCUP!BD61</f>
        <v>Paraguay</v>
      </c>
      <c r="G357" s="9" t="str">
        <f ca="1">+WORLDCUP!BD58</f>
        <v>República Checa</v>
      </c>
      <c r="H357" s="9" t="str">
        <f ca="1">+WORLDCUP!BD63</f>
        <v>Japón</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Bosnia y Herzegovina</v>
      </c>
      <c r="F358" s="9" t="str">
        <f ca="1">+WORLDCUP!BD61</f>
        <v>Paraguay</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Bosnia y Herzegovina</v>
      </c>
      <c r="F359" s="9" t="str">
        <f ca="1">+WORLDCUP!BD61</f>
        <v>Paraguay</v>
      </c>
      <c r="G359" s="9" t="str">
        <f ca="1">+WORLDCUP!BD58</f>
        <v>República Checa</v>
      </c>
      <c r="H359" s="9" t="str">
        <f ca="1">+WORLDCUP!BD63</f>
        <v>Japón</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Bosnia y Herzegovina</v>
      </c>
      <c r="F360" s="9" t="str">
        <f ca="1">+WORLDCUP!BD61</f>
        <v>Paraguay</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Japón</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Japón</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Japón</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Japón</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Bosnia y Herzegovina</v>
      </c>
      <c r="F367" s="9" t="str">
        <f ca="1">+WORLDCUP!BD61</f>
        <v>Paraguay</v>
      </c>
      <c r="G367" s="9" t="str">
        <f ca="1">+WORLDCUP!BD58</f>
        <v>República Checa</v>
      </c>
      <c r="H367" s="9" t="str">
        <f ca="1">+WORLDCUP!BD63</f>
        <v>Japón</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Bosnia y Herzegovina</v>
      </c>
      <c r="F368" s="9" t="str">
        <f ca="1">+WORLDCUP!BD61</f>
        <v>Paraguay</v>
      </c>
      <c r="G368" s="9" t="str">
        <f ca="1">+WORLDCUP!BD58</f>
        <v>República Checa</v>
      </c>
      <c r="H368" s="9" t="str">
        <f ca="1">+WORLDCUP!BD63</f>
        <v>Japón</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Bosnia y Herzegovina</v>
      </c>
      <c r="F369" s="9" t="str">
        <f ca="1">+WORLDCUP!BD61</f>
        <v>Paraguay</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Bosnia y Herzegovina</v>
      </c>
      <c r="F370" s="9" t="str">
        <f ca="1">+WORLDCUP!BD61</f>
        <v>Paraguay</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España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España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Bosnia y Herzegovina</v>
      </c>
      <c r="F388" s="9" t="str">
        <f ca="1">+WORLDCUP!BD60</f>
        <v>Escocia</v>
      </c>
      <c r="G388" s="9" t="str">
        <f ca="1">+WORLDCUP!BD58</f>
        <v>República Checa</v>
      </c>
      <c r="H388" s="9" t="str">
        <f ca="1">+WORLDCUP!BD63</f>
        <v>Japón</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España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España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España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España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España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Bosnia y Herzegovina</v>
      </c>
      <c r="F413" s="9" t="str">
        <f ca="1">+WORLDCUP!BD60</f>
        <v>Escocia</v>
      </c>
      <c r="G413" s="9" t="str">
        <f ca="1">+WORLDCUP!BD58</f>
        <v>República Checa</v>
      </c>
      <c r="H413" s="9" t="str">
        <f ca="1">+WORLDCUP!BD63</f>
        <v>Japón</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Bosnia y Herzegovina</v>
      </c>
      <c r="F416" s="9" t="str">
        <f ca="1">+WORLDCUP!BD60</f>
        <v>Escocia</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Japón</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Bélgica</v>
      </c>
      <c r="E424" s="9" t="str">
        <f ca="1">+WORLDCUP!BD59</f>
        <v>Bosnia y Herzegovina</v>
      </c>
      <c r="F424" s="9" t="str">
        <f ca="1">+WORLDCUP!BD60</f>
        <v>Escocia</v>
      </c>
      <c r="G424" s="9" t="str">
        <f ca="1">+WORLDCUP!BD58</f>
        <v>República Checa</v>
      </c>
      <c r="H424" s="9" t="str">
        <f ca="1">+WORLDCUP!BD63</f>
        <v>Japón</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Bosnia y Herzegovina</v>
      </c>
      <c r="F425" s="9" t="str">
        <f ca="1">+WORLDCUP!BD60</f>
        <v>Escocia</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Bosnia y Herzegovina</v>
      </c>
      <c r="F426" s="9" t="str">
        <f ca="1">+WORLDCUP!BD60</f>
        <v>Escocia</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Japón</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Japón</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Japón</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Japón</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Bosnia y Herzegovina</v>
      </c>
      <c r="F448" s="9" t="str">
        <f ca="1">+WORLDCUP!BD60</f>
        <v>Escocia</v>
      </c>
      <c r="G448" s="9" t="str">
        <f ca="1">+WORLDCUP!BD58</f>
        <v>República Checa</v>
      </c>
      <c r="H448" s="9" t="str">
        <f ca="1">+WORLDCUP!BD63</f>
        <v>Japón</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Bosnia y Herzegovina</v>
      </c>
      <c r="F451" s="9" t="str">
        <f ca="1">+WORLDCUP!BD60</f>
        <v>Escocia</v>
      </c>
      <c r="G451" s="9" t="str">
        <f ca="1">+WORLDCUP!BD58</f>
        <v>República Checa</v>
      </c>
      <c r="H451" s="9" t="str">
        <f ca="1">+WORLDCUP!BD63</f>
        <v>Japón</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Japón</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Japón</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Japón</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Japón</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Japón</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Bosnia y Herzegovina</v>
      </c>
      <c r="F459" s="9" t="str">
        <f ca="1">+WORLDCUP!BD60</f>
        <v>Escocia</v>
      </c>
      <c r="G459" s="9" t="str">
        <f ca="1">+WORLDCUP!BD58</f>
        <v>República Checa</v>
      </c>
      <c r="H459" s="9" t="str">
        <f ca="1">+WORLDCUP!BD63</f>
        <v>Japón</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Bosnia y Herzegovina</v>
      </c>
      <c r="F460" s="9" t="str">
        <f ca="1">+WORLDCUP!BD60</f>
        <v>Escocia</v>
      </c>
      <c r="G460" s="9" t="str">
        <f ca="1">+WORLDCUP!BD58</f>
        <v>República Checa</v>
      </c>
      <c r="H460" s="9" t="str">
        <f ca="1">+WORLDCUP!BD63</f>
        <v>Japón</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Bosnia y Herzegovina</v>
      </c>
      <c r="F461" s="9" t="str">
        <f ca="1">+WORLDCUP!BD60</f>
        <v>Escocia</v>
      </c>
      <c r="G461" s="9" t="str">
        <f ca="1">+WORLDCUP!BD58</f>
        <v>República Checa</v>
      </c>
      <c r="H461" s="9" t="str">
        <f ca="1">+WORLDCUP!BD63</f>
        <v>Japón</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Japón</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Japón</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Japón</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Japón</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Bosnia y Herzegovina</v>
      </c>
      <c r="F489" s="9" t="str">
        <f ca="1">+WORLDCUP!BD60</f>
        <v>Escocia</v>
      </c>
      <c r="G489" s="9" t="str">
        <f ca="1">+WORLDCUP!BD58</f>
        <v>República Checa</v>
      </c>
      <c r="H489" s="9" t="str">
        <f ca="1">+WORLDCUP!BD63</f>
        <v>Japón</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Bosnia y Herzegovina</v>
      </c>
      <c r="F490" s="9" t="str">
        <f ca="1">+WORLDCUP!BD60</f>
        <v>Escocia</v>
      </c>
      <c r="G490" s="9" t="str">
        <f ca="1">+WORLDCUP!BD58</f>
        <v>República Checa</v>
      </c>
      <c r="H490" s="9" t="str">
        <f ca="1">+WORLDCUP!BD63</f>
        <v>Japón</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Bosnia y Herzegovina</v>
      </c>
      <c r="F491" s="9" t="str">
        <f ca="1">+WORLDCUP!BD60</f>
        <v>Escocia</v>
      </c>
      <c r="G491" s="9" t="str">
        <f ca="1">+WORLDCUP!BD58</f>
        <v>República Checa</v>
      </c>
      <c r="H491" s="9" t="str">
        <f ca="1">+WORLDCUP!BD63</f>
        <v>Japón</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Japón</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Japón</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Bosnia y Herzegovina</v>
      </c>
      <c r="F496" s="9" t="str">
        <f ca="1">+WORLDCUP!BD60</f>
        <v>Escocia</v>
      </c>
      <c r="G496" s="9" t="str">
        <f ca="1">+WORLDCUP!BD58</f>
        <v>República Checa</v>
      </c>
      <c r="H496" s="9" t="str">
        <f ca="1">+WORLDCUP!BD63</f>
        <v>Japón</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2026-06-21T01:56:44Z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
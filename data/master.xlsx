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D1DEC50-BA76-CF42-8BAD-2FD1FD119892}"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G249" i="5"/>
  <c r="D249" i="5" s="1"/>
  <c r="H243" i="5"/>
  <c r="G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L36" i="2" s="1"/>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2" i="2" l="1"/>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CA19" i="2" s="1"/>
  <c r="BZ20" i="2"/>
  <c r="CB20" i="2" s="1"/>
  <c r="BZ29" i="2"/>
  <c r="CB29" i="2" s="1"/>
  <c r="BZ10" i="2"/>
  <c r="CB10" i="2" s="1"/>
  <c r="BZ8" i="2"/>
  <c r="BZ28" i="2"/>
  <c r="CA28" i="2" s="1"/>
  <c r="BZ37" i="2"/>
  <c r="CA37" i="2" s="1"/>
  <c r="BZ52" i="2"/>
  <c r="CB52" i="2" s="1"/>
  <c r="BZ13" i="2"/>
  <c r="CA13" i="2" s="1"/>
  <c r="BZ35" i="2"/>
  <c r="CB35" i="2" s="1"/>
  <c r="BZ18" i="2"/>
  <c r="CB18" i="2" s="1"/>
  <c r="BZ43" i="2"/>
  <c r="CB43" i="2" s="1"/>
  <c r="BZ11" i="2"/>
  <c r="CA11" i="2" s="1"/>
  <c r="BZ14" i="2"/>
  <c r="CB14" i="2" s="1"/>
  <c r="BZ7" i="2"/>
  <c r="H9" i="2" s="1"/>
  <c r="CB27" i="2"/>
  <c r="CB25" i="2"/>
  <c r="CA25" i="2"/>
  <c r="CB42" i="2"/>
  <c r="CA42" i="2"/>
  <c r="CA49" i="2"/>
  <c r="CB49" i="2"/>
  <c r="CA30" i="2"/>
  <c r="CA33" i="2"/>
  <c r="CB40" i="2"/>
  <c r="CA40" i="2"/>
  <c r="CB12" i="2"/>
  <c r="CA12" i="2"/>
  <c r="CB23" i="2"/>
  <c r="CA23" i="2"/>
  <c r="CB21" i="2"/>
  <c r="CA21" i="2"/>
  <c r="CB31" i="2"/>
  <c r="CA31" i="2"/>
  <c r="CB45" i="2"/>
  <c r="CA45" i="2"/>
  <c r="CB28" i="2" l="1"/>
  <c r="CC28" i="2" s="1"/>
  <c r="CA10" i="2"/>
  <c r="CC10"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C30" i="2"/>
  <c r="CA8" i="2"/>
  <c r="CC21" i="2"/>
  <c r="CB11" i="2"/>
  <c r="CC11" i="2" s="1"/>
  <c r="CA39" i="2"/>
  <c r="CC39" i="2" s="1"/>
  <c r="CA22" i="2"/>
  <c r="CC22" i="2" s="1"/>
  <c r="CA35" i="2"/>
  <c r="CC35" i="2" s="1"/>
  <c r="CC42" i="2"/>
  <c r="CB19" i="2"/>
  <c r="CC19" i="2" s="1"/>
  <c r="CA41" i="2"/>
  <c r="CC41" i="2" s="1"/>
  <c r="CC23" i="2"/>
  <c r="CC49" i="2"/>
  <c r="CC45" i="2"/>
  <c r="CA43" i="2"/>
  <c r="CC43" i="2" s="1"/>
  <c r="CC8" i="2" l="1"/>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7" i="2"/>
  <c r="CF8" i="2"/>
  <c r="L7" i="2"/>
  <c r="K4" i="2"/>
  <c r="K7" i="2"/>
  <c r="L5" i="2"/>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CH33" i="2"/>
  <c r="CH22" i="2"/>
  <c r="CH21" i="2"/>
  <c r="CH15" i="2"/>
  <c r="CI15" i="2" s="1"/>
  <c r="CH10" i="2"/>
  <c r="CH39" i="2"/>
  <c r="CI16" i="2"/>
  <c r="CH29" i="2"/>
  <c r="CH20" i="2"/>
  <c r="CK20" i="2" s="1"/>
  <c r="CH50" i="2"/>
  <c r="CK45" i="2"/>
  <c r="CK43" i="2"/>
  <c r="CI43" i="2"/>
  <c r="CI45" i="2"/>
  <c r="CL45" i="2" s="1"/>
  <c r="N7" i="2"/>
  <c r="CI8" i="2" s="1"/>
  <c r="O8" i="2"/>
  <c r="N4" i="2"/>
  <c r="CJ7" i="2" s="1"/>
  <c r="CI35" i="2"/>
  <c r="CK53" i="2"/>
  <c r="CI53" i="2"/>
  <c r="CK25" i="2"/>
  <c r="CI25" i="2"/>
  <c r="CL25" i="2" s="1"/>
  <c r="CI49" i="2"/>
  <c r="CK49" i="2"/>
  <c r="N5" i="2"/>
  <c r="O7" i="2"/>
  <c r="CK6" i="2" s="1"/>
  <c r="CJ49" i="2"/>
  <c r="CI28" i="2"/>
  <c r="CK28" i="2"/>
  <c r="CJ28" i="2"/>
  <c r="CL41" i="2"/>
  <c r="CI12" i="2" l="1"/>
  <c r="CK47" i="2"/>
  <c r="CK30" i="2"/>
  <c r="N6" i="2"/>
  <c r="CI7" i="2" s="1"/>
  <c r="N8" i="2"/>
  <c r="CJ6" i="2" s="1"/>
  <c r="CL6" i="2" s="1"/>
  <c r="CL53" i="2"/>
  <c r="CJ36" i="2"/>
  <c r="CL36" i="2" s="1"/>
  <c r="CK42" i="2"/>
  <c r="CJ44" i="2"/>
  <c r="CL44" i="2" s="1"/>
  <c r="CK34" i="2"/>
  <c r="CJ12" i="2"/>
  <c r="CL32" i="2"/>
  <c r="CK7" i="2"/>
  <c r="CL43" i="2"/>
  <c r="CL35"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L7"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Q4" i="2" s="1"/>
  <c r="CN7" i="2"/>
  <c r="R4" i="2" s="1"/>
  <c r="CN46" i="2"/>
  <c r="CN11" i="2"/>
  <c r="CO42" i="2" l="1"/>
  <c r="CQ42" i="2" s="1"/>
  <c r="CO29" i="2"/>
  <c r="CQ29" i="2" s="1"/>
  <c r="CO27" i="2"/>
  <c r="CQ27" i="2" s="1"/>
  <c r="CO30" i="2"/>
  <c r="CP30" i="2"/>
  <c r="CP38" i="2"/>
  <c r="CO38" i="2"/>
  <c r="R8" i="2"/>
  <c r="Q7" i="2"/>
  <c r="CP10" i="2"/>
  <c r="CO10" i="2"/>
  <c r="CP40" i="2"/>
  <c r="CO40" i="2"/>
  <c r="Q8" i="2"/>
  <c r="R5" i="2"/>
  <c r="Q6" i="2"/>
  <c r="CP39" i="2"/>
  <c r="CO39" i="2"/>
  <c r="CP14" i="2"/>
  <c r="CO14" i="2"/>
  <c r="CO33" i="2"/>
  <c r="CP33" i="2"/>
  <c r="CP16" i="2"/>
  <c r="CO16" i="2"/>
  <c r="CO36" i="2"/>
  <c r="CP36" i="2"/>
  <c r="CP26" i="2"/>
  <c r="CO26" i="2"/>
  <c r="CP25" i="2"/>
  <c r="CO25" i="2"/>
  <c r="R6" i="2"/>
  <c r="Q9" i="2"/>
  <c r="CO47" i="2"/>
  <c r="CP47" i="2"/>
  <c r="CO52" i="2"/>
  <c r="CP52" i="2"/>
  <c r="R9" i="2"/>
  <c r="CO7" i="2" s="1"/>
  <c r="Q5" i="2"/>
  <c r="R7" i="2"/>
  <c r="CP8" i="2"/>
  <c r="CO8"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6"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16" i="2" l="1"/>
  <c r="CQ30" i="2"/>
  <c r="CQ36" i="2"/>
  <c r="CQ26" i="2"/>
  <c r="CQ31" i="2"/>
  <c r="CQ37" i="2"/>
  <c r="CQ11" i="2"/>
  <c r="CQ10" i="2"/>
  <c r="CQ49" i="2"/>
  <c r="CQ53" i="2"/>
  <c r="CQ8" i="2"/>
  <c r="CQ48" i="2"/>
  <c r="CQ17" i="2"/>
  <c r="CQ52" i="2"/>
  <c r="CQ7" i="2"/>
  <c r="CQ20" i="2"/>
  <c r="CQ38" i="2"/>
  <c r="CQ28" i="2"/>
  <c r="CQ18" i="2"/>
  <c r="CO9" i="2"/>
  <c r="CQ35" i="2"/>
  <c r="CQ40" i="2"/>
  <c r="CQ24" i="2"/>
  <c r="CQ47" i="2"/>
  <c r="CQ32" i="2"/>
  <c r="CQ15" i="2"/>
  <c r="CQ14" i="2"/>
  <c r="CP9" i="2"/>
  <c r="CQ6"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T18" i="2" s="1"/>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T10" i="2" s="1"/>
  <c r="CS9" i="2"/>
  <c r="T6" i="2" s="1"/>
  <c r="CS40" i="2"/>
  <c r="CT40" i="2" s="1"/>
  <c r="CS6" i="2"/>
  <c r="CS11" i="2"/>
  <c r="CT11" i="2" s="1"/>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T9" i="2"/>
  <c r="T8" i="2"/>
  <c r="U5" i="2"/>
  <c r="T7" i="2"/>
  <c r="U8" i="2"/>
  <c r="U6" i="2" l="1"/>
  <c r="U9" i="2"/>
  <c r="T5" i="2"/>
  <c r="CT9" i="2"/>
  <c r="CT6" i="2"/>
  <c r="T4" i="2"/>
  <c r="CT7" i="2" s="1"/>
  <c r="CT8" i="2"/>
  <c r="CU22" i="2" s="1"/>
  <c r="CU17" i="2" l="1"/>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X22" i="2"/>
  <c r="CW16" i="2"/>
  <c r="CX16" i="2" s="1"/>
  <c r="CW42" i="2"/>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F9" i="2" s="1"/>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9" i="2" l="1"/>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BI58" i="2"/>
  <c r="BJ58" i="2"/>
  <c r="BK58" i="2"/>
  <c r="BH58" i="2"/>
  <c r="AL8" i="2"/>
  <c r="AS8" i="2" s="1"/>
  <c r="BD58" i="2"/>
  <c r="G393" i="6" s="1"/>
  <c r="AL7" i="2"/>
  <c r="H5" i="4" s="1"/>
  <c r="BG58" i="2"/>
  <c r="AL9" i="2"/>
  <c r="AP9" i="2" s="1"/>
  <c r="M107" i="2"/>
  <c r="AA107" i="2" s="1"/>
  <c r="AO6" i="2"/>
  <c r="H4" i="4"/>
  <c r="AN6" i="2"/>
  <c r="AT6" i="2"/>
  <c r="J4" i="4" s="1"/>
  <c r="AQ6" i="2"/>
  <c r="AR6" i="2"/>
  <c r="AP6" i="2"/>
  <c r="AM6" i="2"/>
  <c r="I4" i="4" s="1"/>
  <c r="AS6" i="2"/>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M101" i="2" l="1"/>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Y67" i="2" s="1"/>
  <c r="BX69" i="2"/>
  <c r="BY69" i="2" s="1"/>
  <c r="BX61" i="2"/>
  <c r="BY60" i="2" s="1"/>
  <c r="BY65" i="2" l="1"/>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B64" i="2"/>
  <c r="BM64" i="2" s="1"/>
  <c r="CA67" i="2"/>
  <c r="CA66" i="2"/>
  <c r="CB66" i="2" s="1"/>
  <c r="BM66" i="2" s="1"/>
  <c r="CA62" i="2"/>
  <c r="CB62" i="2" s="1"/>
  <c r="BM62" i="2" s="1"/>
  <c r="CA68" i="2"/>
  <c r="CB58" i="2"/>
  <c r="BM58" i="2" s="1"/>
  <c r="CB60" i="2" l="1"/>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<sst xmlns="http://schemas.openxmlformats.org/spreadsheetml/2006/main" count="6754" uniqueCount="1516">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</sst>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V15" sqref="AV15"/>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2</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4</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V15" sqref="AV1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3</v>
      </c>
      <c r="AD4" s="51">
        <v>2</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1</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4</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9</v>
      </c>
      <c r="AN6" s="36">
        <f t="shared" ca="1" si="15"/>
        <v>3</v>
      </c>
      <c r="AO6" s="36">
        <f t="shared" ca="1" si="15"/>
        <v>3</v>
      </c>
      <c r="AP6" s="36">
        <f t="shared" ca="1" si="15"/>
        <v>0</v>
      </c>
      <c r="AQ6" s="36">
        <f t="shared" ca="1" si="15"/>
        <v>0</v>
      </c>
      <c r="AR6" s="36">
        <f t="shared" ca="1" si="15"/>
        <v>8</v>
      </c>
      <c r="AS6" s="36">
        <f t="shared" ca="1" si="15"/>
        <v>1</v>
      </c>
      <c r="AT6" s="41">
        <f t="shared" ca="1" si="15"/>
        <v>7</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6</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5</v>
      </c>
      <c r="AS7" s="39">
        <f t="shared" ca="1" si="15"/>
        <v>6</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8</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2</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4</v>
      </c>
      <c r="AS8" s="39">
        <f t="shared" ca="1" si="15"/>
        <v>5</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4</v>
      </c>
      <c r="BK8" s="16">
        <f t="shared" ca="1" si="22"/>
        <v>5</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8</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9</v>
      </c>
      <c r="BF9" s="16">
        <f t="shared" ca="1" si="17"/>
        <v>3</v>
      </c>
      <c r="BG9" s="16">
        <f t="shared" ca="1" si="18"/>
        <v>3</v>
      </c>
      <c r="BH9" s="16">
        <f t="shared" ca="1" si="19"/>
        <v>0</v>
      </c>
      <c r="BI9" s="16">
        <f t="shared" ca="1" si="20"/>
        <v>0</v>
      </c>
      <c r="BJ9" s="16">
        <f t="shared" ca="1" si="21"/>
        <v>8</v>
      </c>
      <c r="BK9" s="16">
        <f t="shared" ca="1" si="22"/>
        <v>1</v>
      </c>
      <c r="BL9" s="16">
        <f t="shared" ca="1" si="23"/>
        <v>7</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9</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40"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0"/>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0"/>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0"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0"/>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-1</v>
      </c>
      <c r="BM58" s="16">
        <f t="shared" ref="BM58:BM69" ca="1" si="152">CB58</f>
        <v>1</v>
      </c>
      <c r="BN58" s="16">
        <f t="shared" ref="BN58:BN69" ca="1" si="153">CF58</f>
        <v>1</v>
      </c>
      <c r="BO58" s="16" t="str">
        <f t="shared" ref="BO58:BO69" si="154">"4"&amp;BC58</f>
        <v>4A</v>
      </c>
      <c r="BP58" s="16"/>
      <c r="BQ58" s="16"/>
      <c r="BR58" s="16">
        <f t="shared" ref="BR58:BR69" ca="1" si="155">+BE58</f>
        <v>2</v>
      </c>
      <c r="BS58" s="16">
        <f t="shared" ref="BS58:BS69" ca="1" si="156">COUNTIFS(BR$58:BR$69,"&gt;"&amp;BR58)+1</f>
        <v>1</v>
      </c>
      <c r="BT58" s="16" t="str">
        <f t="shared" ref="BT58:BT69" ca="1" si="157">IF(COUNTIF(BS$58:BS$69,BS58)=1,"-","Pos. "&amp;BS58&amp;" ("&amp;COUNTIF(BS$58:BS$69,BS58)&amp;")")</f>
        <v>-</v>
      </c>
      <c r="BU58" s="16" t="str">
        <f t="shared" ref="BU58:BU69" ca="1" si="158">IF(BT58="-","-",BL58)</f>
        <v>-</v>
      </c>
      <c r="BV58" s="16">
        <f t="shared" ref="BV58:BV69" ca="1" si="159">BS58+COUNTIFS(BT$58:BT$69,BT58,BU$58:BU$69,"&gt;"&amp;BU58)</f>
        <v>1</v>
      </c>
      <c r="BW58" s="16" t="str">
        <f t="shared" ref="BW58:BW69" ca="1" si="160">IF(COUNTIF(BV$58:BV$69,BV58)=1,"-","Pos. "&amp;BV58&amp;" ("&amp;COUNTIF(BV$58:BV$69,BV58)&amp;")")</f>
        <v>-</v>
      </c>
      <c r="BX58" s="16" t="str">
        <f t="shared" ref="BX58:BX69" ca="1" si="161">IF(BW58="-","-",BJ58)</f>
        <v>-</v>
      </c>
      <c r="BY58" s="16">
        <f t="shared" ref="BY58:BY69" ca="1" si="162">BV58+COUNTIFS(BW$58:BW$69,BW58,BX$58:BX$69,"&gt;"&amp;BX58)</f>
        <v>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v>
      </c>
      <c r="CC58" s="16"/>
      <c r="CD58" s="16">
        <f t="shared" ref="CD58:CD69" ca="1" si="166">IF(OR(INDEX($AW$102:$AW$113,MATCH($BD58,$AV$102:$AV$113,0))="",BZ58="-"),CB58,INDEX($AW$102:$AW$113,MATCH($BD58,$AV$102:$AV$113,0))+CB58/1000)</f>
        <v>1</v>
      </c>
      <c r="CE58" s="16" t="str">
        <f t="shared" ref="CE58:CE69" ca="1" si="167">IF(BZ58="-","-",COUNTIF(CD$58:CD$69,"&lt;"&amp;CD58))</f>
        <v>-</v>
      </c>
      <c r="CF58" s="16">
        <f t="shared" ref="CF58:CF69" ca="1" si="168">BY58+COUNTIFS(BZ$58:BZ$69,BZ58,CE$58:CE$69,"&lt;"&amp;CE58)</f>
        <v>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Corea del Sur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5</v>
      </c>
      <c r="BN59" s="16">
        <f t="shared" ca="1" si="153"/>
        <v>5</v>
      </c>
      <c r="BO59" s="16" t="str">
        <f t="shared" si="154"/>
        <v>4B</v>
      </c>
      <c r="BP59" s="16"/>
      <c r="BQ59" s="16"/>
      <c r="BR59" s="16">
        <f t="shared" ca="1" si="155"/>
        <v>0</v>
      </c>
      <c r="BS59" s="16">
        <f t="shared" ca="1" si="156"/>
        <v>2</v>
      </c>
      <c r="BT59" s="16" t="str">
        <f t="shared" ca="1" si="157"/>
        <v>Pos. 2 (11)</v>
      </c>
      <c r="BU59" s="16">
        <f t="shared" ca="1" si="158"/>
        <v>0</v>
      </c>
      <c r="BV59" s="16">
        <f t="shared" ca="1" si="159"/>
        <v>2</v>
      </c>
      <c r="BW59" s="16" t="str">
        <f t="shared" ca="1" si="160"/>
        <v>Pos. 2 (11)</v>
      </c>
      <c r="BX59" s="16">
        <f t="shared" ca="1" si="161"/>
        <v>0</v>
      </c>
      <c r="BY59" s="16">
        <f t="shared" ca="1" si="162"/>
        <v>2</v>
      </c>
      <c r="BZ59" s="16" t="str">
        <f t="shared" ca="1" si="163"/>
        <v>Pos. 2 (11)</v>
      </c>
      <c r="CA59" s="16">
        <f t="shared" ca="1" si="164"/>
        <v>8</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(11)</v>
      </c>
      <c r="BX60" s="16">
        <f t="shared" ca="1" si="161"/>
        <v>0</v>
      </c>
      <c r="BY60" s="16">
        <f t="shared" ca="1" si="162"/>
        <v>2</v>
      </c>
      <c r="BZ60" s="16" t="str">
        <f t="shared" ca="1" si="163"/>
        <v>Pos. 2 (11)</v>
      </c>
      <c r="CA60" s="16">
        <f t="shared" ca="1" si="164"/>
        <v>4</v>
      </c>
      <c r="CB60" s="16">
        <f t="shared" ca="1" si="165"/>
        <v>8</v>
      </c>
      <c r="CC60" s="16"/>
      <c r="CD60" s="16">
        <f t="shared" ca="1" si="166"/>
        <v>8</v>
      </c>
      <c r="CE60" s="16">
        <f t="shared" ca="1" si="167"/>
        <v>7</v>
      </c>
      <c r="CF60" s="16">
        <f t="shared" ca="1" si="168"/>
        <v>8</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Australia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3</v>
      </c>
      <c r="BN61" s="16">
        <f t="shared" ca="1" si="153"/>
        <v>3</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(11)</v>
      </c>
      <c r="BX61" s="16">
        <f t="shared" ca="1" si="161"/>
        <v>0</v>
      </c>
      <c r="BY61" s="16">
        <f t="shared" ca="1" si="162"/>
        <v>2</v>
      </c>
      <c r="BZ61" s="16" t="str">
        <f t="shared" ca="1" si="163"/>
        <v>Pos. 2 (11)</v>
      </c>
      <c r="CA61" s="16">
        <f t="shared" ca="1" si="164"/>
        <v>10</v>
      </c>
      <c r="CB61" s="16">
        <f t="shared" ca="1" si="165"/>
        <v>3</v>
      </c>
      <c r="CC61" s="16"/>
      <c r="CD61" s="16">
        <f t="shared" ca="1" si="166"/>
        <v>3</v>
      </c>
      <c r="CE61" s="16">
        <f t="shared" ca="1" si="167"/>
        <v>2</v>
      </c>
      <c r="CF61" s="16">
        <f t="shared" ca="1" si="168"/>
        <v>3</v>
      </c>
      <c r="DJ61" s="16">
        <f t="shared" ca="1" si="169"/>
        <v>2</v>
      </c>
      <c r="DK61" s="16"/>
      <c r="DL61" s="16">
        <f t="shared" ca="1" si="170"/>
        <v>1</v>
      </c>
      <c r="DM61" s="16" t="str">
        <f t="shared" ca="1" si="171"/>
        <v>2.1</v>
      </c>
      <c r="DN61" s="16">
        <f t="array" aca="1" ref="DN61" ca="1">OFFSET(Horarios!$P$3,DJ61-1,0,DL61,1)</f>
        <v>2</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(11)</v>
      </c>
      <c r="BX62" s="16">
        <f t="shared" ca="1" si="161"/>
        <v>0</v>
      </c>
      <c r="BY62" s="16">
        <f t="shared" ca="1" si="162"/>
        <v>2</v>
      </c>
      <c r="BZ62" s="16" t="str">
        <f t="shared" ca="1" si="163"/>
        <v>Pos. 2 (11)</v>
      </c>
      <c r="CA62" s="16">
        <f t="shared" ca="1" si="164"/>
        <v>6</v>
      </c>
      <c r="CB62" s="16">
        <f t="shared" ca="1" si="165"/>
        <v>6</v>
      </c>
      <c r="CC62" s="16"/>
      <c r="CD62" s="16">
        <f t="shared" ca="1" si="166"/>
        <v>6</v>
      </c>
      <c r="CE62" s="16">
        <f t="shared" ca="1" si="167"/>
        <v>5</v>
      </c>
      <c r="CF62" s="16">
        <f t="shared" ca="1" si="168"/>
        <v>6</v>
      </c>
      <c r="DJ62" s="16">
        <f t="shared" ca="1" si="169"/>
        <v>2</v>
      </c>
      <c r="DK62" s="16"/>
      <c r="DL62" s="16">
        <f t="shared" ca="1" si="170"/>
        <v>1</v>
      </c>
      <c r="DM62" s="16" t="str">
        <f t="shared" ca="1" si="171"/>
        <v>2.1</v>
      </c>
      <c r="DN62" s="16">
        <f t="array" aca="1" ref="DN62" ca="1">OFFSET(Horarios!$P$3,DJ62-1,0,DL62,1)</f>
        <v>2</v>
      </c>
      <c r="DO62" s="16"/>
      <c r="DP62" s="16">
        <v>5</v>
      </c>
      <c r="DQ62" s="16" t="str">
        <f t="shared" ca="1" si="172"/>
        <v>Catar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(11)</v>
      </c>
      <c r="BX63" s="16">
        <f t="shared" ca="1" si="161"/>
        <v>0</v>
      </c>
      <c r="BY63" s="16">
        <f t="shared" ca="1" si="162"/>
        <v>2</v>
      </c>
      <c r="BZ63" s="16" t="str">
        <f t="shared" ca="1" si="163"/>
        <v>Pos. 2 (11)</v>
      </c>
      <c r="CA63" s="16">
        <f t="shared" ca="1" si="164"/>
        <v>1</v>
      </c>
      <c r="CB63" s="16">
        <f t="shared" ca="1" si="165"/>
        <v>11</v>
      </c>
      <c r="CC63" s="16"/>
      <c r="CD63" s="16">
        <f t="shared" ca="1" si="166"/>
        <v>11</v>
      </c>
      <c r="CE63" s="16">
        <f t="shared" ca="1" si="167"/>
        <v>10</v>
      </c>
      <c r="CF63" s="16">
        <f t="shared" ca="1" si="168"/>
        <v>11</v>
      </c>
      <c r="DJ63" s="16">
        <f t="shared" ca="1" si="169"/>
        <v>2</v>
      </c>
      <c r="DK63" s="16"/>
      <c r="DL63" s="16">
        <f t="shared" ca="1" si="170"/>
        <v>1</v>
      </c>
      <c r="DM63" s="16" t="str">
        <f t="shared" ca="1" si="171"/>
        <v>2.1</v>
      </c>
      <c r="DN63" s="16">
        <f t="array" aca="1" ref="DN63" ca="1">OFFSET(Horarios!$P$3,DJ63-1,0,DL63,1)</f>
        <v>2</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(11)</v>
      </c>
      <c r="BX64" s="16">
        <f t="shared" ca="1" si="161"/>
        <v>0</v>
      </c>
      <c r="BY64" s="16">
        <f t="shared" ca="1" si="162"/>
        <v>2</v>
      </c>
      <c r="BZ64" s="16" t="str">
        <f t="shared" ca="1" si="163"/>
        <v>Pos. 2 (11)</v>
      </c>
      <c r="CA64" s="16">
        <f t="shared" ca="1" si="164"/>
        <v>2</v>
      </c>
      <c r="CB64" s="16">
        <f t="shared" ca="1" si="165"/>
        <v>10</v>
      </c>
      <c r="CC64" s="16"/>
      <c r="CD64" s="16">
        <f t="shared" ca="1" si="166"/>
        <v>10</v>
      </c>
      <c r="CE64" s="16">
        <f t="shared" ca="1" si="167"/>
        <v>9</v>
      </c>
      <c r="CF64" s="16">
        <f t="shared" ca="1" si="168"/>
        <v>10</v>
      </c>
      <c r="DJ64" s="16">
        <f t="shared" ca="1" si="169"/>
        <v>2</v>
      </c>
      <c r="DK64" s="16"/>
      <c r="DL64" s="16">
        <f t="shared" ca="1" si="170"/>
        <v>1</v>
      </c>
      <c r="DM64" s="16" t="str">
        <f t="shared" ca="1" si="171"/>
        <v>2.1</v>
      </c>
      <c r="DN64" s="16">
        <f t="array" aca="1" ref="DN64" ca="1">OFFSET(Horarios!$P$3,DJ64-1,0,DL64,1)</f>
        <v>2</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(11)</v>
      </c>
      <c r="BX65" s="16">
        <f t="shared" ca="1" si="161"/>
        <v>0</v>
      </c>
      <c r="BY65" s="16">
        <f t="shared" ca="1" si="162"/>
        <v>2</v>
      </c>
      <c r="BZ65" s="16" t="str">
        <f t="shared" ca="1" si="163"/>
        <v>Pos. 2 (11)</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(11)</v>
      </c>
      <c r="BX66" s="16">
        <f t="shared" ca="1" si="161"/>
        <v>0</v>
      </c>
      <c r="BY66" s="16">
        <f t="shared" ca="1" si="162"/>
        <v>2</v>
      </c>
      <c r="BZ66" s="16" t="str">
        <f t="shared" ca="1" si="163"/>
        <v>Pos. 2 (11)</v>
      </c>
      <c r="CA66" s="16">
        <f t="shared" ca="1" si="164"/>
        <v>3</v>
      </c>
      <c r="CB66" s="16">
        <f t="shared" ca="1" si="165"/>
        <v>9</v>
      </c>
      <c r="CC66" s="16"/>
      <c r="CD66" s="16">
        <f t="shared" ca="1" si="166"/>
        <v>9</v>
      </c>
      <c r="CE66" s="16">
        <f t="shared" ca="1" si="167"/>
        <v>8</v>
      </c>
      <c r="CF66" s="16">
        <f t="shared" ca="1" si="168"/>
        <v>9</v>
      </c>
      <c r="DJ66" s="16">
        <f t="shared" ca="1" si="169"/>
        <v>2</v>
      </c>
      <c r="DK66" s="16"/>
      <c r="DL66" s="16">
        <f t="shared" ca="1" si="170"/>
        <v>1</v>
      </c>
      <c r="DM66" s="16" t="str">
        <f t="shared" ca="1" si="171"/>
        <v>2.1</v>
      </c>
      <c r="DN66" s="16">
        <f t="array" aca="1" ref="DN66" ca="1">OFFSET(Horarios!$P$3,DJ66-1,0,DL66,1)</f>
        <v>2</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(11)</v>
      </c>
      <c r="BX67" s="16">
        <f t="shared" ca="1" si="161"/>
        <v>0</v>
      </c>
      <c r="BY67" s="16">
        <f t="shared" ca="1" si="162"/>
        <v>2</v>
      </c>
      <c r="BZ67" s="16" t="str">
        <f t="shared" ca="1" si="163"/>
        <v>Pos. 2 (11)</v>
      </c>
      <c r="CA67" s="16">
        <f t="shared" ca="1" si="164"/>
        <v>9</v>
      </c>
      <c r="CB67" s="16">
        <f t="shared" ca="1" si="165"/>
        <v>4</v>
      </c>
      <c r="CC67" s="16"/>
      <c r="CD67" s="16">
        <f t="shared" ca="1" si="166"/>
        <v>4</v>
      </c>
      <c r="CE67" s="16">
        <f t="shared" ca="1" si="167"/>
        <v>3</v>
      </c>
      <c r="CF67" s="16">
        <f t="shared" ca="1" si="168"/>
        <v>4</v>
      </c>
      <c r="DJ67" s="16">
        <f t="shared" ca="1" si="169"/>
        <v>2</v>
      </c>
      <c r="DK67" s="16"/>
      <c r="DL67" s="16">
        <f t="shared" ca="1" si="170"/>
        <v>1</v>
      </c>
      <c r="DM67" s="16" t="str">
        <f t="shared" ca="1" si="171"/>
        <v>2.1</v>
      </c>
      <c r="DN67" s="16">
        <f t="array" aca="1" ref="DN67" ca="1">OFFSET(Horarios!$P$3,DJ67-1,0,DL67,1)</f>
        <v>2</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(11)</v>
      </c>
      <c r="BX68" s="16">
        <f t="shared" ca="1" si="161"/>
        <v>0</v>
      </c>
      <c r="BY68" s="16">
        <f t="shared" ca="1" si="162"/>
        <v>2</v>
      </c>
      <c r="BZ68" s="16" t="str">
        <f t="shared" ca="1" si="163"/>
        <v>Pos. 2 (11)</v>
      </c>
      <c r="CA68" s="16">
        <f t="shared" ca="1" si="164"/>
        <v>0</v>
      </c>
      <c r="CB68" s="16">
        <f t="shared" ca="1" si="165"/>
        <v>12</v>
      </c>
      <c r="CC68" s="16"/>
      <c r="CD68" s="16">
        <f t="shared" ca="1" si="166"/>
        <v>12</v>
      </c>
      <c r="CE68" s="16">
        <f t="shared" ca="1" si="167"/>
        <v>11</v>
      </c>
      <c r="CF68" s="16">
        <f t="shared" ca="1" si="168"/>
        <v>12</v>
      </c>
      <c r="DJ68" s="16">
        <f t="shared" ca="1" si="169"/>
        <v>2</v>
      </c>
      <c r="DK68" s="16"/>
      <c r="DL68" s="16">
        <f t="shared" ca="1" si="170"/>
        <v>1</v>
      </c>
      <c r="DM68" s="16" t="str">
        <f t="shared" ca="1" si="171"/>
        <v>2.1</v>
      </c>
      <c r="DN68" s="16">
        <f t="array" aca="1" ref="DN68" ca="1">OFFSET(Horarios!$P$3,DJ68-1,0,DL68,1)</f>
        <v>2</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(11)</v>
      </c>
      <c r="BX69" s="16">
        <f t="shared" ca="1" si="161"/>
        <v>0</v>
      </c>
      <c r="BY69" s="16">
        <f t="shared" ca="1" si="162"/>
        <v>2</v>
      </c>
      <c r="BZ69" s="16" t="str">
        <f t="shared" ca="1" si="163"/>
        <v>Pos. 2 (11)</v>
      </c>
      <c r="CA69" s="16">
        <f t="shared" ca="1" si="164"/>
        <v>5</v>
      </c>
      <c r="CB69" s="16">
        <f t="shared" ca="1" si="165"/>
        <v>7</v>
      </c>
      <c r="CC69" s="16"/>
      <c r="CD69" s="16">
        <f t="shared" ca="1" si="166"/>
        <v>7</v>
      </c>
      <c r="CE69" s="16">
        <f t="shared" ca="1" si="167"/>
        <v>6</v>
      </c>
      <c r="CF69" s="16">
        <f t="shared" ca="1" si="168"/>
        <v>7</v>
      </c>
      <c r="DJ69" s="16">
        <f t="shared" ca="1" si="169"/>
        <v>2</v>
      </c>
      <c r="DK69" s="16"/>
      <c r="DL69" s="16">
        <f t="shared" ca="1" si="170"/>
        <v>1</v>
      </c>
      <c r="DM69" s="16" t="str">
        <f t="shared" ca="1" si="171"/>
        <v>2.1</v>
      </c>
      <c r="DN69" s="16">
        <f t="array" aca="1" ref="DN69" ca="1">OFFSET(Horarios!$P$3,DJ69-1,0,DL69,1)</f>
        <v>2</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Corea del Sur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Australia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Catar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República Checa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1|3-2</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2|1-2</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1|4-0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República Checa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República Checa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México-2B</v>
      </c>
      <c r="C164" s="342" t="str">
        <f ca="1">CONCATENATE(WORLDCUP!AA101,"-",WORLDCUP!AF101,"·",IF(WORLDCUP!AC101&gt;WORLDCUP!AD101,1,IF(WORLDCUP!AC101&lt;WORLDCUP!AD101,2,IF(AND(WORLDCUP!AC101=WORLDCUP!AD101,WORLDCUP!AC101&lt;&gt;"",WORLDCUP!AD101&lt;&gt;""),"X",0))),"|",WORLDCUP!AC101,"-",WORLDCUP!AD101)</f>
        <v>México-2B·0|-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República Checa-3CEFHI</v>
      </c>
      <c r="C170" s="342" t="str">
        <f ca="1">CONCATENATE(WORLDCUP!AA107,"-",WORLDCUP!AF107,"·",IF(WORLDCUP!AC107&gt;WORLDCUP!AD107,1,IF(WORLDCUP!AC107&lt;WORLDCUP!AD107,2,IF(AND(WORLDCUP!AC107=WORLDCUP!AD107,WORLDCUP!AC107&lt;&gt;"",WORLDCUP!AD107&lt;&gt;""),"X",0))),"|",WORLDCUP!AC107,"-",WORLDCUP!AD107)</f>
        <v>República Checa-3CEFHI·0|-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2</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Rep</v>
      </c>
      <c r="I4" s="437">
        <f ca="1">+INDEX(WORLDCUP!$AM$6:$AM$97,MATCH(L4,WORLDCUP!$AI$6:$AI$97,0))</f>
        <v>9</v>
      </c>
      <c r="J4" s="438">
        <f ca="1">+INDEX(WORLDCUP!$AT$6:$AT$97,MATCH(L4,WORLDCUP!$AI$6:$AI$97,0))</f>
        <v>7</v>
      </c>
      <c r="K4" s="439" t="str">
        <f ca="1">+INDEX(WORLDCUP!$AR$6:$AR$97,MATCH(L4,WORLDCUP!$AI$6:$AI$97,0))&amp;"-"&amp;INDEX(WORLDCUP!$AS$6:$AS$97,MATCH(L4,WORLDCUP!$AI$6:$AI$97,0))</f>
        <v>8-1</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4</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5-6</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4-5</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-5</v>
      </c>
      <c r="K7" s="467" t="str">
        <f ca="1">+INDEX(WORLDCUP!$AR$6:$AR$97,MATCH(L7,WORLDCUP!$AI$6:$AI$97,0))&amp;"-"&amp;INDEX(WORLDCUP!$AS$6:$AS$97,MATCH(L7,WORLDCUP!$AI$6:$AI$97,0))</f>
        <v>3-8</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Corea del Sur</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Corea del Sur</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Corea del Sur</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Corea del Sur</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Corea del Sur</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Corea del Sur</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Corea del Sur</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Corea del Sur</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Corea del Sur</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Corea del Sur</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Corea del Sur</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Corea del Sur</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Corea del Sur</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Corea del Sur</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Corea del Sur</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Corea del Sur</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Corea del Sur</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Corea del Sur</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Corea del Sur</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Corea del Sur</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Corea del Sur</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Corea del Sur</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Corea del Sur</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Corea del Sur</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Corea del Sur</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Corea del Sur</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Corea del Sur</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Corea del Sur</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Corea del Sur</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Corea del Sur</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Corea del Sur</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Corea del Sur</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Corea del Sur</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Corea del Sur</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Corea del Sur</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Corea del Sur</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Corea del Sur</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Corea del Sur</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Corea del Sur</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Corea del Sur</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Corea del Sur</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Corea del Sur</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Corea del Sur</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Corea del Sur</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Corea del Sur</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Corea del Sur</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Corea del Sur</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Corea del Sur</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Corea del Sur</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Corea del Sur</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Corea del Sur</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Corea del Sur</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Corea del Sur</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Corea del Sur</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Corea del Sur</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Corea del Sur</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Corea del Sur</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Corea del Sur</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Corea del Sur</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Corea del Sur</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Corea del Sur</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Corea del Sur</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Corea del Sur</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Corea del Sur</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Corea del Sur</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Corea del Sur</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Corea del Sur</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Corea del Sur</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Corea del Sur</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Corea del Sur</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Corea del Sur</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Corea del Sur</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Corea del Sur</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Corea del Sur</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Corea del Sur</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Corea del Sur</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Corea del Sur</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Corea del Sur</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Corea del Sur</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Corea del Sur</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Corea del Sur</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Corea del Sur</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Corea del Sur</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Corea del Sur</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Corea del Sur</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Corea del Sur</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Corea del Sur</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Corea del Sur</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Corea del Sur</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Corea del Sur</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Corea del Sur</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Corea del Sur</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Corea del Sur</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Corea del Sur</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Corea del Sur</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Corea del Sur</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Corea del Sur</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Corea del Sur</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Corea del Sur</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Corea del Sur</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Corea del Sur</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Corea del Sur</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Corea del Sur</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Corea del Sur</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Corea del Sur</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Corea del Sur</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Corea del Sur</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Corea del Sur</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Corea del Sur</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Corea del Sur</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Corea del Sur</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Corea del Sur</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Corea del Sur</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Corea del Sur</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Corea del Sur</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Corea del Sur</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Corea del Sur</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Corea del Sur</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Corea del Sur</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Corea del Sur</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Corea del Sur</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Corea del Sur</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Corea del Sur</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Corea del Sur</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Corea del Sur</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Corea del Sur</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Corea del Sur</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Corea del Sur</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Corea del Sur</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Corea del Sur</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Corea del Sur</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Corea del Sur</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Corea del Sur</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Corea del Sur</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Corea del Sur</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Corea del Sur</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Corea del Sur</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Corea del Sur</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Corea del Sur</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Corea del Sur</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Corea del Sur</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Corea del Sur</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Corea del Sur</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Corea del Sur</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Corea del Sur</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Corea del Sur</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Corea del Sur</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Corea del Sur</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Corea del Sur</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Corea del Sur</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Corea del Sur</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Corea del Sur</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Corea del Sur</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Corea del Sur</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Corea del Sur</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Corea del Sur</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Corea del Sur</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Corea del Sur</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Corea del Sur</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Corea del Sur</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Corea del Sur</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Corea del Sur</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Corea del Sur</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Corea del Sur</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Corea del Sur</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Corea del Sur</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Corea del Sur</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Corea del Sur</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Corea del Sur</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Corea del Sur</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Corea del Sur</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Corea del Sur</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Corea del Sur</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Corea del Sur</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Corea del Sur</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Corea del Sur</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Corea del Sur</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Corea del Sur</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Corea del Sur</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Corea del Sur</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Corea del Sur</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Corea del Sur</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Corea del Sur</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Corea del Sur</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Corea del Sur</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Corea del Sur</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Corea del Sur</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Corea del Sur</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Corea del Sur</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Corea del Sur</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Corea del Sur</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Corea del Sur</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Corea del Sur</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Corea del Sur</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Corea del Sur</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Corea del Sur</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Corea del Sur</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Corea del Sur</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Corea del Sur</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Corea del Sur</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Corea del Sur</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Corea del Sur</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Corea del Sur</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2026-06-09T12:23:23Z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
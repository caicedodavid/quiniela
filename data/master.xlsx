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C195F5A5-8A8E-4E4B-851F-40B26DB8A6AA}"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M132" i="2"/>
  <c r="AA132" i="2" s="1"/>
  <c r="C211" i="3"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25" i="2"/>
  <c r="D216" i="5"/>
  <c r="AB17" i="9" s="1"/>
  <c r="D228" i="5"/>
  <c r="AB29" i="9"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C4" i="4"/>
  <c r="AK32" i="4"/>
  <c r="C213" i="3"/>
  <c r="C227" i="3"/>
  <c r="C226" i="3"/>
  <c r="C244" i="3"/>
  <c r="B244" i="3"/>
  <c r="C236" i="3"/>
  <c r="N134" i="2"/>
  <c r="AF134" i="2" s="1"/>
  <c r="C217" i="3" s="1"/>
  <c r="AG127" i="2"/>
  <c r="AJ7" i="4"/>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21" i="3"/>
  <c r="C232" i="3"/>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AI19" i="4"/>
  <c r="X75" i="2"/>
  <c r="AF51" i="2"/>
  <c r="AB50" i="9"/>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I32" i="4"/>
  <c r="K33" i="8"/>
  <c r="AB35" i="9"/>
  <c r="K34" i="8"/>
  <c r="B22" i="8"/>
  <c r="B17" i="8"/>
  <c r="K48" i="8"/>
  <c r="AB49" i="9"/>
  <c r="AB44" i="9"/>
  <c r="B44" i="8"/>
  <c r="K43" i="8"/>
  <c r="C212" i="3"/>
  <c r="C222" i="3"/>
  <c r="B222" i="3"/>
  <c r="C255" i="3"/>
  <c r="AJ3" i="2"/>
  <c r="BC5" i="2"/>
  <c r="BC57" i="2" s="1"/>
  <c r="B31" i="8"/>
  <c r="K10" i="8"/>
  <c r="AB11" i="9"/>
  <c r="AB48" i="9"/>
  <c r="B24" i="8"/>
  <c r="K47" i="8"/>
  <c r="B220" i="3"/>
  <c r="C220" i="3"/>
  <c r="C210"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11"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AG115" i="2"/>
  <c r="M126" i="2"/>
  <c r="AA126" i="2" s="1"/>
  <c r="M127" i="2"/>
  <c r="AA127" i="2" s="1"/>
  <c r="AG113" i="2"/>
  <c r="M124" i="2"/>
  <c r="AA124" i="2" s="1"/>
  <c r="AG112" i="2"/>
  <c r="N124" i="2"/>
  <c r="AF124" i="2" s="1"/>
  <c r="AG111" i="2"/>
  <c r="M125" i="2"/>
  <c r="AA125" i="2" s="1"/>
  <c r="AG110" i="2"/>
  <c r="N125" i="2"/>
  <c r="AF125" i="2" s="1"/>
  <c r="AG109" i="2"/>
  <c r="N123" i="2"/>
  <c r="AF123" i="2" s="1"/>
  <c r="AG108" i="2"/>
  <c r="AG106" i="2"/>
  <c r="N120" i="2"/>
  <c r="AF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C197" i="3" l="1"/>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M123" i="2" l="1"/>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E34" i="4" l="1"/>
  <c r="C185" i="3"/>
  <c r="C203" i="3"/>
  <c r="B203" i="3"/>
  <c r="BU63" i="2"/>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<sst xmlns="http://schemas.openxmlformats.org/spreadsheetml/2006/main" count="6754" uniqueCount="1516">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</sst>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8" zoomScale="118" zoomScaleNormal="100" workbookViewId="0">
      <selection activeCell="AJ117" sqref="AJ11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3"/>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4"/>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3"/>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4"/>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3"/>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3"/>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ca="1" si="280">+INDEX($N$101:$N$147,MATCH(AH120,$J$101:$J$147,0))</f>
        <v>Marruecos</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ca="1" si="279"/>
        <v>Paraguay</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ca="1" si="279"/>
        <v>México</v>
      </c>
      <c r="AB123" s="89"/>
      <c r="AC123" s="97"/>
      <c r="AD123" s="97"/>
      <c r="AE123" s="89"/>
      <c r="AF123" s="91" t="str">
        <f t="shared" ca="1" si="280"/>
        <v>Inglaterra</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0"/>
      <c r="X124" s="24">
        <f ca="1">Horarios!C124</f>
        <v>46209.625</v>
      </c>
      <c r="Y124" s="25">
        <f ca="1">Horarios!C124</f>
        <v>46209.625</v>
      </c>
      <c r="Z124" s="274">
        <f t="shared" si="278"/>
        <v>93</v>
      </c>
      <c r="AA124" s="88" t="str">
        <f t="shared" ca="1" si="279"/>
        <v>Portugal</v>
      </c>
      <c r="AB124" s="98"/>
      <c r="AC124" s="97"/>
      <c r="AD124" s="97"/>
      <c r="AE124" s="90"/>
      <c r="AF124" s="91" t="str">
        <f t="shared" ca="1" si="280"/>
        <v>España</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0"/>
      <c r="X126" s="24">
        <f ca="1">Horarios!C126</f>
        <v>46210.5</v>
      </c>
      <c r="Y126" s="25">
        <f ca="1">Horarios!C126</f>
        <v>46210.5</v>
      </c>
      <c r="Z126" s="274">
        <f t="shared" si="278"/>
        <v>95</v>
      </c>
      <c r="AA126" s="88" t="str">
        <f t="shared" ca="1" si="279"/>
        <v>Argentina</v>
      </c>
      <c r="AB126" s="89"/>
      <c r="AC126" s="99"/>
      <c r="AD126" s="99"/>
      <c r="AE126" s="89"/>
      <c r="AF126" s="91" t="str">
        <f t="shared" ca="1" si="280"/>
        <v>Egipto</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ca="1" si="279"/>
        <v>Suiza</v>
      </c>
      <c r="AB127" s="94"/>
      <c r="AC127" s="100"/>
      <c r="AD127" s="100"/>
      <c r="AE127" s="94"/>
      <c r="AF127" s="95" t="str">
        <f t="shared" ca="1" si="280"/>
        <v>Colombia</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 ca="1">WORLDCUP!AA121</f>
        <v>Paraguay</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 ca="1">WORLDCUP!AA122</f>
        <v>Brasil</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 ca="1">WORLDCUP!AA123</f>
        <v>México</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 ca="1">WORLDCUP!AA124</f>
        <v>Portugal</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 ca="1">WORLDCUP!AA125</f>
        <v>Estados Unidos</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 ca="1">WORLDCUP!AA126</f>
        <v>Argentina</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 ca="1">WORLDCUP!AA127</f>
        <v>Suiza</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 ca="1">WORLDCUP!AF120</f>
        <v>Marruecos</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 ca="1">WORLDCUP!AF121</f>
        <v>Francia</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 ca="1">WORLDCUP!AF122</f>
        <v>Noruega</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 ca="1">WORLDCUP!AF123</f>
        <v>Inglaterra</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 ca="1">WORLDCUP!AF124</f>
        <v>España</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 ca="1">WORLDCUP!AF125</f>
        <v>Bélgica</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 ca="1">WORLDCUP!AF126</f>
        <v>Egipto</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 ca="1">WORLDCUP!AF127</f>
        <v>Colombia</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Paraguay-Francia·0|-</v>
      </c>
      <c r="D201" s="628"/>
      <c r="E201" s="650"/>
      <c r="F201" s="650"/>
      <c r="G201" s="650"/>
      <c r="H201" s="650"/>
      <c r="I201" s="345"/>
      <c r="J201" s="361"/>
      <c r="K201" s="361"/>
      <c r="L201" s="361"/>
      <c r="M201" s="377"/>
      <c r="N201" s="368"/>
    </row>
    <row r="202" spans="1:14" ht="15" customHeight="1" x14ac:dyDescent="0.2">
      <c r="A202" s="628"/>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8"/>
      <c r="E202" s="650"/>
      <c r="F202" s="650"/>
      <c r="G202" s="650"/>
      <c r="H202" s="650"/>
      <c r="I202" s="345"/>
      <c r="J202" s="361"/>
      <c r="K202" s="361"/>
      <c r="L202" s="361"/>
      <c r="M202" s="377"/>
      <c r="N202" s="368"/>
    </row>
    <row r="203" spans="1:14" ht="15" customHeight="1" x14ac:dyDescent="0.2">
      <c r="A203" s="628"/>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México-Inglaterra·0|-</v>
      </c>
      <c r="D203" s="628"/>
      <c r="E203" s="650"/>
      <c r="F203" s="650"/>
      <c r="G203" s="650"/>
      <c r="H203" s="650"/>
      <c r="I203" s="345"/>
      <c r="J203" s="361"/>
      <c r="K203" s="361"/>
      <c r="L203" s="361"/>
      <c r="M203" s="377"/>
      <c r="N203" s="368"/>
    </row>
    <row r="204" spans="1:14" ht="15" customHeight="1" x14ac:dyDescent="0.2">
      <c r="A204" s="628"/>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Portugal-España·0|-</v>
      </c>
      <c r="D204" s="628"/>
      <c r="E204" s="345"/>
      <c r="F204" s="345"/>
      <c r="G204" s="345"/>
      <c r="H204" s="345"/>
      <c r="I204" s="345"/>
      <c r="J204" s="361"/>
      <c r="K204" s="361"/>
      <c r="L204" s="361"/>
      <c r="M204" s="377"/>
      <c r="N204" s="368"/>
    </row>
    <row r="205" spans="1:14" ht="15" customHeight="1" x14ac:dyDescent="0.2">
      <c r="A205" s="628"/>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8"/>
      <c r="E205" s="345"/>
      <c r="F205" s="345"/>
      <c r="G205" s="345"/>
      <c r="H205" s="345"/>
      <c r="I205" s="345"/>
      <c r="J205" s="361"/>
      <c r="K205" s="361"/>
      <c r="L205" s="361"/>
      <c r="M205" s="377"/>
      <c r="N205" s="368"/>
    </row>
    <row r="206" spans="1:14" ht="15" customHeight="1" x14ac:dyDescent="0.2">
      <c r="A206" s="628"/>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Argentina-Egipto·0|-</v>
      </c>
      <c r="D206" s="628"/>
      <c r="E206" s="345"/>
      <c r="F206" s="345"/>
      <c r="G206" s="345"/>
      <c r="H206" s="345"/>
      <c r="I206" s="345"/>
      <c r="J206" s="361"/>
      <c r="K206" s="361"/>
      <c r="L206" s="361"/>
      <c r="M206" s="377"/>
      <c r="N206" s="368"/>
    </row>
    <row r="207" spans="1:14" ht="15" customHeight="1" x14ac:dyDescent="0.2">
      <c r="A207" s="628"/>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1</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1</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1</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1</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1</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2026-07-04T03:32:54Z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
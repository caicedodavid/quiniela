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028"/>
  <workbookPr codeName="ThisWorkbook" defaultThemeVersion="124226"/>
  <mc:AlternateContent xmlns:mc="http://schemas.openxmlformats.org/markup-compatibility/2006">
    <mc:Choice Requires="x15">
      <x15ac:absPath xmlns:x15ac="http://schemas.microsoft.com/office/spreadsheetml/2010/11/ac" url="C:\Users\soyte\OneDrive\Desktop\"/>
    </mc:Choice>
  </mc:AlternateContent>
  <xr:revisionPtr revIDLastSave="0" documentId="8_{A1D44D64-7882-4838-A7CD-FE12B73458E2}" xr6:coauthVersionLast="47" xr6:coauthVersionMax="47" xr10:uidLastSave="{00000000-0000-0000-0000-000000000000}"/>
  <bookViews>
    <workbookView xWindow="12" yWindow="720" windowWidth="23028" windowHeight="1224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5" i="2"/>
  <c r="N15" i="2"/>
  <c r="L15" i="2"/>
  <c r="K15" i="2"/>
  <c r="I15" i="2"/>
  <c r="R15" i="2"/>
  <c r="O17" i="2"/>
  <c r="E15" i="2"/>
  <c r="R17" i="2"/>
  <c r="T22" i="2"/>
  <c r="L22" i="2"/>
  <c r="K22" i="2"/>
  <c r="I22" i="2"/>
  <c r="H22" i="2"/>
  <c r="F22" i="2"/>
  <c r="O22" i="2"/>
  <c r="N22" i="2"/>
  <c r="Q24" i="2"/>
  <c r="O24" i="2"/>
  <c r="N24" i="2"/>
  <c r="L24" i="2"/>
  <c r="K24" i="2"/>
  <c r="I24" i="2"/>
  <c r="H24" i="2"/>
  <c r="F24" i="2"/>
  <c r="E24" i="2"/>
  <c r="T24" i="2"/>
  <c r="R24"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N25" i="2"/>
  <c r="U30" i="2"/>
  <c r="O39" i="2"/>
  <c r="N39" i="2"/>
  <c r="L39" i="2"/>
  <c r="U39" i="2"/>
  <c r="T39" i="2"/>
  <c r="R39" i="2"/>
  <c r="Q39" i="2"/>
  <c r="K39" i="2"/>
  <c r="I39" i="2"/>
  <c r="AC142" i="2"/>
  <c r="AC119" i="2"/>
  <c r="AC130" i="2"/>
  <c r="AC75" i="2"/>
  <c r="AC91" i="2"/>
  <c r="AC83" i="2"/>
  <c r="AC59" i="2"/>
  <c r="AC100" i="2"/>
  <c r="AC43" i="2"/>
  <c r="AC35" i="2"/>
  <c r="O25" i="2"/>
  <c r="AR29" i="2"/>
  <c r="E39" i="2"/>
  <c r="AD142" i="2"/>
  <c r="AD59" i="2"/>
  <c r="AD91" i="2"/>
  <c r="AD130" i="2"/>
  <c r="AD119" i="2"/>
  <c r="AD43" i="2"/>
  <c r="AD83" i="2"/>
  <c r="AD100" i="2"/>
  <c r="AD75" i="2"/>
  <c r="AD35" i="2"/>
  <c r="AD27" i="2"/>
  <c r="AD67" i="2"/>
  <c r="AD51" i="2"/>
  <c r="Q25" i="2"/>
  <c r="F39" i="2"/>
  <c r="AF137" i="2"/>
  <c r="AF142" i="2"/>
  <c r="AF146" i="2"/>
  <c r="AF59" i="2"/>
  <c r="AF91" i="2"/>
  <c r="AF67" i="2"/>
  <c r="AF100" i="2"/>
  <c r="AF119" i="2"/>
  <c r="AF83" i="2"/>
  <c r="AF75" i="2"/>
  <c r="AF51" i="2"/>
  <c r="AR85" i="2"/>
  <c r="AR53" i="2"/>
  <c r="AR101" i="2"/>
  <c r="AR77" i="2"/>
  <c r="AR37" i="2"/>
  <c r="AR69" i="2"/>
  <c r="AR93" i="2"/>
  <c r="AR61" i="2"/>
  <c r="AR45" i="2"/>
  <c r="U16" i="2"/>
  <c r="R25" i="2"/>
  <c r="H39"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H38" i="2"/>
  <c r="F38" i="2"/>
  <c r="E38" i="2"/>
  <c r="I64" i="2"/>
  <c r="H64" i="2"/>
  <c r="F64" i="2"/>
  <c r="L64" i="2"/>
  <c r="U64" i="2"/>
  <c r="T64" i="2"/>
  <c r="R64" i="2"/>
  <c r="O64" i="2"/>
  <c r="C213" i="3"/>
  <c r="L32" i="2"/>
  <c r="K32" i="2"/>
  <c r="K38" i="2"/>
  <c r="F54" i="2"/>
  <c r="E54" i="2"/>
  <c r="N54" i="2"/>
  <c r="L54" i="2"/>
  <c r="K54" i="2"/>
  <c r="H54" i="2"/>
  <c r="Q54"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I63" i="2"/>
  <c r="H63" i="2"/>
  <c r="L63" i="2"/>
  <c r="N70" i="2"/>
  <c r="L70" i="2"/>
  <c r="K70" i="2"/>
  <c r="Q70" i="2"/>
  <c r="O70" i="2"/>
  <c r="U97" i="2"/>
  <c r="C244" i="3"/>
  <c r="B244" i="3"/>
  <c r="C236" i="3"/>
  <c r="C258" i="3"/>
  <c r="AG160" i="2"/>
  <c r="E47" i="2"/>
  <c r="E48" i="2"/>
  <c r="I49" i="2"/>
  <c r="U56" i="2"/>
  <c r="E57" i="2"/>
  <c r="I62" i="2"/>
  <c r="H62" i="2"/>
  <c r="E63" i="2"/>
  <c r="E70" i="2"/>
  <c r="I71" i="2"/>
  <c r="H71" i="2"/>
  <c r="F71" i="2"/>
  <c r="T71" i="2"/>
  <c r="L71" i="2"/>
  <c r="K71" i="2"/>
  <c r="AG103" i="2"/>
  <c r="M120" i="2"/>
  <c r="AA121" i="2" s="1"/>
  <c r="M125" i="2"/>
  <c r="AA125" i="2" s="1"/>
  <c r="AG110" i="2"/>
  <c r="U73" i="2"/>
  <c r="N87" i="2"/>
  <c r="AG105" i="2"/>
  <c r="N122" i="2"/>
  <c r="AF122" i="2" s="1"/>
  <c r="C192" i="3" s="1"/>
  <c r="M124" i="2"/>
  <c r="AA124" i="2" s="1"/>
  <c r="AG112" i="2"/>
  <c r="E73" i="2"/>
  <c r="U78"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O78" i="2"/>
  <c r="U81" i="2"/>
  <c r="H87" i="2"/>
  <c r="I88" i="2"/>
  <c r="AA159" i="2"/>
  <c r="BA21" i="4"/>
  <c r="R73" i="2"/>
  <c r="Q78"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3" i="4" l="1"/>
  <c r="R28" i="4"/>
  <c r="R27" i="4"/>
  <c r="R4" i="4"/>
  <c r="R3" i="4"/>
  <c r="F43" i="4"/>
  <c r="F4" i="4"/>
  <c r="O6" i="4"/>
  <c r="B43" i="3"/>
  <c r="B72" i="3"/>
  <c r="O31" i="4"/>
  <c r="C47" i="4"/>
  <c r="BC37" i="2"/>
  <c r="BC15" i="2"/>
  <c r="AF33" i="2"/>
  <c r="F32" i="4" s="1"/>
  <c r="AF30" i="2"/>
  <c r="F29" i="4" s="1"/>
  <c r="AY32" i="2"/>
  <c r="AA29" i="2"/>
  <c r="C14" i="4"/>
  <c r="B33" i="3"/>
  <c r="BC49" i="2"/>
  <c r="AA63" i="2"/>
  <c r="AA65" i="2"/>
  <c r="AY65" i="2"/>
  <c r="AF61" i="2"/>
  <c r="AA25" i="2"/>
  <c r="AF22" i="2"/>
  <c r="F21" i="4" s="1"/>
  <c r="AY23" i="2"/>
  <c r="AF20" i="2"/>
  <c r="C12" i="4"/>
  <c r="BC20" i="2"/>
  <c r="O44" i="4"/>
  <c r="AF85" i="2"/>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F38" i="4" s="1"/>
  <c r="AF36" i="2"/>
  <c r="AF87" i="2"/>
  <c r="R38" i="4" s="1"/>
  <c r="AA89" i="2"/>
  <c r="AF84" i="2"/>
  <c r="AY87" i="2"/>
  <c r="C5" i="4"/>
  <c r="O3" i="4"/>
  <c r="B18" i="3"/>
  <c r="O7" i="4"/>
  <c r="AA21" i="2"/>
  <c r="AF25" i="2"/>
  <c r="F24" i="4" s="1"/>
  <c r="AY24" i="2"/>
  <c r="AF23" i="2"/>
  <c r="F22" i="4" s="1"/>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BC11" i="2"/>
  <c r="BC6" i="2"/>
  <c r="AA64" i="2"/>
  <c r="AF63" i="2"/>
  <c r="R14" i="4" s="1"/>
  <c r="AF60" i="2"/>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13" i="4" l="1"/>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BS41" i="2" s="1"/>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F84" i="2" s="1"/>
  <c r="BT43" i="2"/>
  <c r="F76" i="2" s="1"/>
  <c r="BT51" i="2"/>
  <c r="F92" i="2" s="1"/>
  <c r="BT41" i="2"/>
  <c r="F69" i="2" s="1"/>
  <c r="BT38" i="2"/>
  <c r="E68" i="2" s="1"/>
  <c r="BT44" i="2"/>
  <c r="E77" i="2" s="1"/>
  <c r="BT14" i="2"/>
  <c r="E20" i="2" s="1"/>
  <c r="BT42" i="2"/>
  <c r="E76" i="2" s="1"/>
  <c r="BT9" i="2"/>
  <c r="E8" i="2" s="1"/>
  <c r="BT37" i="2"/>
  <c r="F61" i="2" s="1"/>
  <c r="BT8" i="2"/>
  <c r="F9" i="2" s="1"/>
  <c r="BT18" i="2"/>
  <c r="E28" i="2" s="1"/>
  <c r="BT11" i="2"/>
  <c r="BT25" i="2"/>
  <c r="F37" i="2" s="1"/>
  <c r="BT39" i="2"/>
  <c r="F68" i="2" s="1"/>
  <c r="BT52" i="2"/>
  <c r="E93" i="2" s="1"/>
  <c r="BT16" i="2"/>
  <c r="E21" i="2" s="1"/>
  <c r="BT32" i="2"/>
  <c r="E53" i="2" s="1"/>
  <c r="BT17" i="2"/>
  <c r="F21" i="2" s="1"/>
  <c r="BT35" i="2"/>
  <c r="F60" i="2" s="1"/>
  <c r="BT26" i="2"/>
  <c r="E44" i="2" s="1"/>
  <c r="BT50" i="2"/>
  <c r="E92" i="2" s="1"/>
  <c r="BT30" i="2"/>
  <c r="E52" i="2" s="1"/>
  <c r="BT34" i="2"/>
  <c r="E60" i="2" s="1"/>
  <c r="BT7" i="2"/>
  <c r="E9" i="2" s="1"/>
  <c r="BT27" i="2"/>
  <c r="F44" i="2" s="1"/>
  <c r="BT28" i="2"/>
  <c r="E45" i="2" s="1"/>
  <c r="BT48" i="2"/>
  <c r="E85" i="2" s="1"/>
  <c r="BT20" i="2"/>
  <c r="E29" i="2" s="1"/>
  <c r="BT24" i="2"/>
  <c r="E37" i="2" s="1"/>
  <c r="BT13" i="2"/>
  <c r="BT23" i="2"/>
  <c r="F36" i="2" s="1"/>
  <c r="BT22" i="2"/>
  <c r="E36" i="2" s="1"/>
  <c r="BT31" i="2"/>
  <c r="F52" i="2" s="1"/>
  <c r="BT49" i="2"/>
  <c r="F85" i="2" s="1"/>
  <c r="BT21" i="2"/>
  <c r="F29" i="2" s="1"/>
  <c r="BT15" i="2"/>
  <c r="F20" i="2" s="1"/>
  <c r="BT45" i="2"/>
  <c r="F77" i="2" s="1"/>
  <c r="BT33" i="2"/>
  <c r="F53" i="2" s="1"/>
  <c r="BT12" i="2"/>
  <c r="E13" i="2" s="1"/>
  <c r="BT6" i="2"/>
  <c r="F8" i="2" s="1"/>
  <c r="BT10" i="2"/>
  <c r="E12" i="2" s="1"/>
  <c r="BT46" i="2"/>
  <c r="E84" i="2" s="1"/>
  <c r="BT19" i="2"/>
  <c r="F28" i="2" s="1"/>
  <c r="BT29" i="2"/>
  <c r="F45" i="2" s="1"/>
  <c r="BT53" i="2"/>
  <c r="F93" i="2" s="1"/>
  <c r="BT36" i="2"/>
  <c r="E61" i="2" s="1"/>
  <c r="F13" i="2" l="1"/>
  <c r="E14" i="2"/>
  <c r="F12" i="2"/>
  <c r="F14" i="2"/>
  <c r="BV40" i="2"/>
  <c r="E69" i="2"/>
  <c r="BU41" i="2" s="1"/>
  <c r="E5" i="2"/>
  <c r="F7" i="2"/>
  <c r="E4" i="2"/>
  <c r="E7" i="2"/>
  <c r="F5" i="2"/>
  <c r="BU8" i="2" s="1"/>
  <c r="E6" i="2"/>
  <c r="F4" i="2"/>
  <c r="BU6" i="2" s="1"/>
  <c r="F6" i="2"/>
  <c r="BU40" i="2"/>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H69" i="2" s="1"/>
  <c r="BZ42" i="2"/>
  <c r="BZ45" i="2"/>
  <c r="BZ24" i="2"/>
  <c r="BZ36" i="2"/>
  <c r="BZ39" i="2"/>
  <c r="BZ31" i="2"/>
  <c r="BZ22" i="2"/>
  <c r="BZ23" i="2"/>
  <c r="BZ33" i="2"/>
  <c r="BZ21" i="2"/>
  <c r="BZ27" i="2"/>
  <c r="BZ12" i="2"/>
  <c r="H13"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H14" i="2" s="1"/>
  <c r="BZ35" i="2"/>
  <c r="BZ18" i="2"/>
  <c r="BZ43" i="2"/>
  <c r="BZ11" i="2"/>
  <c r="I14" i="2" s="1"/>
  <c r="BZ14" i="2"/>
  <c r="BZ7" i="2"/>
  <c r="H9" i="2" s="1"/>
  <c r="CA49" i="2"/>
  <c r="CB49" i="2"/>
  <c r="CA48" i="2" l="1"/>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CC53" i="2" s="1"/>
  <c r="I7" i="2"/>
  <c r="I9" i="2"/>
  <c r="CB16" i="2"/>
  <c r="CC16" i="2" s="1"/>
  <c r="H7" i="2"/>
  <c r="I8" i="2"/>
  <c r="CB47" i="2"/>
  <c r="I4" i="2"/>
  <c r="CB6" i="2" s="1"/>
  <c r="I6" i="2"/>
  <c r="I5" i="2"/>
  <c r="CB8" i="2" s="1"/>
  <c r="H6" i="2"/>
  <c r="CA44" i="2"/>
  <c r="H5" i="2"/>
  <c r="CA52" i="2"/>
  <c r="CB13" i="2"/>
  <c r="CB37" i="2"/>
  <c r="CB51" i="2"/>
  <c r="CA38" i="2"/>
  <c r="CB48" i="2"/>
  <c r="CC48" i="2" s="1"/>
  <c r="H4" i="2"/>
  <c r="CA41" i="2"/>
  <c r="CC49" i="2"/>
  <c r="CA43" i="2" l="1"/>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C38" i="2"/>
  <c r="CB34" i="2"/>
  <c r="CC34" i="2" s="1"/>
  <c r="CA30" i="2"/>
  <c r="CC30" i="2" s="1"/>
  <c r="CA22" i="2"/>
  <c r="CC22" i="2" s="1"/>
  <c r="CA40" i="2"/>
  <c r="CB40" i="2"/>
  <c r="CC36"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L14" i="2" s="1"/>
  <c r="CE15" i="2"/>
  <c r="CE32" i="2"/>
  <c r="CE8" i="2"/>
  <c r="L9" i="2" s="1"/>
  <c r="CE31" i="2"/>
  <c r="CE45" i="2"/>
  <c r="CE12" i="2"/>
  <c r="CE22" i="2"/>
  <c r="CE37" i="2"/>
  <c r="CE9" i="2"/>
  <c r="CE49" i="2"/>
  <c r="CE28" i="2"/>
  <c r="CE21" i="2"/>
  <c r="CE48" i="2"/>
  <c r="CE10" i="2"/>
  <c r="CE13" i="2"/>
  <c r="K14" i="2" s="1"/>
  <c r="CE40" i="2"/>
  <c r="CE38" i="2"/>
  <c r="CE35" i="2"/>
  <c r="CE16" i="2"/>
  <c r="CE26" i="2"/>
  <c r="CE19" i="2"/>
  <c r="CE18" i="2"/>
  <c r="CE41" i="2"/>
  <c r="CE43" i="2"/>
  <c r="CE14" i="2"/>
  <c r="CE46" i="2"/>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N45" i="2" s="1"/>
  <c r="CH6" i="2"/>
  <c r="N4" i="2" s="1"/>
  <c r="CH34" i="2"/>
  <c r="CH16" i="2"/>
  <c r="CI16" i="2" s="1"/>
  <c r="CH44" i="2"/>
  <c r="CH25" i="2"/>
  <c r="CH8" i="2"/>
  <c r="O9" i="2" s="1"/>
  <c r="CH45" i="2"/>
  <c r="CH18" i="2"/>
  <c r="CK18" i="2" s="1"/>
  <c r="CH23" i="2"/>
  <c r="O36" i="2" s="1"/>
  <c r="CH47" i="2"/>
  <c r="CH32" i="2"/>
  <c r="CH43" i="2"/>
  <c r="CH49" i="2"/>
  <c r="CH14" i="2"/>
  <c r="CH38" i="2"/>
  <c r="N68" i="2" s="1"/>
  <c r="CH36" i="2"/>
  <c r="CH46" i="2"/>
  <c r="CH48" i="2"/>
  <c r="CH24" i="2"/>
  <c r="CH31" i="2"/>
  <c r="CH12" i="2"/>
  <c r="CH37" i="2"/>
  <c r="CH35" i="2"/>
  <c r="CH53" i="2"/>
  <c r="CK41" i="2"/>
  <c r="CH17" i="2"/>
  <c r="CH19" i="2"/>
  <c r="CH52" i="2"/>
  <c r="N93" i="2" s="1"/>
  <c r="CH51" i="2"/>
  <c r="CH9" i="2"/>
  <c r="O5" i="2" s="1"/>
  <c r="CH30" i="2"/>
  <c r="CH13" i="2"/>
  <c r="N14" i="2" s="1"/>
  <c r="CH42" i="2"/>
  <c r="CH27" i="2"/>
  <c r="CH40" i="2"/>
  <c r="N69" i="2" s="1"/>
  <c r="N9" i="2"/>
  <c r="CH26" i="2"/>
  <c r="N44" i="2" s="1"/>
  <c r="CH11" i="2"/>
  <c r="CH33" i="2"/>
  <c r="O53" i="2" s="1"/>
  <c r="CH22" i="2"/>
  <c r="N36" i="2" s="1"/>
  <c r="CH21" i="2"/>
  <c r="O29" i="2" s="1"/>
  <c r="CH15" i="2"/>
  <c r="CH10" i="2"/>
  <c r="N12" i="2" s="1"/>
  <c r="CH39" i="2"/>
  <c r="O68" i="2" s="1"/>
  <c r="CH29" i="2"/>
  <c r="O45" i="2" s="1"/>
  <c r="CH20" i="2"/>
  <c r="CH50" i="2"/>
  <c r="N92" i="2" s="1"/>
  <c r="N7" i="2"/>
  <c r="O8" i="2"/>
  <c r="O7" i="2"/>
  <c r="CJ28" i="2"/>
  <c r="O12" i="2" l="1"/>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N5" i="2"/>
  <c r="CJ41" i="2"/>
  <c r="CL41" i="2" s="1"/>
  <c r="O69" i="2"/>
  <c r="CK40" i="2" s="1"/>
  <c r="CI32" i="2"/>
  <c r="N53" i="2"/>
  <c r="CI36" i="2"/>
  <c r="N61" i="2"/>
  <c r="CK37" i="2"/>
  <c r="O61" i="2"/>
  <c r="O52" i="2"/>
  <c r="CJ30" i="2" s="1"/>
  <c r="N52" i="2"/>
  <c r="CJ31" i="2" s="1"/>
  <c r="O60" i="2"/>
  <c r="CJ34" i="2" s="1"/>
  <c r="N60" i="2"/>
  <c r="CJ35" i="2" s="1"/>
  <c r="CJ24" i="2"/>
  <c r="N37" i="2"/>
  <c r="CK25" i="2" s="1"/>
  <c r="CJ25" i="2"/>
  <c r="O37" i="2"/>
  <c r="CI24" i="2" s="1"/>
  <c r="CI27" i="2"/>
  <c r="O44" i="2"/>
  <c r="CJ26" i="2" s="1"/>
  <c r="CI45" i="2"/>
  <c r="CK20" i="2"/>
  <c r="N29" i="2"/>
  <c r="CK45" i="2"/>
  <c r="CI8" i="2"/>
  <c r="CK17" i="2"/>
  <c r="O21" i="2"/>
  <c r="CJ16" i="2"/>
  <c r="N21" i="2"/>
  <c r="CI15" i="2"/>
  <c r="O20" i="2"/>
  <c r="CJ14" i="2" s="1"/>
  <c r="CI14" i="2"/>
  <c r="N20" i="2"/>
  <c r="CI34" i="2"/>
  <c r="CJ32" i="2"/>
  <c r="CK43" i="2"/>
  <c r="CI43" i="2"/>
  <c r="CL43" i="2" s="1"/>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J15" i="2"/>
  <c r="CK35" i="2"/>
  <c r="CJ9" i="2"/>
  <c r="CJ42" i="2"/>
  <c r="CI19" i="2"/>
  <c r="CK31" i="2"/>
  <c r="CI31" i="2"/>
  <c r="CK44" i="2"/>
  <c r="CK9" i="2"/>
  <c r="CI30" i="2"/>
  <c r="CK14" i="2"/>
  <c r="CI23" i="2"/>
  <c r="CJ23" i="2"/>
  <c r="CK23" i="2"/>
  <c r="CI37" i="2"/>
  <c r="CJ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J7" i="2" l="1"/>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R61" i="2" s="1"/>
  <c r="CN32" i="2"/>
  <c r="Q53" i="2" s="1"/>
  <c r="CN45" i="2"/>
  <c r="R77" i="2" s="1"/>
  <c r="CN53" i="2"/>
  <c r="R93" i="2" s="1"/>
  <c r="CN18" i="2"/>
  <c r="Q28" i="2" s="1"/>
  <c r="CN33" i="2"/>
  <c r="R53" i="2" s="1"/>
  <c r="CN30" i="2"/>
  <c r="Q52" i="2" s="1"/>
  <c r="CN28" i="2"/>
  <c r="Q45" i="2" s="1"/>
  <c r="CN36" i="2"/>
  <c r="Q61" i="2" s="1"/>
  <c r="CN24" i="2"/>
  <c r="Q37" i="2" s="1"/>
  <c r="CN48" i="2"/>
  <c r="Q85" i="2" s="1"/>
  <c r="CN34" i="2"/>
  <c r="Q60" i="2" s="1"/>
  <c r="CN13" i="2"/>
  <c r="CN51" i="2"/>
  <c r="R92" i="2" s="1"/>
  <c r="CN43" i="2"/>
  <c r="R76" i="2" s="1"/>
  <c r="CN15" i="2"/>
  <c r="R20" i="2" s="1"/>
  <c r="CN14" i="2"/>
  <c r="Q20" i="2" s="1"/>
  <c r="CN40" i="2"/>
  <c r="Q69" i="2" s="1"/>
  <c r="CN26" i="2"/>
  <c r="Q44" i="2" s="1"/>
  <c r="CN31" i="2"/>
  <c r="R52" i="2" s="1"/>
  <c r="CN38" i="2"/>
  <c r="Q68" i="2" s="1"/>
  <c r="CN21" i="2"/>
  <c r="R29" i="2" s="1"/>
  <c r="CN23" i="2"/>
  <c r="R36" i="2" s="1"/>
  <c r="CN17" i="2"/>
  <c r="R21" i="2" s="1"/>
  <c r="CN20" i="2"/>
  <c r="Q29" i="2" s="1"/>
  <c r="CN35" i="2"/>
  <c r="R60" i="2" s="1"/>
  <c r="CN44" i="2"/>
  <c r="Q77" i="2" s="1"/>
  <c r="CN25" i="2"/>
  <c r="R37" i="2" s="1"/>
  <c r="CN39" i="2"/>
  <c r="R68" i="2" s="1"/>
  <c r="CN52" i="2"/>
  <c r="Q93" i="2" s="1"/>
  <c r="CN47" i="2"/>
  <c r="R84" i="2" s="1"/>
  <c r="CN50" i="2"/>
  <c r="Q92" i="2" s="1"/>
  <c r="CN16" i="2"/>
  <c r="Q21" i="2" s="1"/>
  <c r="CN12" i="2"/>
  <c r="Q13" i="2" s="1"/>
  <c r="CN22" i="2"/>
  <c r="Q36" i="2" s="1"/>
  <c r="CN19" i="2"/>
  <c r="R28" i="2" s="1"/>
  <c r="CN49" i="2"/>
  <c r="R85" i="2" s="1"/>
  <c r="CN41" i="2"/>
  <c r="R69" i="2" s="1"/>
  <c r="CN8" i="2"/>
  <c r="CN9" i="2"/>
  <c r="CN10" i="2"/>
  <c r="Q12" i="2" s="1"/>
  <c r="CN6" i="2"/>
  <c r="Q4" i="2" s="1"/>
  <c r="CN7" i="2"/>
  <c r="R4" i="2" s="1"/>
  <c r="CN46" i="2"/>
  <c r="Q84" i="2" s="1"/>
  <c r="CN11" i="2"/>
  <c r="R12" i="2" l="1"/>
  <c r="R14" i="2"/>
  <c r="R13" i="2"/>
  <c r="Q14" i="2"/>
  <c r="CP42" i="2"/>
  <c r="Q76" i="2"/>
  <c r="CP29" i="2"/>
  <c r="R45" i="2"/>
  <c r="CP27" i="2"/>
  <c r="R44" i="2"/>
  <c r="CP26" i="2" s="1"/>
  <c r="CO42" i="2"/>
  <c r="CO29" i="2"/>
  <c r="CQ29" i="2" s="1"/>
  <c r="CO27" i="2"/>
  <c r="CO30" i="2"/>
  <c r="CP30" i="2"/>
  <c r="CP38" i="2"/>
  <c r="CO38" i="2"/>
  <c r="R8" i="2"/>
  <c r="Q7" i="2"/>
  <c r="CP10" i="2"/>
  <c r="CO10" i="2"/>
  <c r="CP40" i="2"/>
  <c r="CO40" i="2"/>
  <c r="Q8" i="2"/>
  <c r="R5" i="2"/>
  <c r="CO8" i="2" s="1"/>
  <c r="Q6" i="2"/>
  <c r="CP7" i="2" s="1"/>
  <c r="CP39" i="2"/>
  <c r="CO39" i="2"/>
  <c r="CP14" i="2"/>
  <c r="CO14" i="2"/>
  <c r="CO33" i="2"/>
  <c r="CP33" i="2"/>
  <c r="CP16" i="2"/>
  <c r="CO16" i="2"/>
  <c r="CO36" i="2"/>
  <c r="CP36" i="2"/>
  <c r="CP25" i="2"/>
  <c r="CO25" i="2"/>
  <c r="R6" i="2"/>
  <c r="Q9" i="2"/>
  <c r="CO47" i="2"/>
  <c r="CP47" i="2"/>
  <c r="CO52" i="2"/>
  <c r="CP52" i="2"/>
  <c r="R9" i="2"/>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O21" i="2"/>
  <c r="CP21" i="2"/>
  <c r="CO6" i="2"/>
  <c r="CO7" i="2" l="1"/>
  <c r="CQ7" i="2" s="1"/>
  <c r="CO26" i="2"/>
  <c r="CQ26" i="2" s="1"/>
  <c r="CQ42" i="2"/>
  <c r="CQ27" i="2"/>
  <c r="CP8" i="2"/>
  <c r="CQ8" i="2" s="1"/>
  <c r="CP6" i="2"/>
  <c r="CQ6" i="2" s="1"/>
  <c r="CQ16" i="2"/>
  <c r="CQ30" i="2"/>
  <c r="CQ36" i="2"/>
  <c r="CQ31" i="2"/>
  <c r="CQ37" i="2"/>
  <c r="CQ11" i="2"/>
  <c r="CQ10" i="2"/>
  <c r="CQ49" i="2"/>
  <c r="CQ53" i="2"/>
  <c r="CQ48" i="2"/>
  <c r="CQ17" i="2"/>
  <c r="CQ52"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CS31" i="2"/>
  <c r="CS39" i="2"/>
  <c r="CS28" i="2"/>
  <c r="CS44" i="2"/>
  <c r="CS20" i="2"/>
  <c r="CS21" i="2"/>
  <c r="CS38" i="2"/>
  <c r="CS30" i="2"/>
  <c r="CS32" i="2"/>
  <c r="CS17" i="2"/>
  <c r="CS7" i="2"/>
  <c r="U4" i="2" s="1"/>
  <c r="CS23" i="2"/>
  <c r="CS48" i="2"/>
  <c r="CS12" i="2"/>
  <c r="CS34" i="2"/>
  <c r="CS16" i="2"/>
  <c r="CS10" i="2"/>
  <c r="CS9" i="2"/>
  <c r="T6" i="2" s="1"/>
  <c r="CS40" i="2"/>
  <c r="CS6" i="2"/>
  <c r="T7" i="2" s="1"/>
  <c r="CS11" i="2"/>
  <c r="U14" i="2" s="1"/>
  <c r="CS27" i="2"/>
  <c r="CS46" i="2"/>
  <c r="CS42" i="2"/>
  <c r="CS25" i="2"/>
  <c r="CS19" i="2"/>
  <c r="CS33" i="2"/>
  <c r="CS13" i="2"/>
  <c r="T14" i="2" s="1"/>
  <c r="CS37" i="2"/>
  <c r="CS36" i="2"/>
  <c r="CS51" i="2"/>
  <c r="CS50" i="2"/>
  <c r="CS45" i="2"/>
  <c r="CS24" i="2"/>
  <c r="CS47" i="2"/>
  <c r="CS43" i="2"/>
  <c r="CS35" i="2"/>
  <c r="CS22" i="2"/>
  <c r="U7" i="2"/>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39" i="2"/>
  <c r="CU6" i="2"/>
  <c r="CU26" i="2"/>
  <c r="CU52" i="2"/>
  <c r="CU13" i="2"/>
  <c r="CU38" i="2"/>
  <c r="CU35" i="2"/>
  <c r="CU21" i="2"/>
  <c r="CU11" i="2"/>
  <c r="CU33" i="2"/>
  <c r="CU48" i="2"/>
  <c r="CU27" i="2"/>
  <c r="CU29" i="2"/>
  <c r="CU12" i="2"/>
  <c r="CU20" i="2"/>
  <c r="CU18" i="2"/>
  <c r="CU10" i="2"/>
  <c r="CU8" i="2"/>
  <c r="CU19" i="2" l="1"/>
  <c r="CU53" i="2"/>
  <c r="CU7" i="2"/>
  <c r="CU43" i="2"/>
  <c r="CU51" i="2"/>
  <c r="CU30" i="2"/>
  <c r="CU45" i="2"/>
  <c r="CU25" i="2"/>
  <c r="CU9" i="2"/>
  <c r="CU31" i="2"/>
  <c r="CU40" i="2"/>
  <c r="CU23" i="2"/>
  <c r="CV50" i="2" l="1"/>
  <c r="CW50" i="2" s="1"/>
  <c r="CV26" i="2"/>
  <c r="CW26" i="2" s="1"/>
  <c r="CV15" i="2"/>
  <c r="CW15" i="2" s="1"/>
  <c r="CV42" i="2"/>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32" i="2"/>
  <c r="CW9" i="2"/>
  <c r="CW42"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<sst xmlns="http://schemas.openxmlformats.org/spreadsheetml/2006/main" count="6754" uniqueCount="1516">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</sst>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Hipervínculo" xfId="1" builtinId="8" hidden="1"/>
    <cellStyle name="Hipervínculo 2" xfId="7" xr:uid="{00000000-0005-0000-0000-000007000000}"/>
    <cellStyle name="Hipervínculo visitado" xfId="2" builtinId="9"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6" dataDxfId="5">
  <sortState xmlns:xlrd2="http://schemas.microsoft.com/office/spreadsheetml/2017/richdata2" ref="A2:D13">
    <sortCondition ref="D2:D13"/>
  </sortState>
  <tableColumns count="4">
    <tableColumn id="1" xr3:uid="{00000000-0010-0000-0000-000001000000}" name="Num" dataDxfId="4">
      <calculatedColumnFormula>NOT(ISERROR(VLOOKUP(Equipos!$B2,#REF!,1,FALSE)))</calculatedColumnFormula>
    </tableColumn>
    <tableColumn id="2" xr3:uid="{00000000-0010-0000-0000-000002000000}" name="NombreEquipo" dataDxfId="3">
      <calculatedColumnFormula>+INDEX(Idiomas!$D$202:$D$249,MATCH(T_Equipos[[#This Row],[Num]],Idiomas!$C$202:$C$249,0))</calculatedColumnFormula>
    </tableColumn>
    <tableColumn id="4" xr3:uid="{00000000-0010-0000-0000-000004000000}" name="Grupo" dataDxfId="2"/>
    <tableColumn id="3" xr3:uid="{00000000-0010-0000-0000-000003000000}" name="Rank" dataDxfId="1"/>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3"/>
  <sheetViews>
    <sheetView showGridLines="0" showRowColHeaders="0" tabSelected="1" zoomScaleNormal="100" workbookViewId="0">
      <selection activeCell="AY11" sqref="AY11"/>
    </sheetView>
  </sheetViews>
  <sheetFormatPr baseColWidth="10" defaultColWidth="0" defaultRowHeight="14.4"/>
  <cols>
    <col min="1" max="1" width="3.77734375" style="292" customWidth="1"/>
    <col min="2" max="2" width="15.77734375" style="292" customWidth="1"/>
    <col min="3" max="3" width="26.77734375" style="292" customWidth="1"/>
    <col min="4" max="4" width="5.77734375" style="292" customWidth="1"/>
    <col min="5" max="9" width="11.33203125" style="312" customWidth="1"/>
    <col min="10" max="10" width="5.77734375" style="312" customWidth="1"/>
    <col min="11" max="11" width="26.77734375" style="312" customWidth="1"/>
    <col min="12" max="12" width="15.77734375" style="292" customWidth="1"/>
    <col min="13" max="13" width="10.44140625" style="292" customWidth="1"/>
    <col min="14" max="15" width="10.77734375" style="292" customWidth="1"/>
    <col min="16" max="16" width="12.109375" style="292" customWidth="1"/>
    <col min="17" max="17" width="6.109375" style="292" customWidth="1"/>
    <col min="18" max="31" width="10.77734375" style="292" customWidth="1"/>
    <col min="32" max="34" width="10.77734375" hidden="1" customWidth="1"/>
    <col min="35" max="16384" width="10.77734375" hidden="1"/>
  </cols>
  <sheetData>
    <row r="1" spans="1:5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4.950000000000003" customHeight="1">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19.95" customHeight="1" thickBot="1">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05" customHeight="1" thickBot="1">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19.95" customHeight="1" thickBot="1">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05" customHeight="1" thickBot="1">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19.95" customHeight="1" thickBot="1">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05" customHeight="1" thickBot="1">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19.95" customHeight="1">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05" customHeight="1">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05" customHeight="1">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049999999999997" customHeight="1" thickBot="1">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049999999999997" customHeight="1" thickBot="1">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05" customHeight="1" thickBot="1">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19.95" customHeight="1" thickBot="1">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c r="AC52" s="292">
        <v>1</v>
      </c>
      <c r="AD52" s="292">
        <v>1</v>
      </c>
    </row>
    <row r="53" spans="1:31">
      <c r="AC53" s="292">
        <v>2</v>
      </c>
      <c r="AD53" s="292">
        <v>2</v>
      </c>
    </row>
    <row r="60" spans="1:31">
      <c r="AC60" s="292">
        <v>0</v>
      </c>
      <c r="AD60" s="292">
        <v>0</v>
      </c>
    </row>
    <row r="61" spans="1:31">
      <c r="AC61" s="292">
        <v>1</v>
      </c>
      <c r="AD61" s="292">
        <v>1</v>
      </c>
    </row>
    <row r="68" spans="29:30">
      <c r="AC68" s="292">
        <v>3</v>
      </c>
      <c r="AD68" s="292">
        <v>1</v>
      </c>
    </row>
    <row r="69" spans="29:30">
      <c r="AC69" s="292">
        <v>1</v>
      </c>
      <c r="AD69" s="292">
        <v>4</v>
      </c>
    </row>
    <row r="76" spans="29:30">
      <c r="AC76" s="292">
        <v>3</v>
      </c>
      <c r="AD76" s="292">
        <v>0</v>
      </c>
    </row>
    <row r="77" spans="29:30">
      <c r="AC77" s="292">
        <v>3</v>
      </c>
      <c r="AD77" s="292">
        <v>1</v>
      </c>
    </row>
    <row r="84" spans="29:30">
      <c r="AC84" s="292">
        <v>1</v>
      </c>
      <c r="AD84" s="292">
        <v>1</v>
      </c>
    </row>
    <row r="85" spans="29:30">
      <c r="AC85" s="292">
        <v>1</v>
      </c>
      <c r="AD85" s="292">
        <v>3</v>
      </c>
    </row>
    <row r="92" spans="29:30">
      <c r="AC92" s="292">
        <v>4</v>
      </c>
      <c r="AD92" s="292">
        <v>2</v>
      </c>
    </row>
    <row r="93" spans="29:30">
      <c r="AC93" s="292">
        <v>1</v>
      </c>
      <c r="AD93"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 zoomScaleNormal="100" workbookViewId="0">
      <selection activeCell="AY11" sqref="AY11"/>
    </sheetView>
  </sheetViews>
  <sheetFormatPr baseColWidth="10" defaultColWidth="0" defaultRowHeight="14.4"/>
  <cols>
    <col min="1" max="2" width="10.77734375" hidden="1" customWidth="1"/>
    <col min="3" max="3" width="2.109375" hidden="1" customWidth="1"/>
    <col min="4" max="10" width="8.77734375" hidden="1" customWidth="1"/>
    <col min="11" max="11" width="12.77734375" hidden="1" customWidth="1"/>
    <col min="12" max="14" width="8.77734375" hidden="1" customWidth="1"/>
    <col min="15" max="15" width="17" hidden="1" customWidth="1"/>
    <col min="16" max="21" width="8.77734375" hidden="1" customWidth="1"/>
    <col min="22" max="22" width="3.44140625" customWidth="1"/>
    <col min="23" max="23" width="6.6640625" customWidth="1"/>
    <col min="24" max="24" width="11.77734375" customWidth="1"/>
    <col min="25" max="25" width="6.77734375" customWidth="1"/>
    <col min="26" max="26" width="5.109375" customWidth="1"/>
    <col min="27" max="27" width="20.77734375" customWidth="1"/>
    <col min="28" max="28" width="3.33203125" customWidth="1"/>
    <col min="29" max="30" width="5.33203125" customWidth="1"/>
    <col min="31" max="31" width="3.33203125" customWidth="1"/>
    <col min="32" max="32" width="20.77734375" customWidth="1"/>
    <col min="33" max="33" width="3.44140625" customWidth="1"/>
    <col min="34" max="34" width="5.109375" style="187" customWidth="1"/>
    <col min="35" max="35" width="3.33203125" style="187" customWidth="1"/>
    <col min="36" max="36" width="4.33203125" customWidth="1"/>
    <col min="37" max="37" width="3.33203125" customWidth="1"/>
    <col min="38" max="38" width="20.77734375" customWidth="1"/>
    <col min="39" max="39" width="5.77734375" customWidth="1"/>
    <col min="40" max="43" width="4.33203125" customWidth="1"/>
    <col min="44" max="45" width="4.6640625" customWidth="1"/>
    <col min="46" max="46" width="4.77734375" customWidth="1"/>
    <col min="47" max="47" width="3.33203125" style="190" customWidth="1"/>
    <col min="48" max="48" width="18.44140625" style="194" customWidth="1"/>
    <col min="49" max="49" width="3.44140625" style="7" customWidth="1"/>
    <col min="50" max="50" width="3.44140625" style="4" customWidth="1"/>
    <col min="51" max="51" width="19.6640625" style="15" customWidth="1"/>
    <col min="52" max="52" width="15.77734375" style="7" customWidth="1"/>
    <col min="53" max="53" width="3" customWidth="1"/>
    <col min="54" max="54" width="11" hidden="1" customWidth="1"/>
    <col min="55" max="55" width="6" hidden="1" customWidth="1"/>
    <col min="56" max="56" width="17" hidden="1" customWidth="1"/>
    <col min="57" max="57" width="9.33203125" hidden="1" customWidth="1"/>
    <col min="58" max="58" width="2.109375" hidden="1" customWidth="1"/>
    <col min="59" max="59" width="8.33203125" hidden="1" customWidth="1"/>
    <col min="60" max="60" width="2.109375" hidden="1" customWidth="1"/>
    <col min="61" max="61" width="2.44140625" hidden="1" customWidth="1"/>
    <col min="62" max="62" width="8.109375" hidden="1" customWidth="1"/>
    <col min="63" max="63" width="4.77734375" hidden="1" customWidth="1"/>
    <col min="64" max="64" width="5.77734375" hidden="1" customWidth="1"/>
    <col min="65" max="66" width="5.6640625" hidden="1" customWidth="1"/>
    <col min="67" max="69" width="10" hidden="1" customWidth="1"/>
    <col min="70" max="71" width="7.33203125" hidden="1" customWidth="1"/>
    <col min="72" max="100" width="8" hidden="1" customWidth="1"/>
    <col min="101" max="101" width="4.109375" hidden="1" customWidth="1"/>
    <col min="102" max="102" width="7.33203125" hidden="1" customWidth="1"/>
    <col min="104" max="104" width="3.109375" hidden="1" customWidth="1"/>
    <col min="105" max="105" width="8.6640625" hidden="1" customWidth="1"/>
    <col min="106" max="106" width="8" hidden="1" customWidth="1"/>
    <col min="107" max="107" width="15.77734375" hidden="1" customWidth="1"/>
    <col min="108" max="108" width="11" hidden="1" customWidth="1"/>
    <col min="109" max="109" width="2.6640625" hidden="1" customWidth="1"/>
    <col min="110" max="112" width="11" hidden="1" customWidth="1"/>
    <col min="114" max="116" width="11" hidden="1" customWidth="1"/>
    <col min="118" max="118" width="17.77734375" hidden="1" customWidth="1"/>
    <col min="119" max="119" width="10.77734375" hidden="1" customWidth="1"/>
    <col min="120" max="120" width="11" hidden="1" customWidth="1"/>
    <col min="121" max="123" width="10.77734375" hidden="1" customWidth="1"/>
    <col min="125" max="127" width="10.77734375" hidden="1" customWidth="1"/>
    <col min="128" max="16384" width="10.77734375" hidden="1"/>
  </cols>
  <sheetData>
    <row r="1" spans="1:121" ht="30" customHeight="1">
      <c r="A1" s="16"/>
      <c r="B1" s="16"/>
      <c r="C1" s="16"/>
      <c r="D1" s="16"/>
      <c r="E1" s="16"/>
      <c r="F1" s="16"/>
      <c r="G1" s="16"/>
      <c r="H1" s="16"/>
      <c r="I1" s="16"/>
      <c r="J1" s="16"/>
      <c r="K1" s="16"/>
      <c r="L1" s="16"/>
      <c r="M1" s="16"/>
      <c r="N1" s="16"/>
      <c r="O1" s="16"/>
      <c r="P1" s="16"/>
      <c r="Q1" s="16"/>
      <c r="R1" s="16"/>
      <c r="S1" s="16"/>
      <c r="T1" s="16"/>
      <c r="U1" s="16"/>
      <c r="V1" s="281"/>
      <c r="W1" s="635"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050000000000001" customHeight="1" thickBot="1">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05" customHeight="1" thickBot="1">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05" customHeight="1" thickBot="1">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9"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05" customHeight="1">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05" customHeight="1">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7"/>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6</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05" customHeight="1">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7"/>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6</v>
      </c>
      <c r="DL7" s="16">
        <f t="shared" ca="1" si="49"/>
        <v>1</v>
      </c>
      <c r="DM7" s="16" t="str">
        <f t="shared" ca="1" si="50"/>
        <v>2.1</v>
      </c>
      <c r="DN7" s="16">
        <f t="array" aca="1" ref="DN7" ca="1">OFFSET(Horarios!$P$3,DJ7-1,0,DL7,1)</f>
        <v>2</v>
      </c>
      <c r="DO7" s="16"/>
      <c r="DP7" s="16" t="s">
        <v>71</v>
      </c>
      <c r="DQ7" s="16" t="str">
        <f t="shared" ca="1" si="51"/>
        <v>Corea del Sur</v>
      </c>
    </row>
    <row r="8" spans="1:121" ht="16.05"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7"/>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6</v>
      </c>
      <c r="DL8" s="16">
        <f t="shared" ca="1" si="49"/>
        <v>1</v>
      </c>
      <c r="DM8" s="16" t="str">
        <f t="shared" ca="1" si="50"/>
        <v>3.1</v>
      </c>
      <c r="DN8" s="16">
        <f t="array" aca="1" ref="DN8" ca="1">OFFSET(Horarios!$P$3,DJ8-1,0,DL8,1)</f>
        <v>3</v>
      </c>
      <c r="DO8" s="16"/>
      <c r="DP8" s="16" t="s">
        <v>72</v>
      </c>
      <c r="DQ8" s="16" t="str">
        <f t="shared" ca="1" si="51"/>
        <v>República Checa</v>
      </c>
    </row>
    <row r="9" spans="1:121" ht="16.05"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8"/>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6</v>
      </c>
      <c r="DL9" s="16">
        <f t="shared" ca="1" si="49"/>
        <v>1</v>
      </c>
      <c r="DM9" s="16" t="str">
        <f t="shared" ca="1" si="50"/>
        <v>4.1</v>
      </c>
      <c r="DN9" s="16">
        <f t="array" aca="1" ref="DN9" ca="1">OFFSET(Horarios!$P$3,DJ9-1,0,DL9,1)</f>
        <v>4</v>
      </c>
      <c r="DO9" s="16"/>
      <c r="DP9" s="16" t="s">
        <v>73</v>
      </c>
      <c r="DQ9" s="16" t="str">
        <f t="shared" ca="1" si="51"/>
        <v>Sudáfrica</v>
      </c>
    </row>
    <row r="10" spans="1:121" ht="16.05" customHeight="1" thickBot="1">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(3)</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0</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6</v>
      </c>
      <c r="DL10" s="16">
        <f t="shared" ca="1" si="49"/>
        <v>1</v>
      </c>
      <c r="DM10" s="16" t="str">
        <f t="shared" ca="1" si="50"/>
        <v>1.1</v>
      </c>
      <c r="DN10" s="16">
        <f t="array" aca="1" ref="DN10" ca="1">OFFSET(Horarios!$P$3,DJ10-1,0,DL10,1)</f>
        <v>1</v>
      </c>
      <c r="DO10" s="16"/>
      <c r="DP10" s="16" t="s">
        <v>74</v>
      </c>
      <c r="DQ10" s="16" t="str">
        <f t="shared" ca="1" si="51"/>
        <v>Suiza</v>
      </c>
    </row>
    <row r="11" spans="1:121" ht="16.05"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(3)</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6</v>
      </c>
      <c r="DL11" s="16">
        <f t="shared" ca="1" si="49"/>
        <v>1</v>
      </c>
      <c r="DM11" s="16" t="str">
        <f t="shared" ca="1" si="50"/>
        <v>2.1</v>
      </c>
      <c r="DN11" s="16">
        <f t="array" aca="1" ref="DN11" ca="1">OFFSET(Horarios!$P$3,DJ11-1,0,DL11,1)</f>
        <v>2</v>
      </c>
      <c r="DO11" s="16"/>
      <c r="DP11" s="16" t="s">
        <v>75</v>
      </c>
      <c r="DQ11" s="16" t="str">
        <f t="shared" ca="1" si="51"/>
        <v>Canadá</v>
      </c>
    </row>
    <row r="12" spans="1:121" ht="16.05" customHeight="1" thickBot="1">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(3)</v>
      </c>
      <c r="F12" s="16" t="str">
        <f t="shared" ref="F12:F17" ca="1" si="54">IF(D12="Pendiente","-",INDEX($BT$6:$BT$53,MATCH($AF12,$BD$6:$BD$53,0)))</f>
        <v>P.2 (3)</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26"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1</v>
      </c>
      <c r="BG12" s="16">
        <f t="shared" ca="1" si="18"/>
        <v>0</v>
      </c>
      <c r="BH12" s="16">
        <f t="shared" ca="1" si="19"/>
        <v>1</v>
      </c>
      <c r="BI12" s="16">
        <f t="shared" ca="1" si="20"/>
        <v>0</v>
      </c>
      <c r="BJ12" s="16">
        <f t="shared" ca="1" si="21"/>
        <v>1</v>
      </c>
      <c r="BK12" s="16">
        <f t="shared" ca="1" si="22"/>
        <v>1</v>
      </c>
      <c r="BL12" s="16">
        <f t="shared" ca="1" si="23"/>
        <v>0</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2</v>
      </c>
      <c r="BT12" s="16" t="str">
        <f ca="1">IF(COUNTIFS($BS$6:$BS$53,BS12,$BC$6:$BC$53,INDEX(T_Equipos[Grupo],MATCH(BD12,T_Equipos[NombreEquipo],0)))=1,"-","P."&amp;BS12&amp;" ("&amp;COUNTIFS($BS$6:$BS$53,BS12,$BC$6:$BC$53,INDEX(T_Equipos[Grupo],MATCH(BD12,T_Equipos[NombreEquipo],0)))&amp;")")</f>
        <v>P.2 (3)</v>
      </c>
      <c r="BU12" s="16">
        <f t="shared" ca="1" si="28"/>
        <v>0</v>
      </c>
      <c r="BV12" s="16">
        <f t="shared" ca="1" si="29"/>
        <v>0</v>
      </c>
      <c r="BW12" s="16">
        <f t="shared" ca="1" si="30"/>
        <v>0</v>
      </c>
      <c r="BX12" s="16">
        <f t="shared" ca="1" si="31"/>
        <v>0</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6</v>
      </c>
      <c r="DL12" s="16">
        <f t="shared" ca="1" si="49"/>
        <v>1</v>
      </c>
      <c r="DM12" s="16" t="str">
        <f t="shared" ca="1" si="50"/>
        <v>3.1</v>
      </c>
      <c r="DN12" s="16">
        <f t="array" aca="1" ref="DN12" ca="1">OFFSET(Horarios!$P$3,DJ12-1,0,DL12,1)</f>
        <v>3</v>
      </c>
      <c r="DO12" s="16"/>
      <c r="DP12" s="16" t="s">
        <v>77</v>
      </c>
      <c r="DQ12" s="16" t="str">
        <f t="shared" ca="1" si="51"/>
        <v>Bosnia y Herzegovina</v>
      </c>
    </row>
    <row r="13" spans="1:121" ht="16.05" customHeight="1">
      <c r="A13" s="16" t="str">
        <f ca="1">+Equipos!B6</f>
        <v>Canadá</v>
      </c>
      <c r="B13" s="16"/>
      <c r="C13" s="16"/>
      <c r="D13" s="16" t="str">
        <f t="shared" si="52"/>
        <v>Empate</v>
      </c>
      <c r="E13" s="16" t="str">
        <f t="shared" ca="1" si="53"/>
        <v>P.2 (3)</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7"/>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6</v>
      </c>
      <c r="DL13" s="16">
        <f t="shared" ca="1" si="49"/>
        <v>1</v>
      </c>
      <c r="DM13" s="16" t="str">
        <f t="shared" ca="1" si="50"/>
        <v>4.1</v>
      </c>
      <c r="DN13" s="16">
        <f t="array" aca="1" ref="DN13" ca="1">OFFSET(Horarios!$P$3,DJ13-1,0,DL13,1)</f>
        <v>4</v>
      </c>
      <c r="DO13" s="16"/>
      <c r="DP13" s="16" t="s">
        <v>78</v>
      </c>
      <c r="DQ13" s="16" t="str">
        <f t="shared" ca="1" si="51"/>
        <v>Catar</v>
      </c>
    </row>
    <row r="14" spans="1:121" ht="16.05" customHeight="1">
      <c r="A14" s="16" t="str">
        <f ca="1">+Equipos!B7</f>
        <v>Bosnia y Herzegovina</v>
      </c>
      <c r="B14" s="16"/>
      <c r="C14" s="16"/>
      <c r="D14" s="16" t="str">
        <f t="shared" si="52"/>
        <v>Local</v>
      </c>
      <c r="E14" s="16" t="str">
        <f t="shared" ca="1" si="53"/>
        <v>-</v>
      </c>
      <c r="F14" s="16" t="str">
        <f t="shared" ca="1" si="54"/>
        <v>P.2 (3)</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7"/>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4</v>
      </c>
      <c r="AN14" s="36">
        <f t="shared" ca="1" si="67"/>
        <v>2</v>
      </c>
      <c r="AO14" s="36">
        <f t="shared" ca="1" si="67"/>
        <v>1</v>
      </c>
      <c r="AP14" s="36">
        <f t="shared" ca="1" si="67"/>
        <v>1</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8"/>
        <v>0</v>
      </c>
      <c r="BV14" s="16">
        <f t="shared" ca="1" si="29"/>
        <v>1</v>
      </c>
      <c r="BW14" s="16">
        <f t="shared" ca="1" si="30"/>
        <v>0</v>
      </c>
      <c r="BX14" s="16">
        <f t="shared" ca="1" si="31"/>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32"/>
        <v>1</v>
      </c>
      <c r="CB14" s="16">
        <f t="shared" ca="1" si="33"/>
        <v>1</v>
      </c>
      <c r="CC14" s="16">
        <f t="shared" ca="1" si="34"/>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35"/>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6"/>
        <v>0</v>
      </c>
      <c r="CJ14" s="16">
        <f t="shared" ca="1" si="37"/>
        <v>1</v>
      </c>
      <c r="CK14" s="16">
        <f t="shared" ca="1" si="38"/>
        <v>0</v>
      </c>
      <c r="CL14" s="16">
        <f t="shared" ca="1" si="39"/>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40"/>
        <v>1</v>
      </c>
      <c r="CP14" s="16">
        <f t="shared" ca="1" si="41"/>
        <v>1</v>
      </c>
      <c r="CQ14" s="16">
        <f t="shared" ca="1" si="42"/>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43"/>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44"/>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45"/>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46"/>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47"/>
        <v>1</v>
      </c>
      <c r="DK14" s="16">
        <f t="shared" ca="1" si="48"/>
        <v>4</v>
      </c>
      <c r="DL14" s="16">
        <f t="shared" ca="1" si="49"/>
        <v>1</v>
      </c>
      <c r="DM14" s="16" t="str">
        <f t="shared" ca="1" si="50"/>
        <v>1.1</v>
      </c>
      <c r="DN14" s="16">
        <f t="array" aca="1" ref="DN14" ca="1">OFFSET(Horarios!$P$3,DJ14-1,0,DL14,1)</f>
        <v>1</v>
      </c>
      <c r="DO14" s="16"/>
      <c r="DP14" s="16" t="s">
        <v>79</v>
      </c>
      <c r="DQ14" s="16" t="str">
        <f t="shared" ca="1" si="51"/>
        <v>Escocia</v>
      </c>
    </row>
    <row r="15" spans="1:121" ht="16.05" customHeight="1">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7"/>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Canadá</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45"/>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46"/>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47"/>
        <v>2</v>
      </c>
      <c r="DK15" s="16">
        <f t="shared" ca="1" si="48"/>
        <v>4</v>
      </c>
      <c r="DL15" s="16">
        <f t="shared" ca="1" si="49"/>
        <v>1</v>
      </c>
      <c r="DM15" s="16" t="str">
        <f t="shared" ca="1" si="50"/>
        <v>2.1</v>
      </c>
      <c r="DN15" s="16">
        <f t="array" aca="1" ref="DN15" ca="1">OFFSET(Horarios!$P$3,DJ15-1,0,DL15,1)</f>
        <v>2</v>
      </c>
      <c r="DO15" s="16"/>
      <c r="DP15" s="16" t="s">
        <v>80</v>
      </c>
      <c r="DQ15" s="16" t="str">
        <f t="shared" ca="1" si="51"/>
        <v>Brasil</v>
      </c>
    </row>
    <row r="16" spans="1:121" ht="16.05" customHeight="1">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7"/>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2</v>
      </c>
      <c r="DK16" s="16">
        <f t="shared" ca="1" si="48"/>
        <v>4</v>
      </c>
      <c r="DL16" s="16">
        <f t="shared" ca="1" si="49"/>
        <v>1</v>
      </c>
      <c r="DM16" s="16" t="str">
        <f t="shared" ca="1" si="50"/>
        <v>2.1</v>
      </c>
      <c r="DN16" s="16">
        <f t="array" aca="1" ref="DN16" ca="1">OFFSET(Horarios!$P$3,DJ16-1,0,DL16,1)</f>
        <v>2</v>
      </c>
      <c r="DO16" s="16"/>
      <c r="DP16" s="16" t="s">
        <v>81</v>
      </c>
      <c r="DQ16" s="16" t="str">
        <f t="shared" ca="1" si="51"/>
        <v>Marruecos</v>
      </c>
    </row>
    <row r="17" spans="1:121" ht="16.05" customHeight="1" thickBot="1">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8"/>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1</v>
      </c>
      <c r="AO17" s="78">
        <f t="shared" ca="1" si="67"/>
        <v>0</v>
      </c>
      <c r="AP17" s="78">
        <f t="shared" ca="1" si="67"/>
        <v>1</v>
      </c>
      <c r="AQ17" s="78">
        <f t="shared" ca="1" si="67"/>
        <v>0</v>
      </c>
      <c r="AR17" s="78">
        <f t="shared" ca="1" si="67"/>
        <v>1</v>
      </c>
      <c r="AS17" s="78">
        <f t="shared" ca="1" si="67"/>
        <v>1</v>
      </c>
      <c r="AT17" s="79">
        <f t="shared" ca="1" si="67"/>
        <v>0</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1</v>
      </c>
      <c r="BG17" s="16">
        <f t="shared" ca="1" si="18"/>
        <v>1</v>
      </c>
      <c r="BH17" s="16">
        <f t="shared" ca="1" si="19"/>
        <v>0</v>
      </c>
      <c r="BI17" s="16">
        <f t="shared" ca="1" si="20"/>
        <v>0</v>
      </c>
      <c r="BJ17" s="16">
        <f t="shared" ca="1" si="21"/>
        <v>1</v>
      </c>
      <c r="BK17" s="16">
        <f t="shared" ca="1" si="22"/>
        <v>0</v>
      </c>
      <c r="BL17" s="16">
        <f t="shared" ca="1" si="23"/>
        <v>1</v>
      </c>
      <c r="BM17" s="16" t="str">
        <f t="shared" ca="1" si="24"/>
        <v>1C</v>
      </c>
      <c r="BN17" s="16" t="str">
        <f t="shared" ca="1" si="25"/>
        <v>1C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46"/>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47"/>
        <v>4</v>
      </c>
      <c r="DK17" s="16">
        <f t="shared" ca="1" si="48"/>
        <v>4</v>
      </c>
      <c r="DL17" s="16">
        <f t="shared" ca="1" si="49"/>
        <v>1</v>
      </c>
      <c r="DM17" s="16" t="str">
        <f t="shared" ca="1" si="50"/>
        <v>4.1</v>
      </c>
      <c r="DN17" s="16">
        <f t="array" aca="1" ref="DN17" ca="1">OFFSET(Horarios!$P$3,DJ17-1,0,DL17,1)</f>
        <v>4</v>
      </c>
      <c r="DO17" s="16"/>
      <c r="DP17" s="16" t="s">
        <v>82</v>
      </c>
      <c r="DQ17" s="16" t="str">
        <f t="shared" ca="1" si="51"/>
        <v>Haití</v>
      </c>
    </row>
    <row r="18" spans="1:121" ht="16.05" customHeight="1" thickBot="1">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4</v>
      </c>
      <c r="DL18" s="16">
        <f t="shared" ca="1" si="49"/>
        <v>1</v>
      </c>
      <c r="DM18" s="16" t="str">
        <f t="shared" ca="1" si="50"/>
        <v>1.1</v>
      </c>
      <c r="DN18" s="16">
        <f t="array" aca="1" ref="DN18" ca="1">OFFSET(Horarios!$P$3,DJ18-1,0,DL18,1)</f>
        <v>1</v>
      </c>
      <c r="DO18" s="16"/>
      <c r="DP18" s="16" t="s">
        <v>83</v>
      </c>
      <c r="DQ18" s="16" t="str">
        <f t="shared" ca="1" si="51"/>
        <v>Estados Unidos</v>
      </c>
    </row>
    <row r="19" spans="1:121" ht="16.05"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4</v>
      </c>
      <c r="DL19" s="16">
        <f t="shared" ca="1" si="49"/>
        <v>1</v>
      </c>
      <c r="DM19" s="16" t="str">
        <f t="shared" ca="1" si="50"/>
        <v>2.1</v>
      </c>
      <c r="DN19" s="16">
        <f t="array" aca="1" ref="DN19" ca="1">OFFSET(Horarios!$P$3,DJ19-1,0,DL19,1)</f>
        <v>2</v>
      </c>
      <c r="DO19" s="16"/>
      <c r="DP19" s="16" t="s">
        <v>84</v>
      </c>
      <c r="DQ19" s="16" t="str">
        <f t="shared" ca="1" si="51"/>
        <v>Australia</v>
      </c>
    </row>
    <row r="20" spans="1:121" ht="16.05" customHeight="1" thickBot="1">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P.2 (2)</v>
      </c>
      <c r="F20" s="16" t="str">
        <f t="shared" ref="F20:F25" ca="1" si="70">IF(D20="Pendiente","-",INDEX($BT$6:$BT$53,MATCH($AF20,$BD$6:$BD$53,0)))</f>
        <v>P.2 (2)</v>
      </c>
      <c r="G20" s="16"/>
      <c r="H20" s="16" t="str">
        <f t="shared" ref="H20:H25" ca="1" si="71">IF(D20="Pendiente","-",INDEX($BZ$6:$BZ$53,MATCH($AA20,$BD$6:$BD$53,0)))</f>
        <v>P.2 (2)</v>
      </c>
      <c r="I20" s="16" t="str">
        <f t="shared" ref="I20:I25" ca="1" si="72">IF(D20="Pendiente","-",INDEX($BZ$6:$BZ$53,MATCH($AF20,$BD$6:$BD$53,0)))</f>
        <v>P.2 (2)</v>
      </c>
      <c r="J20" s="16"/>
      <c r="K20" s="16" t="str">
        <f t="shared" ref="K20:K25" ca="1" si="73">IF(D20="Pendiente","-",INDEX($CE$6:$CE$53,MATCH($AA20,$BD$6:$BD$53,0)))</f>
        <v>P.2 (2)</v>
      </c>
      <c r="L20" s="16" t="str">
        <f t="shared" ref="L20:L25" ca="1" si="74">IF(D20="Pendiente","-",INDEX($CE$6:$CE$53,MATCH($AF20,$BD$6:$BD$53,0)))</f>
        <v>P.2 (2)</v>
      </c>
      <c r="M20" s="16"/>
      <c r="N20" s="16" t="str">
        <f t="shared" ref="N20:N25" ca="1" si="75">IF(D20="Pendiente","-",INDEX($CH$6:$CH$53,MATCH($AA20,$BD$6:$BD$53,0)))</f>
        <v>P.2 (2)</v>
      </c>
      <c r="O20" s="16" t="str">
        <f t="shared" ref="O20:O25" ca="1" si="76">IF(D20="Pendiente","-",INDEX($CH$6:$CH$53,MATCH($AF20,$BD$6:$BD$53,0)))</f>
        <v>P.2 (2)</v>
      </c>
      <c r="P20" s="16"/>
      <c r="Q20" s="16" t="str">
        <f t="shared" ref="Q20:Q25" ca="1" si="77">IF(D20="Pendiente","-",INDEX($CN$6:$CN$53,MATCH($AA20,$BD$6:$BD$53,0)))</f>
        <v>P.2 (2)</v>
      </c>
      <c r="R20" s="16" t="str">
        <f t="shared" ref="R20:R25" ca="1" si="78">IF(D20="Pendiente","-",INDEX($CN$6:$CN$53,MATCH($AF20,$BD$6:$BD$53,0)))</f>
        <v>P.2 (2)</v>
      </c>
      <c r="S20" s="16"/>
      <c r="T20" s="16" t="str">
        <f t="shared" ref="T20:T25" ca="1" si="79">IF(D20="Pendiente","-",INDEX($CS$6:$CS$53,MATCH($AA20,$BD$6:$BD$53,0)))</f>
        <v>P.2 (2)</v>
      </c>
      <c r="U20" s="16" t="str">
        <f t="shared" ref="U20:U25" ca="1" si="80">IF(D20="Pendiente","-",INDEX($CS$6:$CS$53,MATCH($AF20,$BD$6:$BD$53,0)))</f>
        <v>P.2 (2)</v>
      </c>
      <c r="V20" s="17"/>
      <c r="W20" s="647"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1</v>
      </c>
      <c r="BG20" s="16">
        <f t="shared" ca="1" si="18"/>
        <v>1</v>
      </c>
      <c r="BH20" s="16">
        <f t="shared" ca="1" si="19"/>
        <v>0</v>
      </c>
      <c r="BI20" s="16">
        <f t="shared" ca="1" si="20"/>
        <v>0</v>
      </c>
      <c r="BJ20" s="16">
        <f t="shared" ca="1" si="21"/>
        <v>2</v>
      </c>
      <c r="BK20" s="16">
        <f t="shared" ca="1" si="22"/>
        <v>0</v>
      </c>
      <c r="BL20" s="16">
        <f t="shared" ca="1" si="23"/>
        <v>2</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44"/>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4</v>
      </c>
      <c r="DL20" s="16">
        <f t="shared" ca="1" si="49"/>
        <v>1</v>
      </c>
      <c r="DM20" s="16" t="str">
        <f t="shared" ca="1" si="50"/>
        <v>3.1</v>
      </c>
      <c r="DN20" s="16">
        <f t="array" aca="1" ref="DN20" ca="1">OFFSET(Horarios!$P$3,DJ20-1,0,DL20,1)</f>
        <v>3</v>
      </c>
      <c r="DO20" s="16"/>
      <c r="DP20" s="16" t="s">
        <v>86</v>
      </c>
      <c r="DQ20" s="16" t="str">
        <f t="shared" ca="1" si="51"/>
        <v>Turquía</v>
      </c>
    </row>
    <row r="21" spans="1:121" ht="16.05" customHeight="1">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4</v>
      </c>
      <c r="DL21" s="16">
        <f t="shared" ca="1" si="49"/>
        <v>1</v>
      </c>
      <c r="DM21" s="16" t="str">
        <f t="shared" ca="1" si="50"/>
        <v>4.1</v>
      </c>
      <c r="DN21" s="16">
        <f t="array" aca="1" ref="DN21" ca="1">OFFSET(Horarios!$P$3,DJ21-1,0,DL21,1)</f>
        <v>4</v>
      </c>
      <c r="DO21" s="16"/>
      <c r="DP21" s="16" t="s">
        <v>87</v>
      </c>
      <c r="DQ21" s="16" t="str">
        <f t="shared" ca="1" si="51"/>
        <v>Paraguay</v>
      </c>
    </row>
    <row r="22" spans="1:121" ht="16.05" customHeight="1">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7"/>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Escocia</v>
      </c>
      <c r="AM22" s="35">
        <f t="shared" ref="AM22:AT25" ca="1" si="83">INDEX($BE$6:$BN$53,MATCH($AL22,$BD$6:$BD$53,0),MATCH(AM$5,$BE$5:$BN$5,0))</f>
        <v>3</v>
      </c>
      <c r="AN22" s="36">
        <f t="shared" ca="1" si="83"/>
        <v>1</v>
      </c>
      <c r="AO22" s="36">
        <f t="shared" ca="1" si="83"/>
        <v>1</v>
      </c>
      <c r="AP22" s="36">
        <f t="shared" ca="1" si="83"/>
        <v>0</v>
      </c>
      <c r="AQ22" s="36">
        <f t="shared" ca="1" si="83"/>
        <v>0</v>
      </c>
      <c r="AR22" s="36">
        <f t="shared" ca="1" si="83"/>
        <v>1</v>
      </c>
      <c r="AS22" s="36">
        <f t="shared" ca="1" si="83"/>
        <v>0</v>
      </c>
      <c r="AT22" s="41">
        <f t="shared" ca="1" si="83"/>
        <v>1</v>
      </c>
      <c r="AU22" s="323">
        <f ca="1">INDEX($DL$6:$DL$53,MATCH(AI22,$DP$6:$DP$53,0))</f>
        <v>1</v>
      </c>
      <c r="AV22" s="182" t="str">
        <f ca="1">INDEX($BD$6:$BD$53,MATCH(AI22,$BM$6:$BM$53,0))</f>
        <v>Escocia</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4</v>
      </c>
      <c r="DL22" s="16">
        <f t="shared" ca="1" si="49"/>
        <v>1</v>
      </c>
      <c r="DM22" s="16" t="str">
        <f t="shared" ca="1" si="50"/>
        <v>1.1</v>
      </c>
      <c r="DN22" s="16">
        <f t="array" aca="1" ref="DN22" ca="1">OFFSET(Horarios!$P$3,DJ22-1,0,DL22,1)</f>
        <v>1</v>
      </c>
      <c r="DO22" s="16"/>
      <c r="DP22" s="16" t="s">
        <v>88</v>
      </c>
      <c r="DQ22" s="16" t="str">
        <f t="shared" ca="1" si="51"/>
        <v>Alemania</v>
      </c>
    </row>
    <row r="23" spans="1:121" ht="16.05" customHeight="1">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7"/>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Brasil</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4</v>
      </c>
      <c r="DL23" s="16">
        <f t="shared" ca="1" si="49"/>
        <v>1</v>
      </c>
      <c r="DM23" s="16" t="str">
        <f t="shared" ca="1" si="50"/>
        <v>2.1</v>
      </c>
      <c r="DN23" s="16">
        <f t="array" aca="1" ref="DN23" ca="1">OFFSET(Horarios!$P$3,DJ23-1,0,DL23,1)</f>
        <v>2</v>
      </c>
      <c r="DO23" s="16"/>
      <c r="DP23" s="16" t="s">
        <v>89</v>
      </c>
      <c r="DQ23" s="16" t="str">
        <f t="shared" ca="1" si="51"/>
        <v>Costa de Marfil</v>
      </c>
    </row>
    <row r="24" spans="1:121" ht="16.05" customHeight="1">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7"/>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Marruecos</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1</v>
      </c>
      <c r="BG24" s="16">
        <f t="shared" ca="1" si="18"/>
        <v>1</v>
      </c>
      <c r="BH24" s="16">
        <f t="shared" ca="1" si="19"/>
        <v>0</v>
      </c>
      <c r="BI24" s="16">
        <f t="shared" ca="1" si="20"/>
        <v>0</v>
      </c>
      <c r="BJ24" s="16">
        <f t="shared" ca="1" si="21"/>
        <v>1</v>
      </c>
      <c r="BK24" s="16">
        <f t="shared" ca="1" si="22"/>
        <v>0</v>
      </c>
      <c r="BL24" s="16">
        <f t="shared" ca="1" si="23"/>
        <v>1</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44"/>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4</v>
      </c>
      <c r="DL24" s="16">
        <f t="shared" ca="1" si="49"/>
        <v>1</v>
      </c>
      <c r="DM24" s="16" t="str">
        <f t="shared" ca="1" si="50"/>
        <v>3.1</v>
      </c>
      <c r="DN24" s="16">
        <f t="array" aca="1" ref="DN24" ca="1">OFFSET(Horarios!$P$3,DJ24-1,0,DL24,1)</f>
        <v>3</v>
      </c>
      <c r="DO24" s="16"/>
      <c r="DP24" s="16" t="s">
        <v>90</v>
      </c>
      <c r="DQ24" s="16" t="str">
        <f t="shared" ca="1" si="51"/>
        <v>Ecuador</v>
      </c>
    </row>
    <row r="25" spans="1:121" ht="16.05" customHeight="1" thickBot="1">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8"/>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4</v>
      </c>
      <c r="DL25" s="16">
        <f t="shared" ca="1" si="49"/>
        <v>1</v>
      </c>
      <c r="DM25" s="16" t="str">
        <f t="shared" ca="1" si="50"/>
        <v>4.1</v>
      </c>
      <c r="DN25" s="16">
        <f t="array" aca="1" ref="DN25" ca="1">OFFSET(Horarios!$P$3,DJ25-1,0,DL25,1)</f>
        <v>4</v>
      </c>
      <c r="DO25" s="16"/>
      <c r="DP25" s="16" t="s">
        <v>91</v>
      </c>
      <c r="DQ25" s="16" t="str">
        <f t="shared" ca="1" si="51"/>
        <v>Curazao</v>
      </c>
    </row>
    <row r="26" spans="1:121" ht="16.05" customHeight="1" thickBot="1">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1</v>
      </c>
      <c r="BF26" s="16">
        <f t="shared" ca="1" si="17"/>
        <v>1</v>
      </c>
      <c r="BG26" s="16">
        <f t="shared" ca="1" si="18"/>
        <v>0</v>
      </c>
      <c r="BH26" s="16">
        <f t="shared" ca="1" si="19"/>
        <v>1</v>
      </c>
      <c r="BI26" s="16">
        <f t="shared" ca="1" si="20"/>
        <v>0</v>
      </c>
      <c r="BJ26" s="16">
        <f t="shared" ca="1" si="21"/>
        <v>2</v>
      </c>
      <c r="BK26" s="16">
        <f t="shared" ca="1" si="22"/>
        <v>2</v>
      </c>
      <c r="BL26" s="16">
        <f t="shared" ca="1" si="23"/>
        <v>0</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8"/>
        <v>0</v>
      </c>
      <c r="BV26" s="16">
        <f t="shared" ca="1" si="29"/>
        <v>1</v>
      </c>
      <c r="BW26" s="16">
        <f t="shared" ca="1" si="30"/>
        <v>0</v>
      </c>
      <c r="BX26" s="16">
        <f t="shared" ca="1" si="31"/>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32"/>
        <v>2</v>
      </c>
      <c r="CB26" s="16">
        <f t="shared" ca="1" si="33"/>
        <v>2</v>
      </c>
      <c r="CC26" s="16">
        <f t="shared" ca="1" si="34"/>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35"/>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6"/>
        <v>0</v>
      </c>
      <c r="CJ26" s="16">
        <f t="shared" ca="1" si="37"/>
        <v>1</v>
      </c>
      <c r="CK26" s="16">
        <f t="shared" ca="1" si="38"/>
        <v>0</v>
      </c>
      <c r="CL26" s="16">
        <f t="shared" ca="1" si="39"/>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40"/>
        <v>2</v>
      </c>
      <c r="CP26" s="16">
        <f t="shared" ca="1" si="41"/>
        <v>2</v>
      </c>
      <c r="CQ26" s="16">
        <f t="shared" ca="1" si="42"/>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43"/>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44"/>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45"/>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46"/>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47"/>
        <v>1</v>
      </c>
      <c r="DK26" s="16">
        <f t="shared" ca="1" si="48"/>
        <v>4</v>
      </c>
      <c r="DL26" s="16">
        <f t="shared" ca="1" si="49"/>
        <v>1</v>
      </c>
      <c r="DM26" s="16" t="str">
        <f t="shared" ca="1" si="50"/>
        <v>1.1</v>
      </c>
      <c r="DN26" s="16">
        <f t="array" aca="1" ref="DN26" ca="1">OFFSET(Horarios!$P$3,DJ26-1,0,DL26,1)</f>
        <v>1</v>
      </c>
      <c r="DO26" s="16"/>
      <c r="DP26" s="16" t="s">
        <v>92</v>
      </c>
      <c r="DQ26" s="16" t="str">
        <f t="shared" ca="1" si="51"/>
        <v>Suecia</v>
      </c>
    </row>
    <row r="27" spans="1:121" ht="16.05"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45"/>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46"/>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47"/>
        <v>2</v>
      </c>
      <c r="DK27" s="16">
        <f t="shared" ca="1" si="48"/>
        <v>4</v>
      </c>
      <c r="DL27" s="16">
        <f t="shared" ca="1" si="49"/>
        <v>1</v>
      </c>
      <c r="DM27" s="16" t="str">
        <f t="shared" ca="1" si="50"/>
        <v>2.1</v>
      </c>
      <c r="DN27" s="16">
        <f t="array" aca="1" ref="DN27" ca="1">OFFSET(Horarios!$P$3,DJ27-1,0,DL27,1)</f>
        <v>2</v>
      </c>
      <c r="DO27" s="16"/>
      <c r="DP27" s="16" t="s">
        <v>93</v>
      </c>
      <c r="DQ27" s="16" t="str">
        <f t="shared" ca="1" si="51"/>
        <v>Países Bajos</v>
      </c>
    </row>
    <row r="28" spans="1:121" ht="16.05" customHeight="1" thickBot="1">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P.1 (2)</v>
      </c>
      <c r="F28" s="16" t="str">
        <f t="shared" ref="F28:F33" ca="1" si="86">IF(D28="Pendiente","-",INDEX($BT$6:$BT$53,MATCH($AF28,$BD$6:$BD$53,0)))</f>
        <v>P.3 (2)</v>
      </c>
      <c r="G28" s="16"/>
      <c r="H28" s="16" t="str">
        <f t="shared" ref="H28:H33" ca="1" si="87">IF(D28="Pendiente","-",INDEX($BZ$6:$BZ$53,MATCH($AA28,$BD$6:$BD$53,0)))</f>
        <v>P.1 (2)</v>
      </c>
      <c r="I28" s="16" t="str">
        <f t="shared" ref="I28:I33" ca="1" si="88">IF(D28="Pendiente","-",INDEX($BZ$6:$BZ$53,MATCH($AF28,$BD$6:$BD$53,0)))</f>
        <v>P.3 (2)</v>
      </c>
      <c r="J28" s="16"/>
      <c r="K28" s="16" t="str">
        <f t="shared" ref="K28:K33" ca="1" si="89">IF(D28="Pendiente","-",INDEX($CE$6:$CE$53,MATCH($AA28,$BD$6:$BD$53,0)))</f>
        <v>P.1 (2)</v>
      </c>
      <c r="L28" s="16" t="str">
        <f t="shared" ref="L28:L33" ca="1" si="90">IF(D28="Pendiente","-",INDEX($CE$6:$CE$53,MATCH($AF28,$BD$6:$BD$53,0)))</f>
        <v>P.3 (2)</v>
      </c>
      <c r="M28" s="16"/>
      <c r="N28" s="16" t="str">
        <f t="shared" ref="N28:N33" ca="1" si="91">IF(D28="Pendiente","-",INDEX($CH$6:$CH$53,MATCH($AA28,$BD$6:$BD$53,0)))</f>
        <v>P.1 (2)</v>
      </c>
      <c r="O28" s="16" t="str">
        <f t="shared" ref="O28:O33" ca="1" si="92">IF(D28="Pendiente","-",INDEX($CH$6:$CH$53,MATCH($AF28,$BD$6:$BD$53,0)))</f>
        <v>P.3 (2)</v>
      </c>
      <c r="P28" s="16"/>
      <c r="Q28" s="16" t="str">
        <f t="shared" ref="Q28:Q33" ca="1" si="93">IF(D28="Pendiente","-",INDEX($CN$6:$CN$53,MATCH($AA28,$BD$6:$BD$53,0)))</f>
        <v>P.1 (2)</v>
      </c>
      <c r="R28" s="16" t="str">
        <f t="shared" ref="R28:R33" ca="1" si="94">IF(D28="Pendiente","-",INDEX($CN$6:$CN$53,MATCH($AF28,$BD$6:$BD$53,0)))</f>
        <v>P.3 (2)</v>
      </c>
      <c r="S28" s="16"/>
      <c r="T28" s="16" t="str">
        <f t="shared" ref="T28:T33" ca="1" si="95">IF(D28="Pendiente","-",INDEX($CS$6:$CS$53,MATCH($AA28,$BD$6:$BD$53,0)))</f>
        <v>P.1 (2)</v>
      </c>
      <c r="U28" s="16" t="str">
        <f t="shared" ref="U28:U33" ca="1" si="96">IF(D28="Pendiente","-",INDEX($CS$6:$CS$53,MATCH($AF28,$BD$6:$BD$53,0)))</f>
        <v>P.3 (2)</v>
      </c>
      <c r="V28" s="17"/>
      <c r="W28" s="638"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1</v>
      </c>
      <c r="BG28" s="16">
        <f t="shared" ca="1" si="18"/>
        <v>1</v>
      </c>
      <c r="BH28" s="16">
        <f t="shared" ca="1" si="19"/>
        <v>0</v>
      </c>
      <c r="BI28" s="16">
        <f t="shared" ca="1" si="20"/>
        <v>0</v>
      </c>
      <c r="BJ28" s="16">
        <f t="shared" ca="1" si="21"/>
        <v>5</v>
      </c>
      <c r="BK28" s="16">
        <f t="shared" ca="1" si="22"/>
        <v>1</v>
      </c>
      <c r="BL28" s="16">
        <f t="shared" ca="1" si="23"/>
        <v>4</v>
      </c>
      <c r="BM28" s="16" t="str">
        <f t="shared" ca="1" si="24"/>
        <v>1F</v>
      </c>
      <c r="BN28" s="16" t="str">
        <f t="shared" ca="1" si="25"/>
        <v>1F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46"/>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47"/>
        <v>2</v>
      </c>
      <c r="DK28" s="16">
        <f t="shared" ca="1" si="48"/>
        <v>4</v>
      </c>
      <c r="DL28" s="16">
        <f t="shared" ca="1" si="49"/>
        <v>1</v>
      </c>
      <c r="DM28" s="16" t="str">
        <f t="shared" ca="1" si="50"/>
        <v>2.1</v>
      </c>
      <c r="DN28" s="16">
        <f t="array" aca="1" ref="DN28" ca="1">OFFSET(Horarios!$P$3,DJ28-1,0,DL28,1)</f>
        <v>2</v>
      </c>
      <c r="DO28" s="16"/>
      <c r="DP28" s="16" t="s">
        <v>95</v>
      </c>
      <c r="DQ28" s="16" t="str">
        <f t="shared" ca="1" si="51"/>
        <v>Japón</v>
      </c>
    </row>
    <row r="29" spans="1:121" ht="16.05" customHeight="1">
      <c r="A29" s="16" t="str">
        <f ca="1">+Equipos!B14</f>
        <v>Estados Unidos</v>
      </c>
      <c r="B29" s="16"/>
      <c r="C29" s="16"/>
      <c r="D29" s="16" t="str">
        <f t="shared" si="84"/>
        <v>Local</v>
      </c>
      <c r="E29" s="16" t="str">
        <f t="shared" ca="1" si="85"/>
        <v>P.1 (2)</v>
      </c>
      <c r="F29" s="16" t="str">
        <f t="shared" ca="1" si="86"/>
        <v>P.3 (2)</v>
      </c>
      <c r="G29" s="16"/>
      <c r="H29" s="16" t="str">
        <f t="shared" ca="1" si="87"/>
        <v>P.1 (2)</v>
      </c>
      <c r="I29" s="16" t="str">
        <f t="shared" ca="1" si="88"/>
        <v>P.3 (2)</v>
      </c>
      <c r="J29" s="16"/>
      <c r="K29" s="16" t="str">
        <f t="shared" ca="1" si="89"/>
        <v>P.1 (2)</v>
      </c>
      <c r="L29" s="16" t="str">
        <f t="shared" ca="1" si="90"/>
        <v>P.3 (2)</v>
      </c>
      <c r="M29" s="16"/>
      <c r="N29" s="16" t="str">
        <f t="shared" ca="1" si="91"/>
        <v>P.1 (2)</v>
      </c>
      <c r="O29" s="16" t="str">
        <f t="shared" ca="1" si="92"/>
        <v>P.3 (2)</v>
      </c>
      <c r="P29" s="16"/>
      <c r="Q29" s="16" t="str">
        <f t="shared" ca="1" si="93"/>
        <v>P.1 (2)</v>
      </c>
      <c r="R29" s="16" t="str">
        <f t="shared" ca="1" si="94"/>
        <v>P.3 (2)</v>
      </c>
      <c r="S29" s="16"/>
      <c r="T29" s="16" t="str">
        <f t="shared" ca="1" si="95"/>
        <v>P.1 (2)</v>
      </c>
      <c r="U29" s="16" t="str">
        <f t="shared" ca="1" si="96"/>
        <v>P.3 (2)</v>
      </c>
      <c r="V29" s="17"/>
      <c r="W29" s="627"/>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4</v>
      </c>
      <c r="DL29" s="16">
        <f t="shared" ca="1" si="49"/>
        <v>1</v>
      </c>
      <c r="DM29" s="16" t="str">
        <f t="shared" ca="1" si="50"/>
        <v>4.1</v>
      </c>
      <c r="DN29" s="16">
        <f t="array" aca="1" ref="DN29" ca="1">OFFSET(Horarios!$P$3,DJ29-1,0,DL29,1)</f>
        <v>4</v>
      </c>
      <c r="DO29" s="16"/>
      <c r="DP29" s="16" t="s">
        <v>96</v>
      </c>
      <c r="DQ29" s="16" t="str">
        <f t="shared" ca="1" si="51"/>
        <v>Túnez</v>
      </c>
    </row>
    <row r="30" spans="1:121" ht="16.05" customHeight="1">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7"/>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6"/>
        <v>0</v>
      </c>
      <c r="CJ30" s="16">
        <f t="shared" ca="1" si="37"/>
        <v>1</v>
      </c>
      <c r="CK30" s="16">
        <f t="shared" ca="1" si="38"/>
        <v>0</v>
      </c>
      <c r="CL30" s="16">
        <f t="shared" ca="1" si="39"/>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40"/>
        <v>1</v>
      </c>
      <c r="CP30" s="16">
        <f t="shared" ca="1" si="41"/>
        <v>1</v>
      </c>
      <c r="CQ30" s="16">
        <f t="shared" ca="1" si="42"/>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43"/>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44"/>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46"/>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47"/>
        <v>1</v>
      </c>
      <c r="DK30" s="16">
        <f t="shared" ca="1" si="48"/>
        <v>4</v>
      </c>
      <c r="DL30" s="16">
        <f t="shared" ca="1" si="49"/>
        <v>1</v>
      </c>
      <c r="DM30" s="16" t="str">
        <f t="shared" ca="1" si="50"/>
        <v>1.1</v>
      </c>
      <c r="DN30" s="16">
        <f t="array" aca="1" ref="DN30" ca="1">OFFSET(Horarios!$P$3,DJ30-1,0,DL30,1)</f>
        <v>1</v>
      </c>
      <c r="DO30" s="16"/>
      <c r="DP30" s="16" t="s">
        <v>97</v>
      </c>
      <c r="DQ30" s="16" t="str">
        <f t="shared" ca="1" si="51"/>
        <v>Irán</v>
      </c>
    </row>
    <row r="31" spans="1:121" ht="16.05" customHeight="1">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7"/>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1</v>
      </c>
      <c r="AO31" s="39">
        <f t="shared" ca="1" si="99"/>
        <v>1</v>
      </c>
      <c r="AP31" s="39">
        <f t="shared" ca="1" si="99"/>
        <v>0</v>
      </c>
      <c r="AQ31" s="39">
        <f t="shared" ca="1" si="99"/>
        <v>0</v>
      </c>
      <c r="AR31" s="39">
        <f t="shared" ca="1" si="99"/>
        <v>2</v>
      </c>
      <c r="AS31" s="39">
        <f t="shared" ca="1" si="99"/>
        <v>0</v>
      </c>
      <c r="AT31" s="43">
        <f t="shared" ca="1" si="99"/>
        <v>2</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1</v>
      </c>
      <c r="CK31" s="16">
        <f t="shared" ca="1" si="38"/>
        <v>0</v>
      </c>
      <c r="CL31" s="16">
        <f t="shared" ca="1" si="39"/>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1</v>
      </c>
      <c r="CP31" s="16">
        <f t="shared" ca="1" si="41"/>
        <v>1</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46"/>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47"/>
        <v>1</v>
      </c>
      <c r="DK31" s="16">
        <f t="shared" ca="1" si="48"/>
        <v>4</v>
      </c>
      <c r="DL31" s="16">
        <f t="shared" ca="1" si="49"/>
        <v>1</v>
      </c>
      <c r="DM31" s="16" t="str">
        <f t="shared" ca="1" si="50"/>
        <v>1.1</v>
      </c>
      <c r="DN31" s="16">
        <f t="array" aca="1" ref="DN31" ca="1">OFFSET(Horarios!$P$3,DJ31-1,0,DL31,1)</f>
        <v>1</v>
      </c>
      <c r="DO31" s="16"/>
      <c r="DP31" s="16" t="s">
        <v>98</v>
      </c>
      <c r="DQ31" s="16" t="str">
        <f t="shared" ca="1" si="51"/>
        <v>Nueva Zelanda</v>
      </c>
    </row>
    <row r="32" spans="1:121" ht="16.05" customHeight="1">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7"/>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1</v>
      </c>
      <c r="BG32" s="16">
        <f t="shared" ca="1" si="18"/>
        <v>0</v>
      </c>
      <c r="BH32" s="16">
        <f t="shared" ca="1" si="19"/>
        <v>1</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2</v>
      </c>
      <c r="CB32" s="16">
        <f t="shared" ca="1" si="33"/>
        <v>2</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2</v>
      </c>
      <c r="CP32" s="16">
        <f t="shared" ca="1" si="41"/>
        <v>2</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46"/>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47"/>
        <v>3</v>
      </c>
      <c r="DK32" s="16">
        <f t="shared" ca="1" si="48"/>
        <v>4</v>
      </c>
      <c r="DL32" s="16">
        <f t="shared" ca="1" si="49"/>
        <v>1</v>
      </c>
      <c r="DM32" s="16" t="str">
        <f t="shared" ca="1" si="50"/>
        <v>3.1</v>
      </c>
      <c r="DN32" s="16">
        <f t="array" aca="1" ref="DN32" ca="1">OFFSET(Horarios!$P$3,DJ32-1,0,DL32,1)</f>
        <v>3</v>
      </c>
      <c r="DO32" s="16"/>
      <c r="DP32" s="16" t="s">
        <v>99</v>
      </c>
      <c r="DQ32" s="16" t="str">
        <f t="shared" ca="1" si="51"/>
        <v>Bélgica</v>
      </c>
    </row>
    <row r="33" spans="1:121" ht="16.05" customHeight="1" thickBot="1">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8"/>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1</v>
      </c>
      <c r="BW33" s="16">
        <f t="shared" ca="1" si="30"/>
        <v>0</v>
      </c>
      <c r="BX33" s="16">
        <f t="shared" ca="1" si="31"/>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2</v>
      </c>
      <c r="CB33" s="16">
        <f t="shared" ca="1" si="33"/>
        <v>2</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6"/>
        <v>0</v>
      </c>
      <c r="CJ33" s="16">
        <f t="shared" ca="1" si="37"/>
        <v>1</v>
      </c>
      <c r="CK33" s="16">
        <f t="shared" ca="1" si="38"/>
        <v>0</v>
      </c>
      <c r="CL33" s="16">
        <f t="shared" ca="1" si="39"/>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40"/>
        <v>2</v>
      </c>
      <c r="CP33" s="16">
        <f t="shared" ca="1" si="41"/>
        <v>2</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43"/>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45"/>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46"/>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47"/>
        <v>3</v>
      </c>
      <c r="DK33" s="16">
        <f t="shared" ca="1" si="48"/>
        <v>4</v>
      </c>
      <c r="DL33" s="16">
        <f t="shared" ca="1" si="49"/>
        <v>1</v>
      </c>
      <c r="DM33" s="16" t="str">
        <f t="shared" ca="1" si="50"/>
        <v>3.1</v>
      </c>
      <c r="DN33" s="16">
        <f t="array" aca="1" ref="DN33" ca="1">OFFSET(Horarios!$P$3,DJ33-1,0,DL33,1)</f>
        <v>3</v>
      </c>
      <c r="DO33" s="16"/>
      <c r="DP33" s="16" t="s">
        <v>100</v>
      </c>
      <c r="DQ33" s="16" t="str">
        <f t="shared" ca="1" si="51"/>
        <v>Egipto</v>
      </c>
    </row>
    <row r="34" spans="1:121" ht="16.05" customHeight="1" thickBot="1">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3H</v>
      </c>
      <c r="BN34" s="16" t="str">
        <f t="shared" ca="1" si="25"/>
        <v>3H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6"/>
        <v>0</v>
      </c>
      <c r="CJ34" s="16">
        <f t="shared" ca="1" si="37"/>
        <v>1</v>
      </c>
      <c r="CK34" s="16">
        <f t="shared" ca="1" si="38"/>
        <v>0</v>
      </c>
      <c r="CL34" s="16">
        <f t="shared" ca="1" si="39"/>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40"/>
        <v>0</v>
      </c>
      <c r="CP34" s="16">
        <f t="shared" ca="1" si="41"/>
        <v>0</v>
      </c>
      <c r="CQ34" s="16">
        <f t="shared" ca="1" si="42"/>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43"/>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44"/>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45"/>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46"/>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47"/>
        <v>1</v>
      </c>
      <c r="DK34" s="16">
        <f t="shared" ca="1" si="48"/>
        <v>4</v>
      </c>
      <c r="DL34" s="16">
        <f t="shared" ca="1" si="49"/>
        <v>1</v>
      </c>
      <c r="DM34" s="16" t="str">
        <f t="shared" ca="1" si="50"/>
        <v>1.1</v>
      </c>
      <c r="DN34" s="16">
        <f t="array" aca="1" ref="DN34" ca="1">OFFSET(Horarios!$P$3,DJ34-1,0,DL34,1)</f>
        <v>1</v>
      </c>
      <c r="DO34" s="16"/>
      <c r="DP34" s="16" t="s">
        <v>101</v>
      </c>
      <c r="DQ34" s="16" t="str">
        <f t="shared" ca="1" si="51"/>
        <v>Arabia Saudita</v>
      </c>
    </row>
    <row r="35" spans="1:121" ht="16.05"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0</v>
      </c>
      <c r="CP35" s="16">
        <f t="shared" ca="1" si="41"/>
        <v>0</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45"/>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46"/>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47"/>
        <v>1</v>
      </c>
      <c r="DK35" s="16">
        <f t="shared" ca="1" si="48"/>
        <v>4</v>
      </c>
      <c r="DL35" s="16">
        <f t="shared" ca="1" si="49"/>
        <v>1</v>
      </c>
      <c r="DM35" s="16" t="str">
        <f t="shared" ca="1" si="50"/>
        <v>1.1</v>
      </c>
      <c r="DN35" s="16">
        <f t="array" aca="1" ref="DN35" ca="1">OFFSET(Horarios!$P$3,DJ35-1,0,DL35,1)</f>
        <v>1</v>
      </c>
      <c r="DO35" s="16"/>
      <c r="DP35" s="16" t="s">
        <v>102</v>
      </c>
      <c r="DQ35" s="16" t="str">
        <f t="shared" ca="1" si="51"/>
        <v>Uruguay</v>
      </c>
    </row>
    <row r="36" spans="1:121" ht="16.05" customHeight="1" thickBot="1">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P.3 (2)</v>
      </c>
      <c r="G36" s="16"/>
      <c r="H36" s="16" t="str">
        <f t="shared" ref="H36:H41" ca="1" si="103">IF(D36="Pendiente","-",INDEX($BZ$6:$BZ$53,MATCH($AA36,$BD$6:$BD$53,0)))</f>
        <v>P.1 (2)</v>
      </c>
      <c r="I36" s="16" t="str">
        <f t="shared" ref="I36:I41" ca="1" si="104">IF(D36="Pendiente","-",INDEX($BZ$6:$BZ$53,MATCH($AF36,$BD$6:$BD$53,0)))</f>
        <v>P.3 (2)</v>
      </c>
      <c r="J36" s="16"/>
      <c r="K36" s="16" t="str">
        <f t="shared" ref="K36:K41" ca="1" si="105">IF(D36="Pendiente","-",INDEX($CE$6:$CE$53,MATCH($AA36,$BD$6:$BD$53,0)))</f>
        <v>P.1 (2)</v>
      </c>
      <c r="L36" s="16" t="str">
        <f t="shared" ref="L36:L41" ca="1" si="106">IF(D36="Pendiente","-",INDEX($CE$6:$CE$53,MATCH($AF36,$BD$6:$BD$53,0)))</f>
        <v>P.3 (2)</v>
      </c>
      <c r="M36" s="16"/>
      <c r="N36" s="16" t="str">
        <f t="shared" ref="N36:N41" ca="1" si="107">IF(D36="Pendiente","-",INDEX($CH$6:$CH$53,MATCH($AA36,$BD$6:$BD$53,0)))</f>
        <v>P.1 (2)</v>
      </c>
      <c r="O36" s="16" t="str">
        <f t="shared" ref="O36:O41" ca="1" si="108">IF(D36="Pendiente","-",INDEX($CH$6:$CH$53,MATCH($AF36,$BD$6:$BD$53,0)))</f>
        <v>P.3 (2)</v>
      </c>
      <c r="P36" s="16"/>
      <c r="Q36" s="16" t="str">
        <f t="shared" ref="Q36:Q41" ca="1" si="109">IF(D36="Pendiente","-",INDEX($CN$6:$CN$53,MATCH($AA36,$BD$6:$BD$53,0)))</f>
        <v>P.1 (2)</v>
      </c>
      <c r="R36" s="16" t="str">
        <f t="shared" ref="R36:R41" ca="1" si="110">IF(D36="Pendiente","-",INDEX($CN$6:$CN$53,MATCH($AF36,$BD$6:$BD$53,0)))</f>
        <v>P.3 (2)</v>
      </c>
      <c r="S36" s="16"/>
      <c r="T36" s="16" t="str">
        <f t="shared" ref="T36:T41" ca="1" si="111">IF(D36="Pendiente","-",INDEX($CS$6:$CS$53,MATCH($AA36,$BD$6:$BD$53,0)))</f>
        <v>P.1 (2)</v>
      </c>
      <c r="U36" s="16" t="str">
        <f t="shared" ref="U36:U41" ca="1" si="112">IF(D36="Pendiente","-",INDEX($CS$6:$CS$53,MATCH($AF36,$BD$6:$BD$53,0)))</f>
        <v>P.3 (2)</v>
      </c>
      <c r="V36" s="17"/>
      <c r="W36" s="642"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1</v>
      </c>
      <c r="BG36" s="16">
        <f t="shared" ca="1" si="18"/>
        <v>0</v>
      </c>
      <c r="BH36" s="16">
        <f t="shared" ca="1" si="19"/>
        <v>1</v>
      </c>
      <c r="BI36" s="16">
        <f t="shared" ca="1" si="20"/>
        <v>0</v>
      </c>
      <c r="BJ36" s="16">
        <f t="shared" ca="1" si="21"/>
        <v>1</v>
      </c>
      <c r="BK36" s="16">
        <f t="shared" ca="1" si="22"/>
        <v>1</v>
      </c>
      <c r="BL36" s="16">
        <f t="shared" ca="1" si="23"/>
        <v>0</v>
      </c>
      <c r="BM36" s="16" t="str">
        <f t="shared" ca="1" si="24"/>
        <v>1H</v>
      </c>
      <c r="BN36" s="16" t="str">
        <f t="shared" ca="1" si="25"/>
        <v>1H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1</v>
      </c>
      <c r="BW36" s="16">
        <f t="shared" ca="1" si="30"/>
        <v>0</v>
      </c>
      <c r="BX36" s="16">
        <f t="shared" ca="1" si="31"/>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1</v>
      </c>
      <c r="CB36" s="16">
        <f t="shared" ca="1" si="33"/>
        <v>1</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6"/>
        <v>0</v>
      </c>
      <c r="CJ36" s="16">
        <f t="shared" ca="1" si="37"/>
        <v>1</v>
      </c>
      <c r="CK36" s="16">
        <f t="shared" ca="1" si="38"/>
        <v>0</v>
      </c>
      <c r="CL36" s="16">
        <f t="shared" ca="1" si="39"/>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40"/>
        <v>1</v>
      </c>
      <c r="CP36" s="16">
        <f t="shared" ca="1" si="41"/>
        <v>1</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43"/>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45"/>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46"/>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47"/>
        <v>3</v>
      </c>
      <c r="DK36" s="16">
        <f t="shared" ca="1" si="48"/>
        <v>4</v>
      </c>
      <c r="DL36" s="16">
        <f t="shared" ca="1" si="49"/>
        <v>1</v>
      </c>
      <c r="DM36" s="16" t="str">
        <f t="shared" ca="1" si="50"/>
        <v>3.1</v>
      </c>
      <c r="DN36" s="16">
        <f t="array" aca="1" ref="DN36" ca="1">OFFSET(Horarios!$P$3,DJ36-1,0,DL36,1)</f>
        <v>3</v>
      </c>
      <c r="DO36" s="16"/>
      <c r="DP36" s="16" t="s">
        <v>104</v>
      </c>
      <c r="DQ36" s="16" t="str">
        <f t="shared" ca="1" si="51"/>
        <v>España</v>
      </c>
    </row>
    <row r="37" spans="1:121" ht="16.05" customHeight="1">
      <c r="A37" s="16" t="str">
        <f ca="1">+Equipos!B18</f>
        <v>Alemania</v>
      </c>
      <c r="B37" s="16"/>
      <c r="C37" s="16"/>
      <c r="D37" s="16" t="str">
        <f t="shared" si="100"/>
        <v>Local</v>
      </c>
      <c r="E37" s="16" t="str">
        <f t="shared" ca="1" si="101"/>
        <v>P.1 (2)</v>
      </c>
      <c r="F37" s="16" t="str">
        <f t="shared" ca="1" si="102"/>
        <v>P.3 (2)</v>
      </c>
      <c r="G37" s="16"/>
      <c r="H37" s="16" t="str">
        <f t="shared" ca="1" si="103"/>
        <v>P.1 (2)</v>
      </c>
      <c r="I37" s="16" t="str">
        <f t="shared" ca="1" si="104"/>
        <v>P.3 (2)</v>
      </c>
      <c r="J37" s="16"/>
      <c r="K37" s="16" t="str">
        <f t="shared" ca="1" si="105"/>
        <v>P.1 (2)</v>
      </c>
      <c r="L37" s="16" t="str">
        <f t="shared" ca="1" si="106"/>
        <v>P.3 (2)</v>
      </c>
      <c r="M37" s="16"/>
      <c r="N37" s="16" t="str">
        <f t="shared" ca="1" si="107"/>
        <v>P.1 (2)</v>
      </c>
      <c r="O37" s="16" t="str">
        <f t="shared" ca="1" si="108"/>
        <v>P.3 (2)</v>
      </c>
      <c r="P37" s="16"/>
      <c r="Q37" s="16" t="str">
        <f t="shared" ca="1" si="109"/>
        <v>P.1 (2)</v>
      </c>
      <c r="R37" s="16" t="str">
        <f t="shared" ca="1" si="110"/>
        <v>P.3 (2)</v>
      </c>
      <c r="S37" s="16"/>
      <c r="T37" s="16" t="str">
        <f t="shared" ca="1" si="111"/>
        <v>P.1 (2)</v>
      </c>
      <c r="U37" s="16" t="str">
        <f t="shared" ca="1" si="112"/>
        <v>P.3 (2)</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3</v>
      </c>
      <c r="DK37" s="16">
        <f t="shared" ca="1" si="48"/>
        <v>4</v>
      </c>
      <c r="DL37" s="16">
        <f t="shared" ca="1" si="49"/>
        <v>1</v>
      </c>
      <c r="DM37" s="16" t="str">
        <f t="shared" ca="1" si="50"/>
        <v>3.1</v>
      </c>
      <c r="DN37" s="16">
        <f t="array" aca="1" ref="DN37" ca="1">OFFSET(Horarios!$P$3,DJ37-1,0,DL37,1)</f>
        <v>3</v>
      </c>
      <c r="DO37" s="16"/>
      <c r="DP37" s="16" t="s">
        <v>105</v>
      </c>
      <c r="DQ37" s="16" t="str">
        <f t="shared" ca="1" si="51"/>
        <v>Cabo Verde</v>
      </c>
    </row>
    <row r="38" spans="1:121" ht="16.05" customHeight="1">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7"/>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05" customHeight="1">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7"/>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1</v>
      </c>
      <c r="AO39" s="39">
        <f t="shared" ca="1" si="115"/>
        <v>1</v>
      </c>
      <c r="AP39" s="39">
        <f t="shared" ca="1" si="115"/>
        <v>0</v>
      </c>
      <c r="AQ39" s="39">
        <f t="shared" ca="1" si="115"/>
        <v>0</v>
      </c>
      <c r="AR39" s="39">
        <f t="shared" ca="1" si="115"/>
        <v>1</v>
      </c>
      <c r="AS39" s="39">
        <f t="shared" ca="1" si="115"/>
        <v>0</v>
      </c>
      <c r="AT39" s="43">
        <f t="shared" ca="1" si="115"/>
        <v>1</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05" customHeight="1">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7"/>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05" customHeight="1" thickBot="1">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8"/>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05" customHeight="1" thickBot="1">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3</v>
      </c>
      <c r="BF42" s="16">
        <f t="shared" ca="1" si="17"/>
        <v>1</v>
      </c>
      <c r="BG42" s="16">
        <f t="shared" ca="1" si="18"/>
        <v>1</v>
      </c>
      <c r="BH42" s="16">
        <f t="shared" ca="1" si="19"/>
        <v>0</v>
      </c>
      <c r="BI42" s="16">
        <f t="shared" ca="1" si="20"/>
        <v>0</v>
      </c>
      <c r="BJ42" s="16">
        <f t="shared" ca="1" si="21"/>
        <v>3</v>
      </c>
      <c r="BK42" s="16">
        <f t="shared" ca="1" si="22"/>
        <v>0</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4</v>
      </c>
      <c r="DL42" s="16">
        <f t="shared" ca="1" si="49"/>
        <v>1</v>
      </c>
      <c r="DM42" s="16" t="str">
        <f t="shared" ca="1" si="50"/>
        <v>1.1</v>
      </c>
      <c r="DN42" s="16">
        <f t="array" aca="1" ref="DN42" ca="1">OFFSET(Horarios!$P$3,DJ42-1,0,DL42,1)</f>
        <v>1</v>
      </c>
      <c r="DO42" s="16"/>
      <c r="DP42" s="16" t="s">
        <v>110</v>
      </c>
      <c r="DQ42" s="16" t="str">
        <f t="shared" ca="1" si="51"/>
        <v>Argentina</v>
      </c>
    </row>
    <row r="43" spans="1:121" ht="16.05"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4</v>
      </c>
      <c r="DL43" s="16">
        <f t="shared" ca="1" si="49"/>
        <v>1</v>
      </c>
      <c r="DM43" s="16" t="str">
        <f t="shared" ca="1" si="50"/>
        <v>2.1</v>
      </c>
      <c r="DN43" s="16">
        <f t="array" aca="1" ref="DN43" ca="1">OFFSET(Horarios!$P$3,DJ43-1,0,DL43,1)</f>
        <v>2</v>
      </c>
      <c r="DO43" s="16"/>
      <c r="DP43" s="16" t="s">
        <v>111</v>
      </c>
      <c r="DQ43" s="16" t="str">
        <f t="shared" ca="1" si="51"/>
        <v>Austria</v>
      </c>
    </row>
    <row r="44" spans="1:121" ht="16.05" customHeight="1" thickBot="1">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P.2 (2)</v>
      </c>
      <c r="F44" s="16" t="str">
        <f t="shared" ref="F44:F49" ca="1" si="118">IF(D44="Pendiente","-",INDEX($BT$6:$BT$53,MATCH($AF44,$BD$6:$BD$53,0)))</f>
        <v>P.2 (2)</v>
      </c>
      <c r="G44" s="16"/>
      <c r="H44" s="16" t="str">
        <f t="shared" ref="H44:H49" ca="1" si="119">IF(D44="Pendiente","-",INDEX($BZ$6:$BZ$53,MATCH($AA44,$BD$6:$BD$53,0)))</f>
        <v>P.2 (2)</v>
      </c>
      <c r="I44" s="16" t="str">
        <f t="shared" ref="I44:I49" ca="1" si="120">IF(D44="Pendiente","-",INDEX($BZ$6:$BZ$53,MATCH($AF44,$BD$6:$BD$53,0)))</f>
        <v>P.2 (2)</v>
      </c>
      <c r="J44" s="16"/>
      <c r="K44" s="16" t="str">
        <f t="shared" ref="K44:K49" ca="1" si="121">IF(D44="Pendiente","-",INDEX($CE$6:$CE$53,MATCH($AA44,$BD$6:$BD$53,0)))</f>
        <v>P.2 (2)</v>
      </c>
      <c r="L44" s="16" t="str">
        <f t="shared" ref="L44:L49" ca="1" si="122">IF(D44="Pendiente","-",INDEX($CE$6:$CE$53,MATCH($AF44,$BD$6:$BD$53,0)))</f>
        <v>P.2 (2)</v>
      </c>
      <c r="M44" s="16"/>
      <c r="N44" s="16" t="str">
        <f t="shared" ref="N44:N49" ca="1" si="123">IF(D44="Pendiente","-",INDEX($CH$6:$CH$53,MATCH($AA44,$BD$6:$BD$53,0)))</f>
        <v>P.2 (2)</v>
      </c>
      <c r="O44" s="16" t="str">
        <f t="shared" ref="O44:O49" ca="1" si="124">IF(D44="Pendiente","-",INDEX($CH$6:$CH$53,MATCH($AF44,$BD$6:$BD$53,0)))</f>
        <v>P.2 (2)</v>
      </c>
      <c r="P44" s="16"/>
      <c r="Q44" s="16" t="str">
        <f t="shared" ref="Q44:Q49" ca="1" si="125">IF(D44="Pendiente","-",INDEX($CN$6:$CN$53,MATCH($AA44,$BD$6:$BD$53,0)))</f>
        <v>P.2 (2)</v>
      </c>
      <c r="R44" s="16" t="str">
        <f t="shared" ref="R44:R49" ca="1" si="126">IF(D44="Pendiente","-",INDEX($CN$6:$CN$53,MATCH($AF44,$BD$6:$BD$53,0)))</f>
        <v>P.2 (2)</v>
      </c>
      <c r="S44" s="16"/>
      <c r="T44" s="16" t="str">
        <f t="shared" ref="T44:T49" ca="1" si="127">IF(D44="Pendiente","-",INDEX($CS$6:$CS$53,MATCH($AA44,$BD$6:$BD$53,0)))</f>
        <v>P.2 (2)</v>
      </c>
      <c r="U44" s="16" t="str">
        <f t="shared" ref="U44:U49" ca="1" si="128">IF(D44="Pendiente","-",INDEX($CS$6:$CS$53,MATCH($AF44,$BD$6:$BD$53,0)))</f>
        <v>P.2 (2)</v>
      </c>
      <c r="V44" s="17"/>
      <c r="W44" s="645"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1</v>
      </c>
      <c r="BG44" s="16">
        <f t="shared" ca="1" si="18"/>
        <v>1</v>
      </c>
      <c r="BH44" s="16">
        <f t="shared" ca="1" si="19"/>
        <v>0</v>
      </c>
      <c r="BI44" s="16">
        <f t="shared" ca="1" si="20"/>
        <v>0</v>
      </c>
      <c r="BJ44" s="16">
        <f t="shared" ca="1" si="21"/>
        <v>3</v>
      </c>
      <c r="BK44" s="16">
        <f t="shared" ca="1" si="22"/>
        <v>1</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4</v>
      </c>
      <c r="DL44" s="16">
        <f t="shared" ca="1" si="49"/>
        <v>1</v>
      </c>
      <c r="DM44" s="16" t="str">
        <f t="shared" ca="1" si="50"/>
        <v>3.1</v>
      </c>
      <c r="DN44" s="16">
        <f t="array" aca="1" ref="DN44" ca="1">OFFSET(Horarios!$P$3,DJ44-1,0,DL44,1)</f>
        <v>3</v>
      </c>
      <c r="DO44" s="16"/>
      <c r="DP44" s="16" t="s">
        <v>113</v>
      </c>
      <c r="DQ44" s="16" t="str">
        <f t="shared" ca="1" si="51"/>
        <v>Jordania</v>
      </c>
    </row>
    <row r="45" spans="1:121" ht="16.05" customHeight="1">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4</v>
      </c>
      <c r="DL45" s="16">
        <f t="shared" ca="1" si="49"/>
        <v>1</v>
      </c>
      <c r="DM45" s="16" t="str">
        <f t="shared" ca="1" si="50"/>
        <v>4.1</v>
      </c>
      <c r="DN45" s="16">
        <f t="array" aca="1" ref="DN45" ca="1">OFFSET(Horarios!$P$3,DJ45-1,0,DL45,1)</f>
        <v>4</v>
      </c>
      <c r="DO45" s="16"/>
      <c r="DP45" s="16" t="s">
        <v>114</v>
      </c>
      <c r="DQ45" s="16" t="str">
        <f t="shared" ca="1" si="51"/>
        <v>Argelia</v>
      </c>
    </row>
    <row r="46" spans="1:121" ht="16.05" customHeight="1">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Suecia</v>
      </c>
      <c r="AM46" s="35">
        <f t="shared" ref="AM46:AT49" ca="1" si="131">INDEX($BE$6:$BN$53,MATCH($AL46,$BD$6:$BD$53,0),MATCH(AM$5,$BE$5:$BN$5,0))</f>
        <v>3</v>
      </c>
      <c r="AN46" s="36">
        <f t="shared" ca="1" si="131"/>
        <v>1</v>
      </c>
      <c r="AO46" s="36">
        <f t="shared" ca="1" si="131"/>
        <v>1</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Suecia</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8"/>
        <v>0</v>
      </c>
      <c r="BV46" s="16">
        <f t="shared" ca="1" si="29"/>
        <v>1</v>
      </c>
      <c r="BW46" s="16">
        <f t="shared" ca="1" si="30"/>
        <v>0</v>
      </c>
      <c r="BX46" s="16">
        <f t="shared" ca="1" si="31"/>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32"/>
        <v>1</v>
      </c>
      <c r="CB46" s="16">
        <f t="shared" ca="1" si="33"/>
        <v>1</v>
      </c>
      <c r="CC46" s="16">
        <f t="shared" ca="1" si="34"/>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35"/>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6"/>
        <v>0</v>
      </c>
      <c r="CJ46" s="16">
        <f t="shared" ca="1" si="37"/>
        <v>1</v>
      </c>
      <c r="CK46" s="16">
        <f t="shared" ca="1" si="38"/>
        <v>0</v>
      </c>
      <c r="CL46" s="16">
        <f t="shared" ca="1" si="39"/>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40"/>
        <v>1</v>
      </c>
      <c r="CP46" s="16">
        <f t="shared" ca="1" si="41"/>
        <v>1</v>
      </c>
      <c r="CQ46" s="16">
        <f t="shared" ca="1" si="42"/>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43"/>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44"/>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45"/>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46"/>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47"/>
        <v>1</v>
      </c>
      <c r="DK46" s="16">
        <f t="shared" ca="1" si="48"/>
        <v>4</v>
      </c>
      <c r="DL46" s="16">
        <f t="shared" ca="1" si="49"/>
        <v>1</v>
      </c>
      <c r="DM46" s="16" t="str">
        <f t="shared" ca="1" si="50"/>
        <v>1.1</v>
      </c>
      <c r="DN46" s="16">
        <f t="array" aca="1" ref="DN46" ca="1">OFFSET(Horarios!$P$3,DJ46-1,0,DL46,1)</f>
        <v>1</v>
      </c>
      <c r="DO46" s="16"/>
      <c r="DP46" s="16" t="s">
        <v>115</v>
      </c>
      <c r="DQ46" s="16" t="str">
        <f t="shared" ca="1" si="51"/>
        <v>Colombia</v>
      </c>
    </row>
    <row r="47" spans="1:121" ht="16.05" customHeight="1">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7"/>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Países Bajos</v>
      </c>
      <c r="AM47" s="38">
        <f t="shared" ca="1" si="131"/>
        <v>1</v>
      </c>
      <c r="AN47" s="39">
        <f t="shared" ca="1" si="131"/>
        <v>1</v>
      </c>
      <c r="AO47" s="39">
        <f t="shared" ca="1" si="131"/>
        <v>0</v>
      </c>
      <c r="AP47" s="39">
        <f t="shared" ca="1" si="131"/>
        <v>1</v>
      </c>
      <c r="AQ47" s="39">
        <f t="shared" ca="1" si="131"/>
        <v>0</v>
      </c>
      <c r="AR47" s="39">
        <f t="shared" ca="1" si="131"/>
        <v>2</v>
      </c>
      <c r="AS47" s="39">
        <f t="shared" ca="1" si="131"/>
        <v>2</v>
      </c>
      <c r="AT47" s="43">
        <f t="shared" ca="1" si="131"/>
        <v>0</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45"/>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4</v>
      </c>
      <c r="DL47" s="16">
        <f t="shared" ca="1" si="49"/>
        <v>1</v>
      </c>
      <c r="DM47" s="16" t="str">
        <f t="shared" ca="1" si="50"/>
        <v>2.1</v>
      </c>
      <c r="DN47" s="16">
        <f t="array" aca="1" ref="DN47" ca="1">OFFSET(Horarios!$P$3,DJ47-1,0,DL47,1)</f>
        <v>2</v>
      </c>
      <c r="DO47" s="16"/>
      <c r="DP47" s="16" t="s">
        <v>116</v>
      </c>
      <c r="DQ47" s="16" t="str">
        <f t="shared" ca="1" si="51"/>
        <v>Portugal</v>
      </c>
    </row>
    <row r="48" spans="1:121" ht="16.05" customHeight="1">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7"/>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1</v>
      </c>
      <c r="BG48" s="16">
        <f t="shared" ca="1" si="18"/>
        <v>0</v>
      </c>
      <c r="BH48" s="16">
        <f t="shared" ca="1" si="19"/>
        <v>0</v>
      </c>
      <c r="BI48" s="16">
        <f t="shared" ca="1" si="20"/>
        <v>1</v>
      </c>
      <c r="BJ48" s="16">
        <f t="shared" ca="1" si="21"/>
        <v>1</v>
      </c>
      <c r="BK48" s="16">
        <f t="shared" ca="1" si="22"/>
        <v>3</v>
      </c>
      <c r="BL48" s="16">
        <f t="shared" ca="1" si="23"/>
        <v>-2</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2</v>
      </c>
      <c r="DK48" s="16">
        <f t="shared" ca="1" si="48"/>
        <v>4</v>
      </c>
      <c r="DL48" s="16">
        <f t="shared" ca="1" si="49"/>
        <v>1</v>
      </c>
      <c r="DM48" s="16" t="str">
        <f t="shared" ca="1" si="50"/>
        <v>2.1</v>
      </c>
      <c r="DN48" s="16">
        <f t="array" aca="1" ref="DN48" ca="1">OFFSET(Horarios!$P$3,DJ48-1,0,DL48,1)</f>
        <v>2</v>
      </c>
      <c r="DO48" s="16"/>
      <c r="DP48" s="16" t="s">
        <v>117</v>
      </c>
      <c r="DQ48" s="16" t="str">
        <f t="shared" ca="1" si="51"/>
        <v>RD Congo</v>
      </c>
    </row>
    <row r="49" spans="1:121" ht="16.05" customHeight="1" thickBot="1">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8"/>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4</v>
      </c>
      <c r="DL49" s="16">
        <f t="shared" ca="1" si="49"/>
        <v>1</v>
      </c>
      <c r="DM49" s="16" t="str">
        <f t="shared" ca="1" si="50"/>
        <v>4.1</v>
      </c>
      <c r="DN49" s="16">
        <f t="array" aca="1" ref="DN49" ca="1">OFFSET(Horarios!$P$3,DJ49-1,0,DL49,1)</f>
        <v>4</v>
      </c>
      <c r="DO49" s="16"/>
      <c r="DP49" s="16" t="s">
        <v>118</v>
      </c>
      <c r="DQ49" s="16" t="str">
        <f t="shared" ca="1" si="51"/>
        <v>Uzbekistán</v>
      </c>
    </row>
    <row r="50" spans="1:121" ht="16.05" customHeight="1" thickBot="1">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4</v>
      </c>
      <c r="DL50" s="16">
        <f t="shared" ca="1" si="49"/>
        <v>1</v>
      </c>
      <c r="DM50" s="16" t="str">
        <f t="shared" ca="1" si="50"/>
        <v>1.1</v>
      </c>
      <c r="DN50" s="16">
        <f t="array" aca="1" ref="DN50" ca="1">OFFSET(Horarios!$P$3,DJ50-1,0,DL50,1)</f>
        <v>1</v>
      </c>
      <c r="DO50" s="16"/>
      <c r="DP50" s="16" t="s">
        <v>119</v>
      </c>
      <c r="DQ50" s="16" t="str">
        <f t="shared" ca="1" si="51"/>
        <v>Inglaterra</v>
      </c>
    </row>
    <row r="51" spans="1:121" ht="16.05"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4</v>
      </c>
      <c r="DL51" s="16">
        <f t="shared" ca="1" si="49"/>
        <v>1</v>
      </c>
      <c r="DM51" s="16" t="str">
        <f t="shared" ca="1" si="50"/>
        <v>2.1</v>
      </c>
      <c r="DN51" s="16">
        <f t="array" aca="1" ref="DN51" ca="1">OFFSET(Horarios!$P$3,DJ51-1,0,DL51,1)</f>
        <v>2</v>
      </c>
      <c r="DO51" s="16"/>
      <c r="DP51" s="16" t="s">
        <v>120</v>
      </c>
      <c r="DQ51" s="16" t="str">
        <f t="shared" ca="1" si="51"/>
        <v>Ghana</v>
      </c>
    </row>
    <row r="52" spans="1:121" ht="16.05" customHeight="1" thickBot="1">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(4)</v>
      </c>
      <c r="F52" s="16" t="str">
        <f t="shared" ref="F52:F57" ca="1" si="134">IF(D52="Pendiente","-",INDEX($BT$6:$BT$53,MATCH($AF52,$BD$6:$BD$53,0)))</f>
        <v>P.1 (4)</v>
      </c>
      <c r="G52" s="16"/>
      <c r="H52" s="16" t="str">
        <f t="shared" ref="H52:H57" ca="1" si="135">IF(D52="Pendiente","-",INDEX($BZ$6:$BZ$53,MATCH($AA52,$BD$6:$BD$53,0)))</f>
        <v>P.1 (4)</v>
      </c>
      <c r="I52" s="16" t="str">
        <f t="shared" ref="I52:I57" ca="1" si="136">IF(D52="Pendiente","-",INDEX($BZ$6:$BZ$53,MATCH($AF52,$BD$6:$BD$53,0)))</f>
        <v>P.1 (4)</v>
      </c>
      <c r="J52" s="16"/>
      <c r="K52" s="16" t="str">
        <f t="shared" ref="K52:K57" ca="1" si="137">IF(D52="Pendiente","-",INDEX($CE$6:$CE$53,MATCH($AA52,$BD$6:$BD$53,0)))</f>
        <v>P.1 (4)</v>
      </c>
      <c r="L52" s="16" t="str">
        <f t="shared" ref="L52:L57" ca="1" si="138">IF(D52="Pendiente","-",INDEX($CE$6:$CE$53,MATCH($AF52,$BD$6:$BD$53,0)))</f>
        <v>P.1 (4)</v>
      </c>
      <c r="M52" s="16"/>
      <c r="N52" s="16" t="str">
        <f t="shared" ref="N52:N57" ca="1" si="139">IF(D52="Pendiente","-",INDEX($CH$6:$CH$53,MATCH($AA52,$BD$6:$BD$53,0)))</f>
        <v>P.3 (2)</v>
      </c>
      <c r="O52" s="16" t="str">
        <f t="shared" ref="O52:O57" ca="1" si="140">IF(D52="Pendiente","-",INDEX($CH$6:$CH$53,MATCH($AF52,$BD$6:$BD$53,0)))</f>
        <v>P.3 (2)</v>
      </c>
      <c r="P52" s="16"/>
      <c r="Q52" s="16" t="str">
        <f t="shared" ref="Q52:Q57" ca="1" si="141">IF(D52="Pendiente","-",INDEX($CN$6:$CN$53,MATCH($AA52,$BD$6:$BD$53,0)))</f>
        <v>P.3 (2)</v>
      </c>
      <c r="R52" s="16" t="str">
        <f t="shared" ref="R52:R57" ca="1" si="142">IF(D52="Pendiente","-",INDEX($CN$6:$CN$53,MATCH($AF52,$BD$6:$BD$53,0)))</f>
        <v>P.3 (2)</v>
      </c>
      <c r="S52" s="16"/>
      <c r="T52" s="16" t="str">
        <f t="shared" ref="T52:T57" ca="1" si="143">IF(D52="Pendiente","-",INDEX($CS$6:$CS$53,MATCH($AA52,$BD$6:$BD$53,0)))</f>
        <v>P.3 (2)</v>
      </c>
      <c r="U52" s="16" t="str">
        <f t="shared" ref="U52:U57" ca="1" si="144">IF(D52="Pendiente","-",INDEX($CS$6:$CS$53,MATCH($AF52,$BD$6:$BD$53,0)))</f>
        <v>P.3 (2)</v>
      </c>
      <c r="V52" s="17"/>
      <c r="W52" s="640"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1</v>
      </c>
      <c r="BG52" s="16">
        <f t="shared" ca="1" si="18"/>
        <v>1</v>
      </c>
      <c r="BH52" s="16">
        <f t="shared" ca="1" si="19"/>
        <v>0</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4</v>
      </c>
      <c r="DL52" s="16">
        <f t="shared" ca="1" si="49"/>
        <v>1</v>
      </c>
      <c r="DM52" s="16" t="str">
        <f t="shared" ca="1" si="50"/>
        <v>3.1</v>
      </c>
      <c r="DN52" s="16">
        <f t="array" aca="1" ref="DN52" ca="1">OFFSET(Horarios!$P$3,DJ52-1,0,DL52,1)</f>
        <v>3</v>
      </c>
      <c r="DO52" s="16"/>
      <c r="DP52" s="16" t="s">
        <v>122</v>
      </c>
      <c r="DQ52" s="16" t="str">
        <f t="shared" ca="1" si="51"/>
        <v>Panamá</v>
      </c>
    </row>
    <row r="53" spans="1:121" ht="16.05" customHeight="1">
      <c r="A53" s="16" t="str">
        <f ca="1">+Equipos!B26</f>
        <v>Bélgica</v>
      </c>
      <c r="B53" s="16"/>
      <c r="C53" s="16"/>
      <c r="D53" s="16" t="str">
        <f t="shared" si="132"/>
        <v>Empate</v>
      </c>
      <c r="E53" s="16" t="str">
        <f t="shared" ca="1" si="133"/>
        <v>P.1 (4)</v>
      </c>
      <c r="F53" s="16" t="str">
        <f t="shared" ca="1" si="134"/>
        <v>P.1 (4)</v>
      </c>
      <c r="G53" s="16"/>
      <c r="H53" s="16" t="str">
        <f t="shared" ca="1" si="135"/>
        <v>P.1 (4)</v>
      </c>
      <c r="I53" s="16" t="str">
        <f t="shared" ca="1" si="136"/>
        <v>P.1 (4)</v>
      </c>
      <c r="J53" s="16"/>
      <c r="K53" s="16" t="str">
        <f t="shared" ca="1" si="137"/>
        <v>P.1 (4)</v>
      </c>
      <c r="L53" s="16" t="str">
        <f t="shared" ca="1" si="138"/>
        <v>P.1 (4)</v>
      </c>
      <c r="M53" s="16"/>
      <c r="N53" s="16" t="str">
        <f t="shared" ca="1" si="139"/>
        <v>P.1 (2)</v>
      </c>
      <c r="O53" s="16" t="str">
        <f t="shared" ca="1" si="140"/>
        <v>P.1 (2)</v>
      </c>
      <c r="P53" s="16"/>
      <c r="Q53" s="16" t="str">
        <f t="shared" ca="1" si="141"/>
        <v>P.1 (2)</v>
      </c>
      <c r="R53" s="16" t="str">
        <f t="shared" ca="1" si="142"/>
        <v>P.1 (2)</v>
      </c>
      <c r="S53" s="16"/>
      <c r="T53" s="16" t="str">
        <f t="shared" ca="1" si="143"/>
        <v>P.1 (2)</v>
      </c>
      <c r="U53" s="16" t="str">
        <f t="shared" ca="1" si="144"/>
        <v>P.1 (2)</v>
      </c>
      <c r="V53" s="17"/>
      <c r="W53" s="627"/>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4</v>
      </c>
      <c r="DL53" s="16">
        <f t="shared" ca="1" si="49"/>
        <v>1</v>
      </c>
      <c r="DM53" s="16" t="str">
        <f t="shared" ca="1" si="50"/>
        <v>4.1</v>
      </c>
      <c r="DN53" s="16">
        <f t="array" aca="1" ref="DN53" ca="1">OFFSET(Horarios!$P$3,DJ53-1,0,DL53,1)</f>
        <v>4</v>
      </c>
      <c r="DO53" s="16"/>
      <c r="DP53" s="16" t="s">
        <v>123</v>
      </c>
      <c r="DQ53" s="16" t="str">
        <f t="shared" ca="1" si="51"/>
        <v>Croacia</v>
      </c>
    </row>
    <row r="54" spans="1:121" ht="16.05" customHeight="1">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7"/>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05" customHeight="1">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7"/>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Nueva Zelanda</v>
      </c>
      <c r="AM55" s="38">
        <f t="shared" ca="1" si="147"/>
        <v>1</v>
      </c>
      <c r="AN55" s="39">
        <f t="shared" ca="1" si="147"/>
        <v>1</v>
      </c>
      <c r="AO55" s="39">
        <f t="shared" ca="1" si="147"/>
        <v>0</v>
      </c>
      <c r="AP55" s="39">
        <f t="shared" ca="1" si="147"/>
        <v>1</v>
      </c>
      <c r="AQ55" s="39">
        <f t="shared" ca="1" si="147"/>
        <v>0</v>
      </c>
      <c r="AR55" s="39">
        <f t="shared" ca="1" si="147"/>
        <v>2</v>
      </c>
      <c r="AS55" s="39">
        <f t="shared" ca="1" si="147"/>
        <v>2</v>
      </c>
      <c r="AT55" s="43">
        <f t="shared" ca="1" si="147"/>
        <v>0</v>
      </c>
      <c r="AU55" s="323">
        <f ca="1">INDEX($DL$6:$DL$53,MATCH(AI55,$DP$6:$DP$53,0))</f>
        <v>1</v>
      </c>
      <c r="AV55" s="182" t="str">
        <f ca="1">INDEX($BD$6:$BD$53,MATCH(AI55,$BM$6:$BM$53,0))</f>
        <v>Nueva Zelanda</v>
      </c>
      <c r="AW55" s="210"/>
      <c r="AX55" s="171"/>
      <c r="AY55" s="203" t="str">
        <f ca="1">+A54</f>
        <v>Egipto</v>
      </c>
      <c r="AZ55" s="204"/>
      <c r="BA55" s="176"/>
    </row>
    <row r="56" spans="1:121" ht="16.05" customHeight="1">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7"/>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1</v>
      </c>
      <c r="AN56" s="39">
        <f t="shared" ca="1" si="147"/>
        <v>1</v>
      </c>
      <c r="AO56" s="39">
        <f t="shared" ca="1" si="147"/>
        <v>0</v>
      </c>
      <c r="AP56" s="39">
        <f t="shared" ca="1" si="147"/>
        <v>1</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05" customHeight="1" thickBot="1">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8"/>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05" customHeight="1" thickBot="1">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6</v>
      </c>
      <c r="BN58" s="16">
        <f t="shared" ref="BN58:BN69" ca="1" si="153">CF58</f>
        <v>6</v>
      </c>
      <c r="BO58" s="16" t="str">
        <f t="shared" ref="BO58:BO69" si="154">"4"&amp;BC58</f>
        <v>4A</v>
      </c>
      <c r="BP58" s="16"/>
      <c r="BQ58" s="16"/>
      <c r="BR58" s="16">
        <f t="shared" ref="BR58:BR69" ca="1" si="155">+BE58</f>
        <v>1</v>
      </c>
      <c r="BS58" s="16">
        <f t="shared" ref="BS58:BS69" ca="1" si="156">COUNTIFS(BR$58:BR$69,"&gt;"&amp;BR58)+1</f>
        <v>1</v>
      </c>
      <c r="BT58" s="16" t="str">
        <f t="shared" ref="BT58:BT69" ca="1" si="157">IF(COUNTIF(BS$58:BS$69,BS58)=1,"-","Pos. "&amp;BS58&amp;" ("&amp;COUNTIF(BS$58:BS$69,BS58)&amp;")")</f>
        <v>Pos. 1 (7)</v>
      </c>
      <c r="BU58" s="16">
        <f t="shared" ref="BU58:BU69" ca="1" si="158">IF(BT58="-","-",BL58)</f>
        <v>-1</v>
      </c>
      <c r="BV58" s="16">
        <f t="shared" ref="BV58:BV69" ca="1" si="159">BS58+COUNTIFS(BT$58:BT$69,BT58,BU$58:BU$69,"&gt;"&amp;BU58)</f>
        <v>6</v>
      </c>
      <c r="BW58" s="16" t="str">
        <f t="shared" ref="BW58:BW69" ca="1" si="160">IF(COUNTIF(BV$58:BV$69,BV58)=1,"-","Pos. "&amp;BV58&amp;" ("&amp;COUNTIF(BV$58:BV$69,BV58)&amp;")")</f>
        <v>-</v>
      </c>
      <c r="BX58" s="16" t="str">
        <f t="shared" ref="BX58:BX69" ca="1" si="161">IF(BW58="-","-",BJ58)</f>
        <v>-</v>
      </c>
      <c r="BY58" s="16">
        <f t="shared" ref="BY58:BY69" ca="1" si="162">BV58+COUNTIFS(BW$58:BW$69,BW58,BX$58:BX$69,"&gt;"&amp;BX58)</f>
        <v>6</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6</v>
      </c>
      <c r="CC58" s="16"/>
      <c r="CD58" s="16">
        <f t="shared" ref="CD58:CD69" ca="1" si="166">IF(OR(INDEX($AW$102:$AW$113,MATCH($BD58,$AV$102:$AV$113,0))="",BZ58="-"),CB58,INDEX($AW$102:$AW$113,MATCH($BD58,$AV$102:$AV$113,0))+CB58/1000)</f>
        <v>6</v>
      </c>
      <c r="CE58" s="16" t="str">
        <f t="shared" ref="CE58:CE69" ca="1" si="167">IF(BZ58="-","-",COUNTIF(CD$58:CD$69,"&lt;"&amp;CD58))</f>
        <v>-</v>
      </c>
      <c r="CF58" s="16">
        <f t="shared" ref="CF58:CF69" ca="1" si="168">BY58+COUNTIFS(BZ$58:BZ$69,BZ58,CE$58:CE$69,"&lt;"&amp;CE58)</f>
        <v>6</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Japón</v>
      </c>
    </row>
    <row r="59" spans="1:121" ht="16.05"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7</v>
      </c>
      <c r="BN59" s="16">
        <f t="shared" ca="1" si="153"/>
        <v>7</v>
      </c>
      <c r="BO59" s="16" t="str">
        <f t="shared" si="154"/>
        <v>4B</v>
      </c>
      <c r="BP59" s="16"/>
      <c r="BQ59" s="16"/>
      <c r="BR59" s="16">
        <f t="shared" ca="1" si="155"/>
        <v>1</v>
      </c>
      <c r="BS59" s="16">
        <f t="shared" ca="1" si="156"/>
        <v>1</v>
      </c>
      <c r="BT59" s="16" t="str">
        <f t="shared" ca="1" si="157"/>
        <v>Pos. 1 (7)</v>
      </c>
      <c r="BU59" s="16">
        <f t="shared" ca="1" si="158"/>
        <v>-3</v>
      </c>
      <c r="BV59" s="16">
        <f t="shared" ca="1" si="159"/>
        <v>7</v>
      </c>
      <c r="BW59" s="16" t="str">
        <f t="shared" ca="1" si="160"/>
        <v>-</v>
      </c>
      <c r="BX59" s="16" t="str">
        <f t="shared" ca="1" si="161"/>
        <v>-</v>
      </c>
      <c r="BY59" s="16">
        <f t="shared" ca="1" si="162"/>
        <v>7</v>
      </c>
      <c r="BZ59" s="16" t="str">
        <f t="shared" ca="1" si="163"/>
        <v>-</v>
      </c>
      <c r="CA59" s="16" t="str">
        <f t="shared" ca="1" si="164"/>
        <v>-</v>
      </c>
      <c r="CB59" s="16">
        <f t="shared" ca="1" si="165"/>
        <v>7</v>
      </c>
      <c r="CC59" s="16"/>
      <c r="CD59" s="16">
        <f t="shared" ca="1" si="166"/>
        <v>7</v>
      </c>
      <c r="CE59" s="16" t="str">
        <f t="shared" ca="1" si="167"/>
        <v>-</v>
      </c>
      <c r="CF59" s="16">
        <f t="shared" ca="1" si="168"/>
        <v>7</v>
      </c>
      <c r="DJ59" s="16">
        <f t="shared" ca="1" si="169"/>
        <v>2</v>
      </c>
      <c r="DK59" s="16"/>
      <c r="DL59" s="16">
        <f t="shared" ca="1" si="170"/>
        <v>1</v>
      </c>
      <c r="DM59" s="16" t="str">
        <f t="shared" ca="1" si="171"/>
        <v>2.1</v>
      </c>
      <c r="DN59" s="16">
        <f t="array" aca="1" ref="DN59" ca="1">OFFSET(Horarios!$P$3,DJ59-1,0,DL59,1)</f>
        <v>2</v>
      </c>
      <c r="DO59" s="16"/>
      <c r="DP59" s="16">
        <v>2</v>
      </c>
      <c r="DQ59" s="16" t="str">
        <f t="shared" ca="1" si="172"/>
        <v>Bélgica</v>
      </c>
    </row>
    <row r="60" spans="1:121" ht="16.05" customHeight="1" thickBot="1">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(4)</v>
      </c>
      <c r="F60" s="16" t="str">
        <f t="shared" ref="F60:F65" ca="1" si="181">IF(D60="Pendiente","-",INDEX($BT$6:$BT$53,MATCH($AF60,$BD$6:$BD$53,0)))</f>
        <v>P.1 (4)</v>
      </c>
      <c r="G60" s="16"/>
      <c r="H60" s="16" t="str">
        <f t="shared" ref="H60:H65" ca="1" si="182">IF(D60="Pendiente","-",INDEX($BZ$6:$BZ$53,MATCH($AA60,$BD$6:$BD$53,0)))</f>
        <v>P.1 (4)</v>
      </c>
      <c r="I60" s="16" t="str">
        <f t="shared" ref="I60:I65" ca="1" si="183">IF(D60="Pendiente","-",INDEX($BZ$6:$BZ$53,MATCH($AF60,$BD$6:$BD$53,0)))</f>
        <v>P.1 (4)</v>
      </c>
      <c r="J60" s="16"/>
      <c r="K60" s="16" t="str">
        <f t="shared" ref="K60:K65" ca="1" si="184">IF(D60="Pendiente","-",INDEX($CE$6:$CE$53,MATCH($AA60,$BD$6:$BD$53,0)))</f>
        <v>P.1 (4)</v>
      </c>
      <c r="L60" s="16" t="str">
        <f t="shared" ref="L60:L65" ca="1" si="185">IF(D60="Pendiente","-",INDEX($CE$6:$CE$53,MATCH($AF60,$BD$6:$BD$53,0)))</f>
        <v>P.1 (4)</v>
      </c>
      <c r="M60" s="16"/>
      <c r="N60" s="16" t="str">
        <f t="shared" ref="N60:N65" ca="1" si="186">IF(D60="Pendiente","-",INDEX($CH$6:$CH$53,MATCH($AA60,$BD$6:$BD$53,0)))</f>
        <v>P.3 (2)</v>
      </c>
      <c r="O60" s="16" t="str">
        <f t="shared" ref="O60:O65" ca="1" si="187">IF(D60="Pendiente","-",INDEX($CH$6:$CH$53,MATCH($AF60,$BD$6:$BD$53,0)))</f>
        <v>P.3 (2)</v>
      </c>
      <c r="P60" s="16"/>
      <c r="Q60" s="16" t="str">
        <f t="shared" ref="Q60:Q65" ca="1" si="188">IF(D60="Pendiente","-",INDEX($CN$6:$CN$53,MATCH($AA60,$BD$6:$BD$53,0)))</f>
        <v>P.3 (2)</v>
      </c>
      <c r="R60" s="16" t="str">
        <f t="shared" ref="R60:R65" ca="1" si="189">IF(D60="Pendiente","-",INDEX($CN$6:$CN$53,MATCH($AF60,$BD$6:$BD$53,0)))</f>
        <v>P.3 (2)</v>
      </c>
      <c r="S60" s="16"/>
      <c r="T60" s="16" t="str">
        <f t="shared" ref="T60:T65" ca="1" si="190">IF(D60="Pendiente","-",INDEX($CS$6:$CS$53,MATCH($AA60,$BD$6:$BD$53,0)))</f>
        <v>P.3 (2)</v>
      </c>
      <c r="U60" s="16" t="str">
        <f t="shared" ref="U60:U65" ca="1" si="191">IF(D60="Pendiente","-",INDEX($CS$6:$CS$53,MATCH($AF60,$BD$6:$BD$53,0)))</f>
        <v>P.3 (2)</v>
      </c>
      <c r="V60" s="17"/>
      <c r="W60" s="643"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3</v>
      </c>
      <c r="BN60" s="16">
        <f t="shared" ca="1" si="153"/>
        <v>3</v>
      </c>
      <c r="BO60" s="16" t="str">
        <f t="shared" si="154"/>
        <v>4C</v>
      </c>
      <c r="BP60" s="16"/>
      <c r="BQ60" s="16"/>
      <c r="BR60" s="16">
        <f t="shared" ca="1" si="155"/>
        <v>1</v>
      </c>
      <c r="BS60" s="16">
        <f t="shared" ca="1" si="156"/>
        <v>1</v>
      </c>
      <c r="BT60" s="16" t="str">
        <f t="shared" ca="1" si="157"/>
        <v>Pos. 1 (7)</v>
      </c>
      <c r="BU60" s="16">
        <f t="shared" ca="1" si="158"/>
        <v>0</v>
      </c>
      <c r="BV60" s="16">
        <f t="shared" ca="1" si="159"/>
        <v>1</v>
      </c>
      <c r="BW60" s="16" t="str">
        <f t="shared" ca="1" si="160"/>
        <v>Pos. 1 (5)</v>
      </c>
      <c r="BX60" s="16">
        <f t="shared" ca="1" si="161"/>
        <v>1</v>
      </c>
      <c r="BY60" s="16">
        <f t="shared" ca="1" si="162"/>
        <v>2</v>
      </c>
      <c r="BZ60" s="16" t="str">
        <f t="shared" ca="1" si="163"/>
        <v>Pos. 2 (3)</v>
      </c>
      <c r="CA60" s="16">
        <f t="shared" ca="1" si="164"/>
        <v>5</v>
      </c>
      <c r="CB60" s="16">
        <f t="shared" ca="1" si="165"/>
        <v>3</v>
      </c>
      <c r="CC60" s="16"/>
      <c r="CD60" s="16">
        <f t="shared" ca="1" si="166"/>
        <v>3</v>
      </c>
      <c r="CE60" s="16">
        <f t="shared" ca="1" si="167"/>
        <v>2</v>
      </c>
      <c r="CF60" s="16">
        <f t="shared" ca="1" si="168"/>
        <v>3</v>
      </c>
      <c r="DJ60" s="16">
        <f t="shared" ca="1" si="169"/>
        <v>2</v>
      </c>
      <c r="DK60" s="16"/>
      <c r="DL60" s="16">
        <f t="shared" ca="1" si="170"/>
        <v>1</v>
      </c>
      <c r="DM60" s="16" t="str">
        <f t="shared" ca="1" si="171"/>
        <v>2.1</v>
      </c>
      <c r="DN60" s="16">
        <f t="array" aca="1" ref="DN60" ca="1">OFFSET(Horarios!$P$3,DJ60-1,0,DL60,1)</f>
        <v>2</v>
      </c>
      <c r="DO60" s="16"/>
      <c r="DP60" s="16">
        <v>3</v>
      </c>
      <c r="DQ60" s="16" t="str">
        <f t="shared" ca="1" si="172"/>
        <v>Marruecos</v>
      </c>
    </row>
    <row r="61" spans="1:121" ht="16.05" customHeight="1">
      <c r="A61" s="16" t="str">
        <f ca="1">+Equipos!B30</f>
        <v>España</v>
      </c>
      <c r="B61" s="16"/>
      <c r="C61" s="16"/>
      <c r="D61" s="16" t="str">
        <f t="shared" si="179"/>
        <v>Empate</v>
      </c>
      <c r="E61" s="16" t="str">
        <f t="shared" ca="1" si="180"/>
        <v>P.1 (4)</v>
      </c>
      <c r="F61" s="16" t="str">
        <f t="shared" ca="1" si="181"/>
        <v>P.1 (4)</v>
      </c>
      <c r="G61" s="16"/>
      <c r="H61" s="16" t="str">
        <f t="shared" ca="1" si="182"/>
        <v>P.1 (4)</v>
      </c>
      <c r="I61" s="16" t="str">
        <f t="shared" ca="1" si="183"/>
        <v>P.1 (4)</v>
      </c>
      <c r="J61" s="16"/>
      <c r="K61" s="16" t="str">
        <f t="shared" ca="1" si="184"/>
        <v>P.1 (4)</v>
      </c>
      <c r="L61" s="16" t="str">
        <f t="shared" ca="1" si="185"/>
        <v>P.1 (4)</v>
      </c>
      <c r="M61" s="16"/>
      <c r="N61" s="16" t="str">
        <f t="shared" ca="1" si="186"/>
        <v>P.1 (2)</v>
      </c>
      <c r="O61" s="16" t="str">
        <f t="shared" ca="1" si="187"/>
        <v>P.1 (2)</v>
      </c>
      <c r="P61" s="16"/>
      <c r="Q61" s="16" t="str">
        <f t="shared" ca="1" si="188"/>
        <v>P.1 (2)</v>
      </c>
      <c r="R61" s="16" t="str">
        <f t="shared" ca="1" si="189"/>
        <v>P.1 (2)</v>
      </c>
      <c r="S61" s="16"/>
      <c r="T61" s="16" t="str">
        <f t="shared" ca="1" si="190"/>
        <v>P.1 (2)</v>
      </c>
      <c r="U61" s="16" t="str">
        <f t="shared" ca="1" si="191"/>
        <v>P.1 (2)</v>
      </c>
      <c r="V61" s="17"/>
      <c r="W61" s="627"/>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8</v>
      </c>
      <c r="BT61" s="16" t="str">
        <f t="shared" ca="1" si="157"/>
        <v>Pos. 8 (5)</v>
      </c>
      <c r="BU61" s="16">
        <f t="shared" ca="1" si="158"/>
        <v>-2</v>
      </c>
      <c r="BV61" s="16">
        <f t="shared" ca="1" si="159"/>
        <v>10</v>
      </c>
      <c r="BW61" s="16" t="str">
        <f t="shared" ca="1" si="160"/>
        <v>Pos. 10 (3)</v>
      </c>
      <c r="BX61" s="16">
        <f t="shared" ca="1" si="161"/>
        <v>0</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2</v>
      </c>
      <c r="DK61" s="16"/>
      <c r="DL61" s="16">
        <f t="shared" ca="1" si="170"/>
        <v>1</v>
      </c>
      <c r="DM61" s="16" t="str">
        <f t="shared" ca="1" si="171"/>
        <v>2.1</v>
      </c>
      <c r="DN61" s="16">
        <f t="array" aca="1" ref="DN61" ca="1">OFFSET(Horarios!$P$3,DJ61-1,0,DL61,1)</f>
        <v>2</v>
      </c>
      <c r="DO61" s="16"/>
      <c r="DP61" s="16">
        <v>4</v>
      </c>
      <c r="DQ61" s="16" t="str">
        <f t="shared" ca="1" si="172"/>
        <v>RD Congo</v>
      </c>
    </row>
    <row r="62" spans="1:121" ht="16.05" customHeight="1">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7"/>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Arabia Saudita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1</v>
      </c>
      <c r="AS62" s="36">
        <f t="shared" ca="1" si="195"/>
        <v>1</v>
      </c>
      <c r="AT62" s="41">
        <f t="shared" ca="1" si="195"/>
        <v>0</v>
      </c>
      <c r="AU62" s="323">
        <f ca="1">INDEX($DL$6:$DL$53,MATCH(AI62,$DP$6:$DP$53,0))</f>
        <v>1</v>
      </c>
      <c r="AV62" s="182" t="str">
        <f ca="1">INDEX($BD$6:$BD$53,MATCH(AI62,$BM$6:$BM$53,0))</f>
        <v>Arabia Saudita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8</v>
      </c>
      <c r="BN62" s="16">
        <f t="shared" ca="1" si="153"/>
        <v>8</v>
      </c>
      <c r="BO62" s="16" t="str">
        <f t="shared" si="154"/>
        <v>4E</v>
      </c>
      <c r="BP62" s="16"/>
      <c r="BQ62" s="16"/>
      <c r="BR62" s="16">
        <f t="shared" ca="1" si="155"/>
        <v>0</v>
      </c>
      <c r="BS62" s="16">
        <f t="shared" ca="1" si="156"/>
        <v>8</v>
      </c>
      <c r="BT62" s="16" t="str">
        <f t="shared" ca="1" si="157"/>
        <v>Pos. 8 (5)</v>
      </c>
      <c r="BU62" s="16">
        <f t="shared" ca="1" si="158"/>
        <v>-1</v>
      </c>
      <c r="BV62" s="16">
        <f t="shared" ca="1" si="159"/>
        <v>8</v>
      </c>
      <c r="BW62" s="16" t="str">
        <f t="shared" ca="1" si="160"/>
        <v>Pos. 8 (2)</v>
      </c>
      <c r="BX62" s="16">
        <f t="shared" ca="1" si="161"/>
        <v>0</v>
      </c>
      <c r="BY62" s="16">
        <f t="shared" ca="1" si="162"/>
        <v>8</v>
      </c>
      <c r="BZ62" s="16" t="str">
        <f t="shared" ca="1" si="163"/>
        <v>Pos. 8 (2)</v>
      </c>
      <c r="CA62" s="16">
        <f t="shared" ca="1" si="164"/>
        <v>9</v>
      </c>
      <c r="CB62" s="16">
        <f t="shared" ca="1" si="165"/>
        <v>8</v>
      </c>
      <c r="CC62" s="16"/>
      <c r="CD62" s="16">
        <f t="shared" ca="1" si="166"/>
        <v>8</v>
      </c>
      <c r="CE62" s="16">
        <f t="shared" ca="1" si="167"/>
        <v>7</v>
      </c>
      <c r="CF62" s="16">
        <f t="shared" ca="1" si="168"/>
        <v>8</v>
      </c>
      <c r="DJ62" s="16">
        <f t="shared" ca="1" si="169"/>
        <v>5</v>
      </c>
      <c r="DK62" s="16"/>
      <c r="DL62" s="16">
        <f t="shared" ca="1" si="170"/>
        <v>1</v>
      </c>
      <c r="DM62" s="16" t="str">
        <f t="shared" ca="1" si="171"/>
        <v>5.1</v>
      </c>
      <c r="DN62" s="16">
        <f t="array" aca="1" ref="DN62" ca="1">OFFSET(Horarios!$P$3,DJ62-1,0,DL62,1)</f>
        <v>5</v>
      </c>
      <c r="DO62" s="16"/>
      <c r="DP62" s="16">
        <v>5</v>
      </c>
      <c r="DQ62" s="16" t="str">
        <f t="shared" ca="1" si="172"/>
        <v>España</v>
      </c>
    </row>
    <row r="63" spans="1:121" ht="16.05" customHeight="1">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7"/>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1</v>
      </c>
      <c r="BN63" s="16">
        <f t="shared" ca="1" si="153"/>
        <v>1</v>
      </c>
      <c r="BO63" s="16" t="str">
        <f t="shared" si="154"/>
        <v>4F</v>
      </c>
      <c r="BP63" s="16"/>
      <c r="BQ63" s="16"/>
      <c r="BR63" s="16">
        <f t="shared" ca="1" si="155"/>
        <v>1</v>
      </c>
      <c r="BS63" s="16">
        <f t="shared" ca="1" si="156"/>
        <v>1</v>
      </c>
      <c r="BT63" s="16" t="str">
        <f t="shared" ca="1" si="157"/>
        <v>Pos. 1 (7)</v>
      </c>
      <c r="BU63" s="16">
        <f t="shared" ca="1" si="158"/>
        <v>0</v>
      </c>
      <c r="BV63" s="16">
        <f t="shared" ca="1" si="159"/>
        <v>1</v>
      </c>
      <c r="BW63" s="16" t="str">
        <f t="shared" ca="1" si="160"/>
        <v>Pos. 1 (5)</v>
      </c>
      <c r="BX63" s="16">
        <f t="shared" ca="1" si="161"/>
        <v>2</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República Checa</v>
      </c>
    </row>
    <row r="64" spans="1:121" ht="16.05" customHeight="1">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7"/>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España</v>
      </c>
      <c r="AM64" s="38">
        <f t="shared" ca="1" si="195"/>
        <v>1</v>
      </c>
      <c r="AN64" s="39">
        <f t="shared" ca="1" si="195"/>
        <v>1</v>
      </c>
      <c r="AO64" s="39">
        <f t="shared" ca="1" si="195"/>
        <v>0</v>
      </c>
      <c r="AP64" s="39">
        <f t="shared" ca="1" si="195"/>
        <v>1</v>
      </c>
      <c r="AQ64" s="39">
        <f t="shared" ca="1" si="195"/>
        <v>0</v>
      </c>
      <c r="AR64" s="39">
        <f t="shared" ca="1" si="195"/>
        <v>0</v>
      </c>
      <c r="AS64" s="39">
        <f t="shared" ca="1" si="195"/>
        <v>0</v>
      </c>
      <c r="AT64" s="43">
        <f t="shared" ca="1" si="195"/>
        <v>0</v>
      </c>
      <c r="AU64" s="323">
        <f ca="1">INDEX($DL$6:$DL$53,MATCH(AI64,$DP$6:$DP$53,0))</f>
        <v>1</v>
      </c>
      <c r="AV64" s="182" t="str">
        <f ca="1">INDEX($BD$6:$BD$53,MATCH(AI64,$BM$6:$BM$53,0))</f>
        <v>España</v>
      </c>
      <c r="AW64" s="210"/>
      <c r="AX64" s="171"/>
      <c r="AY64" s="201" t="str">
        <f ca="1">+A63</f>
        <v>Arabia Saudita</v>
      </c>
      <c r="AZ64" s="202"/>
      <c r="BA64" s="176"/>
      <c r="BB64" s="16" t="str">
        <f t="shared" si="173"/>
        <v>3G</v>
      </c>
      <c r="BC64" s="16" t="s">
        <v>121</v>
      </c>
      <c r="BD64" s="16" t="str">
        <f t="shared" ca="1" si="149"/>
        <v>Bélgica</v>
      </c>
      <c r="BE64" s="16">
        <f t="shared" ca="1" si="193"/>
        <v>1</v>
      </c>
      <c r="BF64" s="16">
        <f t="shared" ca="1" si="150"/>
        <v>1</v>
      </c>
      <c r="BG64" s="16">
        <f t="shared" ca="1" si="174"/>
        <v>0</v>
      </c>
      <c r="BH64" s="16">
        <f t="shared" ca="1" si="175"/>
        <v>1</v>
      </c>
      <c r="BI64" s="16">
        <f t="shared" ca="1" si="176"/>
        <v>0</v>
      </c>
      <c r="BJ64" s="16">
        <f t="shared" ca="1" si="177"/>
        <v>1</v>
      </c>
      <c r="BK64" s="16">
        <f t="shared" ca="1" si="178"/>
        <v>1</v>
      </c>
      <c r="BL64" s="16">
        <f t="shared" ca="1" si="151"/>
        <v>0</v>
      </c>
      <c r="BM64" s="16">
        <f t="shared" ca="1" si="152"/>
        <v>2</v>
      </c>
      <c r="BN64" s="16">
        <f t="shared" ca="1" si="153"/>
        <v>2</v>
      </c>
      <c r="BO64" s="16" t="str">
        <f t="shared" si="154"/>
        <v>4G</v>
      </c>
      <c r="BP64" s="16"/>
      <c r="BQ64" s="16"/>
      <c r="BR64" s="16">
        <f t="shared" ca="1" si="155"/>
        <v>1</v>
      </c>
      <c r="BS64" s="16">
        <f t="shared" ca="1" si="156"/>
        <v>1</v>
      </c>
      <c r="BT64" s="16" t="str">
        <f t="shared" ca="1" si="157"/>
        <v>Pos. 1 (7)</v>
      </c>
      <c r="BU64" s="16">
        <f t="shared" ca="1" si="158"/>
        <v>0</v>
      </c>
      <c r="BV64" s="16">
        <f t="shared" ca="1" si="159"/>
        <v>1</v>
      </c>
      <c r="BW64" s="16" t="str">
        <f t="shared" ca="1" si="160"/>
        <v>Pos. 1 (5)</v>
      </c>
      <c r="BX64" s="16">
        <f t="shared" ca="1" si="161"/>
        <v>1</v>
      </c>
      <c r="BY64" s="16">
        <f t="shared" ca="1" si="162"/>
        <v>2</v>
      </c>
      <c r="BZ64" s="16" t="str">
        <f t="shared" ca="1" si="163"/>
        <v>Pos. 2 (3)</v>
      </c>
      <c r="CA64" s="16">
        <f t="shared" ca="1" si="164"/>
        <v>11</v>
      </c>
      <c r="CB64" s="16">
        <f t="shared" ca="1" si="165"/>
        <v>2</v>
      </c>
      <c r="CC64" s="16"/>
      <c r="CD64" s="16">
        <f t="shared" ca="1" si="166"/>
        <v>2</v>
      </c>
      <c r="CE64" s="16">
        <f t="shared" ca="1" si="167"/>
        <v>1</v>
      </c>
      <c r="CF64" s="16">
        <f t="shared" ca="1" si="168"/>
        <v>2</v>
      </c>
      <c r="DJ64" s="16">
        <f t="shared" ca="1" si="169"/>
        <v>7</v>
      </c>
      <c r="DK64" s="16"/>
      <c r="DL64" s="16">
        <f t="shared" ca="1" si="170"/>
        <v>1</v>
      </c>
      <c r="DM64" s="16" t="str">
        <f t="shared" ca="1" si="171"/>
        <v>7.1</v>
      </c>
      <c r="DN64" s="16">
        <f t="array" aca="1" ref="DN64" ca="1">OFFSET(Horarios!$P$3,DJ64-1,0,DL64,1)</f>
        <v>7</v>
      </c>
      <c r="DO64" s="16"/>
      <c r="DP64" s="16">
        <v>7</v>
      </c>
      <c r="DQ64" s="16" t="str">
        <f t="shared" ca="1" si="172"/>
        <v>Bosnia y Herzegovina</v>
      </c>
    </row>
    <row r="65" spans="1:121" ht="16.05" customHeight="1" thickBot="1">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8"/>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España</v>
      </c>
      <c r="BE65" s="16">
        <f t="shared" ca="1" si="193"/>
        <v>1</v>
      </c>
      <c r="BF65" s="16">
        <f t="shared" ca="1" si="150"/>
        <v>1</v>
      </c>
      <c r="BG65" s="16">
        <f t="shared" ca="1" si="174"/>
        <v>0</v>
      </c>
      <c r="BH65" s="16">
        <f t="shared" ca="1" si="175"/>
        <v>1</v>
      </c>
      <c r="BI65" s="16">
        <f t="shared" ca="1" si="176"/>
        <v>0</v>
      </c>
      <c r="BJ65" s="16">
        <f t="shared" ca="1" si="177"/>
        <v>0</v>
      </c>
      <c r="BK65" s="16">
        <f t="shared" ca="1" si="178"/>
        <v>0</v>
      </c>
      <c r="BL65" s="16">
        <f t="shared" ca="1" si="151"/>
        <v>0</v>
      </c>
      <c r="BM65" s="16">
        <f t="shared" ca="1" si="152"/>
        <v>5</v>
      </c>
      <c r="BN65" s="16">
        <f t="shared" ca="1" si="153"/>
        <v>5</v>
      </c>
      <c r="BO65" s="16" t="str">
        <f t="shared" si="154"/>
        <v>4H</v>
      </c>
      <c r="BP65" s="16"/>
      <c r="BQ65" s="16"/>
      <c r="BR65" s="16">
        <f t="shared" ca="1" si="155"/>
        <v>1</v>
      </c>
      <c r="BS65" s="16">
        <f t="shared" ca="1" si="156"/>
        <v>1</v>
      </c>
      <c r="BT65" s="16" t="str">
        <f t="shared" ca="1" si="157"/>
        <v>Pos. 1 (7)</v>
      </c>
      <c r="BU65" s="16">
        <f t="shared" ca="1" si="158"/>
        <v>0</v>
      </c>
      <c r="BV65" s="16">
        <f t="shared" ca="1" si="159"/>
        <v>1</v>
      </c>
      <c r="BW65" s="16" t="str">
        <f t="shared" ca="1" si="160"/>
        <v>Pos. 1 (5)</v>
      </c>
      <c r="BX65" s="16">
        <f t="shared" ca="1" si="161"/>
        <v>0</v>
      </c>
      <c r="BY65" s="16">
        <f t="shared" ca="1" si="162"/>
        <v>5</v>
      </c>
      <c r="BZ65" s="16" t="str">
        <f t="shared" ca="1" si="163"/>
        <v>-</v>
      </c>
      <c r="CA65" s="16" t="str">
        <f t="shared" ca="1" si="164"/>
        <v>-</v>
      </c>
      <c r="CB65" s="16">
        <f t="shared" ca="1" si="165"/>
        <v>5</v>
      </c>
      <c r="CC65" s="16"/>
      <c r="CD65" s="16">
        <f t="shared" ca="1" si="166"/>
        <v>5</v>
      </c>
      <c r="CE65" s="16" t="str">
        <f t="shared" ca="1" si="167"/>
        <v>-</v>
      </c>
      <c r="CF65" s="16">
        <f t="shared" ca="1" si="168"/>
        <v>5</v>
      </c>
      <c r="DJ65" s="16">
        <f t="shared" ca="1" si="169"/>
        <v>8</v>
      </c>
      <c r="DK65" s="16"/>
      <c r="DL65" s="16">
        <f t="shared" ca="1" si="170"/>
        <v>1</v>
      </c>
      <c r="DM65" s="16" t="str">
        <f t="shared" ca="1" si="171"/>
        <v>8.1</v>
      </c>
      <c r="DN65" s="16">
        <f t="array" aca="1" ref="DN65" ca="1">OFFSET(Horarios!$P$3,DJ65-1,0,DL65,1)</f>
        <v>8</v>
      </c>
      <c r="DO65" s="16"/>
      <c r="DP65" s="16">
        <v>8</v>
      </c>
      <c r="DQ65" s="16" t="str">
        <f t="shared" ca="1" si="172"/>
        <v>Ecuador</v>
      </c>
    </row>
    <row r="66" spans="1:121" ht="16.05" customHeight="1" thickBot="1">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11</v>
      </c>
      <c r="BN66" s="16">
        <f t="shared" ca="1" si="153"/>
        <v>11</v>
      </c>
      <c r="BO66" s="16" t="str">
        <f t="shared" si="154"/>
        <v>4I</v>
      </c>
      <c r="BP66" s="16"/>
      <c r="BQ66" s="16"/>
      <c r="BR66" s="16">
        <f t="shared" ca="1" si="155"/>
        <v>0</v>
      </c>
      <c r="BS66" s="16">
        <f t="shared" ca="1" si="156"/>
        <v>8</v>
      </c>
      <c r="BT66" s="16" t="str">
        <f t="shared" ca="1" si="157"/>
        <v>Pos. 8 (5)</v>
      </c>
      <c r="BU66" s="16">
        <f t="shared" ca="1" si="158"/>
        <v>-2</v>
      </c>
      <c r="BV66" s="16">
        <f t="shared" ca="1" si="159"/>
        <v>10</v>
      </c>
      <c r="BW66" s="16" t="str">
        <f t="shared" ca="1" si="160"/>
        <v>Pos. 10 (3)</v>
      </c>
      <c r="BX66" s="16">
        <f t="shared" ca="1" si="161"/>
        <v>1</v>
      </c>
      <c r="BY66" s="16">
        <f t="shared" ca="1" si="162"/>
        <v>10</v>
      </c>
      <c r="BZ66" s="16" t="str">
        <f t="shared" ca="1" si="163"/>
        <v>Pos. 10 (2)</v>
      </c>
      <c r="CA66" s="16">
        <f t="shared" ca="1" si="164"/>
        <v>1</v>
      </c>
      <c r="CB66" s="16">
        <f t="shared" ca="1" si="165"/>
        <v>11</v>
      </c>
      <c r="CC66" s="16"/>
      <c r="CD66" s="16">
        <f t="shared" ca="1" si="166"/>
        <v>11</v>
      </c>
      <c r="CE66" s="16">
        <f t="shared" ca="1" si="167"/>
        <v>10</v>
      </c>
      <c r="CF66" s="16">
        <f t="shared" ca="1" si="168"/>
        <v>11</v>
      </c>
      <c r="DJ66" s="16">
        <f t="shared" ca="1" si="169"/>
        <v>8</v>
      </c>
      <c r="DK66" s="16"/>
      <c r="DL66" s="16">
        <f t="shared" ca="1" si="170"/>
        <v>1</v>
      </c>
      <c r="DM66" s="16" t="str">
        <f t="shared" ca="1" si="171"/>
        <v>8.1</v>
      </c>
      <c r="DN66" s="16">
        <f t="array" aca="1" ref="DN66" ca="1">OFFSET(Horarios!$P$3,DJ66-1,0,DL66,1)</f>
        <v>8</v>
      </c>
      <c r="DO66" s="16"/>
      <c r="DP66" s="16">
        <v>9</v>
      </c>
      <c r="DQ66" s="16" t="str">
        <f t="shared" ca="1" si="172"/>
        <v>Panamá</v>
      </c>
    </row>
    <row r="67" spans="1:121" ht="16.05"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10</v>
      </c>
      <c r="BN67" s="16">
        <f t="shared" ca="1" si="153"/>
        <v>10</v>
      </c>
      <c r="BO67" s="16" t="str">
        <f t="shared" si="154"/>
        <v>4J</v>
      </c>
      <c r="BP67" s="16"/>
      <c r="BQ67" s="16"/>
      <c r="BR67" s="16">
        <f t="shared" ca="1" si="155"/>
        <v>0</v>
      </c>
      <c r="BS67" s="16">
        <f t="shared" ca="1" si="156"/>
        <v>8</v>
      </c>
      <c r="BT67" s="16" t="str">
        <f t="shared" ca="1" si="157"/>
        <v>Pos. 8 (5)</v>
      </c>
      <c r="BU67" s="16">
        <f t="shared" ca="1" si="158"/>
        <v>-2</v>
      </c>
      <c r="BV67" s="16">
        <f t="shared" ca="1" si="159"/>
        <v>10</v>
      </c>
      <c r="BW67" s="16" t="str">
        <f t="shared" ca="1" si="160"/>
        <v>Pos. 10 (3)</v>
      </c>
      <c r="BX67" s="16">
        <f t="shared" ca="1" si="161"/>
        <v>1</v>
      </c>
      <c r="BY67" s="16">
        <f t="shared" ca="1" si="162"/>
        <v>10</v>
      </c>
      <c r="BZ67" s="16" t="str">
        <f t="shared" ca="1" si="163"/>
        <v>Pos. 10 (2)</v>
      </c>
      <c r="CA67" s="16">
        <f t="shared" ca="1" si="164"/>
        <v>6</v>
      </c>
      <c r="CB67" s="16">
        <f t="shared" ca="1" si="165"/>
        <v>10</v>
      </c>
      <c r="CC67" s="16"/>
      <c r="CD67" s="16">
        <f t="shared" ca="1" si="166"/>
        <v>10</v>
      </c>
      <c r="CE67" s="16">
        <f t="shared" ca="1" si="167"/>
        <v>9</v>
      </c>
      <c r="CF67" s="16">
        <f t="shared" ca="1" si="168"/>
        <v>10</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Jordania</v>
      </c>
    </row>
    <row r="68" spans="1:121" ht="16.05" customHeight="1" thickBot="1">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46"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4</v>
      </c>
      <c r="BN68" s="16">
        <f t="shared" ca="1" si="153"/>
        <v>4</v>
      </c>
      <c r="BO68" s="16" t="str">
        <f t="shared" si="154"/>
        <v>4K</v>
      </c>
      <c r="BP68" s="16"/>
      <c r="BQ68" s="16"/>
      <c r="BR68" s="16">
        <f t="shared" ca="1" si="155"/>
        <v>1</v>
      </c>
      <c r="BS68" s="16">
        <f t="shared" ca="1" si="156"/>
        <v>1</v>
      </c>
      <c r="BT68" s="16" t="str">
        <f t="shared" ca="1" si="157"/>
        <v>Pos. 1 (7)</v>
      </c>
      <c r="BU68" s="16">
        <f t="shared" ca="1" si="158"/>
        <v>0</v>
      </c>
      <c r="BV68" s="16">
        <f t="shared" ca="1" si="159"/>
        <v>1</v>
      </c>
      <c r="BW68" s="16" t="str">
        <f t="shared" ca="1" si="160"/>
        <v>Pos. 1 (5)</v>
      </c>
      <c r="BX68" s="16">
        <f t="shared" ca="1" si="161"/>
        <v>1</v>
      </c>
      <c r="BY68" s="16">
        <f t="shared" ca="1" si="162"/>
        <v>2</v>
      </c>
      <c r="BZ68" s="16" t="str">
        <f t="shared" ca="1" si="163"/>
        <v>Pos. 2 (3)</v>
      </c>
      <c r="CA68" s="16">
        <f t="shared" ca="1" si="164"/>
        <v>3</v>
      </c>
      <c r="CB68" s="16">
        <f t="shared" ca="1" si="165"/>
        <v>4</v>
      </c>
      <c r="CC68" s="16"/>
      <c r="CD68" s="16">
        <f t="shared" ca="1" si="166"/>
        <v>4</v>
      </c>
      <c r="CE68" s="16">
        <f t="shared" ca="1" si="167"/>
        <v>3</v>
      </c>
      <c r="CF68" s="16">
        <f t="shared" ca="1" si="168"/>
        <v>4</v>
      </c>
      <c r="DJ68" s="16">
        <f t="shared" ca="1" si="169"/>
        <v>10</v>
      </c>
      <c r="DK68" s="16"/>
      <c r="DL68" s="16">
        <f t="shared" ca="1" si="170"/>
        <v>1</v>
      </c>
      <c r="DM68" s="16" t="str">
        <f t="shared" ca="1" si="171"/>
        <v>10.1</v>
      </c>
      <c r="DN68" s="16">
        <f t="array" aca="1" ref="DN68" ca="1">OFFSET(Horarios!$P$3,DJ68-1,0,DL68,1)</f>
        <v>10</v>
      </c>
      <c r="DO68" s="16"/>
      <c r="DP68" s="16">
        <v>11</v>
      </c>
      <c r="DQ68" s="16" t="str">
        <f t="shared" ca="1" si="172"/>
        <v>Senegal</v>
      </c>
    </row>
    <row r="69" spans="1:121" ht="16.05" customHeight="1">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7"/>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9</v>
      </c>
      <c r="BN69" s="16">
        <f t="shared" ca="1" si="153"/>
        <v>9</v>
      </c>
      <c r="BO69" s="16" t="str">
        <f t="shared" si="154"/>
        <v>4L</v>
      </c>
      <c r="BP69" s="16"/>
      <c r="BQ69" s="16"/>
      <c r="BR69" s="16">
        <f t="shared" ca="1" si="155"/>
        <v>0</v>
      </c>
      <c r="BS69" s="16">
        <f t="shared" ca="1" si="156"/>
        <v>8</v>
      </c>
      <c r="BT69" s="16" t="str">
        <f t="shared" ca="1" si="157"/>
        <v>Pos. 8 (5)</v>
      </c>
      <c r="BU69" s="16">
        <f t="shared" ca="1" si="158"/>
        <v>-1</v>
      </c>
      <c r="BV69" s="16">
        <f t="shared" ca="1" si="159"/>
        <v>8</v>
      </c>
      <c r="BW69" s="16" t="str">
        <f t="shared" ca="1" si="160"/>
        <v>Pos. 8 (2)</v>
      </c>
      <c r="BX69" s="16">
        <f t="shared" ca="1" si="161"/>
        <v>0</v>
      </c>
      <c r="BY69" s="16">
        <f t="shared" ca="1" si="162"/>
        <v>8</v>
      </c>
      <c r="BZ69" s="16" t="str">
        <f t="shared" ca="1" si="163"/>
        <v>Pos. 8 (2)</v>
      </c>
      <c r="CA69" s="16">
        <f t="shared" ca="1" si="164"/>
        <v>4</v>
      </c>
      <c r="CB69" s="16">
        <f t="shared" ca="1" si="165"/>
        <v>9</v>
      </c>
      <c r="CC69" s="16"/>
      <c r="CD69" s="16">
        <f t="shared" ca="1" si="166"/>
        <v>9</v>
      </c>
      <c r="CE69" s="16">
        <f t="shared" ca="1" si="167"/>
        <v>8</v>
      </c>
      <c r="CF69" s="16">
        <f t="shared" ca="1" si="168"/>
        <v>9</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05" customHeight="1">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7"/>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05" customHeight="1">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7"/>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05" customHeight="1">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7"/>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05" customHeight="1" thickBot="1">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8"/>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05" customHeight="1" thickBot="1">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05"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05" customHeight="1" thickBot="1">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P.3 (2)</v>
      </c>
      <c r="G76" s="16"/>
      <c r="H76" s="16" t="str">
        <f t="shared" ref="H76:H81" ca="1" si="215">IF(D76="Pendiente","-",INDEX($BZ$6:$BZ$53,MATCH($AA76,$BD$6:$BD$53,0)))</f>
        <v>P.1 (2)</v>
      </c>
      <c r="I76" s="16" t="str">
        <f t="shared" ref="I76:I81" ca="1" si="216">IF(D76="Pendiente","-",INDEX($BZ$6:$BZ$53,MATCH($AF76,$BD$6:$BD$53,0)))</f>
        <v>P.3 (2)</v>
      </c>
      <c r="J76" s="16"/>
      <c r="K76" s="16" t="str">
        <f t="shared" ref="K76:K81" ca="1" si="217">IF(D76="Pendiente","-",INDEX($CE$6:$CE$53,MATCH($AA76,$BD$6:$BD$53,0)))</f>
        <v>P.1 (2)</v>
      </c>
      <c r="L76" s="16" t="str">
        <f t="shared" ref="L76:L81" ca="1" si="218">IF(D76="Pendiente","-",INDEX($CE$6:$CE$53,MATCH($AF76,$BD$6:$BD$53,0)))</f>
        <v>P.3 (2)</v>
      </c>
      <c r="M76" s="16"/>
      <c r="N76" s="16" t="str">
        <f t="shared" ref="N76:N81" ca="1" si="219">IF(D76="Pendiente","-",INDEX($CH$6:$CH$53,MATCH($AA76,$BD$6:$BD$53,0)))</f>
        <v>P.1 (2)</v>
      </c>
      <c r="O76" s="16" t="str">
        <f t="shared" ref="O76:O81" ca="1" si="220">IF(D76="Pendiente","-",INDEX($CH$6:$CH$53,MATCH($AF76,$BD$6:$BD$53,0)))</f>
        <v>P.3 (2)</v>
      </c>
      <c r="P76" s="16"/>
      <c r="Q76" s="16" t="str">
        <f t="shared" ref="Q76:Q81" ca="1" si="221">IF(D76="Pendiente","-",INDEX($CN$6:$CN$53,MATCH($AA76,$BD$6:$BD$53,0)))</f>
        <v>P.1 (2)</v>
      </c>
      <c r="R76" s="16" t="str">
        <f t="shared" ref="R76:R81" ca="1" si="222">IF(D76="Pendiente","-",INDEX($CN$6:$CN$53,MATCH($AF76,$BD$6:$BD$53,0)))</f>
        <v>P.3 (2)</v>
      </c>
      <c r="S76" s="16"/>
      <c r="T76" s="16" t="str">
        <f t="shared" ref="T76:T81" ca="1" si="223">IF(D76="Pendiente","-",INDEX($CS$6:$CS$53,MATCH($AA76,$BD$6:$BD$53,0)))</f>
        <v>P.1 (2)</v>
      </c>
      <c r="U76" s="16" t="str">
        <f t="shared" ref="U76:U81" ca="1" si="224">IF(D76="Pendiente","-",INDEX($CS$6:$CS$53,MATCH($AF76,$BD$6:$BD$53,0)))</f>
        <v>P.3 (2)</v>
      </c>
      <c r="V76" s="17"/>
      <c r="W76" s="632"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05" customHeight="1">
      <c r="A77" s="16" t="str">
        <f ca="1">+Equipos!B38</f>
        <v>Argentina</v>
      </c>
      <c r="B77" s="16"/>
      <c r="C77" s="16"/>
      <c r="D77" s="16" t="str">
        <f t="shared" si="212"/>
        <v>Local</v>
      </c>
      <c r="E77" s="16" t="str">
        <f t="shared" ca="1" si="213"/>
        <v>P.1 (2)</v>
      </c>
      <c r="F77" s="16" t="str">
        <f t="shared" ca="1" si="214"/>
        <v>P.3 (2)</v>
      </c>
      <c r="G77" s="16"/>
      <c r="H77" s="16" t="str">
        <f t="shared" ca="1" si="215"/>
        <v>P.1 (2)</v>
      </c>
      <c r="I77" s="16" t="str">
        <f t="shared" ca="1" si="216"/>
        <v>P.3 (2)</v>
      </c>
      <c r="J77" s="16"/>
      <c r="K77" s="16" t="str">
        <f t="shared" ca="1" si="217"/>
        <v>P.1 (2)</v>
      </c>
      <c r="L77" s="16" t="str">
        <f t="shared" ca="1" si="218"/>
        <v>P.3 (2)</v>
      </c>
      <c r="M77" s="16"/>
      <c r="N77" s="16" t="str">
        <f t="shared" ca="1" si="219"/>
        <v>P.1 (2)</v>
      </c>
      <c r="O77" s="16" t="str">
        <f t="shared" ca="1" si="220"/>
        <v>P.3 (2)</v>
      </c>
      <c r="P77" s="16"/>
      <c r="Q77" s="16" t="str">
        <f t="shared" ca="1" si="221"/>
        <v>P.1 (2)</v>
      </c>
      <c r="R77" s="16" t="str">
        <f t="shared" ca="1" si="222"/>
        <v>P.3 (2)</v>
      </c>
      <c r="S77" s="16"/>
      <c r="T77" s="16" t="str">
        <f t="shared" ca="1" si="223"/>
        <v>P.1 (2)</v>
      </c>
      <c r="U77" s="16" t="str">
        <f t="shared" ca="1" si="224"/>
        <v>P.3 (2)</v>
      </c>
      <c r="V77" s="17"/>
      <c r="W77" s="627"/>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05" customHeight="1">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7"/>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3</v>
      </c>
      <c r="AN78" s="36">
        <f t="shared" ca="1" si="227"/>
        <v>1</v>
      </c>
      <c r="AO78" s="36">
        <f t="shared" ca="1" si="227"/>
        <v>1</v>
      </c>
      <c r="AP78" s="36">
        <f t="shared" ca="1" si="227"/>
        <v>0</v>
      </c>
      <c r="AQ78" s="36">
        <f t="shared" ca="1" si="227"/>
        <v>0</v>
      </c>
      <c r="AR78" s="36">
        <f t="shared" ca="1" si="227"/>
        <v>3</v>
      </c>
      <c r="AS78" s="36">
        <f t="shared" ca="1" si="227"/>
        <v>0</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05" customHeight="1">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7"/>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1</v>
      </c>
      <c r="AO79" s="39">
        <f t="shared" ca="1" si="227"/>
        <v>1</v>
      </c>
      <c r="AP79" s="39">
        <f t="shared" ca="1" si="227"/>
        <v>0</v>
      </c>
      <c r="AQ79" s="39">
        <f t="shared" ca="1" si="227"/>
        <v>0</v>
      </c>
      <c r="AR79" s="39">
        <f t="shared" ca="1" si="227"/>
        <v>3</v>
      </c>
      <c r="AS79" s="39">
        <f t="shared" ca="1" si="227"/>
        <v>1</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05" customHeight="1">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7"/>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05" customHeight="1" thickBot="1">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8"/>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05" customHeight="1" thickBot="1">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05"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05" customHeight="1" thickBot="1">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P.2 (2)</v>
      </c>
      <c r="F84" s="16" t="str">
        <f t="shared" ref="F84:F89" ca="1" si="230">IF(D84="Pendiente","-",INDEX($BT$6:$BT$53,MATCH($AF84,$BD$6:$BD$53,0)))</f>
        <v>P.2 (2)</v>
      </c>
      <c r="G84" s="16"/>
      <c r="H84" s="16" t="str">
        <f t="shared" ref="H84:H89" ca="1" si="231">IF(D84="Pendiente","-",INDEX($BZ$6:$BZ$53,MATCH($AA84,$BD$6:$BD$53,0)))</f>
        <v>P.2 (2)</v>
      </c>
      <c r="I84" s="16" t="str">
        <f t="shared" ref="I84:I89" ca="1" si="232">IF(D84="Pendiente","-",INDEX($BZ$6:$BZ$53,MATCH($AF84,$BD$6:$BD$53,0)))</f>
        <v>P.2 (2)</v>
      </c>
      <c r="J84" s="16"/>
      <c r="K84" s="16" t="str">
        <f t="shared" ref="K84:K89" ca="1" si="233">IF(D84="Pendiente","-",INDEX($CE$6:$CE$53,MATCH($AA84,$BD$6:$BD$53,0)))</f>
        <v>P.2 (2)</v>
      </c>
      <c r="L84" s="16" t="str">
        <f t="shared" ref="L84:L89" ca="1" si="234">IF(D84="Pendiente","-",INDEX($CE$6:$CE$53,MATCH($AF84,$BD$6:$BD$53,0)))</f>
        <v>P.2 (2)</v>
      </c>
      <c r="M84" s="16"/>
      <c r="N84" s="16" t="str">
        <f t="shared" ref="N84:N89" ca="1" si="235">IF(D84="Pendiente","-",INDEX($CH$6:$CH$53,MATCH($AA84,$BD$6:$BD$53,0)))</f>
        <v>P.2 (2)</v>
      </c>
      <c r="O84" s="16" t="str">
        <f t="shared" ref="O84:O89" ca="1" si="236">IF(D84="Pendiente","-",INDEX($CH$6:$CH$53,MATCH($AF84,$BD$6:$BD$53,0)))</f>
        <v>P.2 (2)</v>
      </c>
      <c r="P84" s="16"/>
      <c r="Q84" s="16" t="str">
        <f t="shared" ref="Q84:Q89" ca="1" si="237">IF(D84="Pendiente","-",INDEX($CN$6:$CN$53,MATCH($AA84,$BD$6:$BD$53,0)))</f>
        <v>P.2 (2)</v>
      </c>
      <c r="R84" s="16" t="str">
        <f t="shared" ref="R84:R89" ca="1" si="238">IF(D84="Pendiente","-",INDEX($CN$6:$CN$53,MATCH($AF84,$BD$6:$BD$53,0)))</f>
        <v>P.2 (2)</v>
      </c>
      <c r="S84" s="16"/>
      <c r="T84" s="16" t="str">
        <f t="shared" ref="T84:T89" ca="1" si="239">IF(D84="Pendiente","-",INDEX($CS$6:$CS$53,MATCH($AA84,$BD$6:$BD$53,0)))</f>
        <v>P.2 (2)</v>
      </c>
      <c r="U84" s="16" t="str">
        <f t="shared" ref="U84:U89" ca="1" si="240">IF(D84="Pendiente","-",INDEX($CS$6:$CS$53,MATCH($AF84,$BD$6:$BD$53,0)))</f>
        <v>P.2 (2)</v>
      </c>
      <c r="V84" s="17"/>
      <c r="W84" s="641"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05" customHeight="1">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05" customHeight="1">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7"/>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3</v>
      </c>
      <c r="AN86" s="36">
        <f t="shared" ca="1" si="243"/>
        <v>1</v>
      </c>
      <c r="AO86" s="36">
        <f t="shared" ca="1" si="243"/>
        <v>1</v>
      </c>
      <c r="AP86" s="36">
        <f t="shared" ca="1" si="243"/>
        <v>0</v>
      </c>
      <c r="AQ86" s="36">
        <f t="shared" ca="1" si="243"/>
        <v>0</v>
      </c>
      <c r="AR86" s="36">
        <f t="shared" ca="1" si="243"/>
        <v>3</v>
      </c>
      <c r="AS86" s="36">
        <f t="shared" ca="1" si="243"/>
        <v>1</v>
      </c>
      <c r="AT86" s="41">
        <f t="shared" ca="1" si="243"/>
        <v>2</v>
      </c>
      <c r="AU86" s="323">
        <f ca="1">INDEX($DL$6:$DL$53,MATCH(AI86,$DP$6:$DP$53,0))</f>
        <v>1</v>
      </c>
      <c r="AV86" s="182" t="str">
        <f ca="1">INDEX($BD$6:$BD$53,MATCH(AI86,$BM$6:$BM$53,0))</f>
        <v>Colombia</v>
      </c>
      <c r="AW86" s="210"/>
      <c r="AX86" s="171"/>
      <c r="AY86" s="201" t="str">
        <f ca="1">+A85</f>
        <v>Portugal</v>
      </c>
      <c r="AZ86" s="202"/>
      <c r="BA86" s="176"/>
      <c r="DN86" s="16"/>
    </row>
    <row r="87" spans="1:118" ht="16.05" customHeight="1">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7"/>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Portugal</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Portugal</v>
      </c>
      <c r="AW87" s="210"/>
      <c r="AX87" s="171"/>
      <c r="AY87" s="203" t="str">
        <f ca="1">+A86</f>
        <v>RD Congo</v>
      </c>
      <c r="AZ87" s="204"/>
      <c r="BA87" s="176"/>
      <c r="DN87" s="16"/>
    </row>
    <row r="88" spans="1:118" ht="16.05" customHeight="1">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7"/>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05" customHeight="1" thickBot="1">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8"/>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1</v>
      </c>
      <c r="AO89" s="47">
        <f t="shared" ca="1" si="243"/>
        <v>0</v>
      </c>
      <c r="AP89" s="47">
        <f t="shared" ca="1" si="243"/>
        <v>0</v>
      </c>
      <c r="AQ89" s="47">
        <f t="shared" ca="1" si="243"/>
        <v>1</v>
      </c>
      <c r="AR89" s="47">
        <f t="shared" ca="1" si="243"/>
        <v>1</v>
      </c>
      <c r="AS89" s="47">
        <f t="shared" ca="1" si="243"/>
        <v>3</v>
      </c>
      <c r="AT89" s="48">
        <f t="shared" ca="1" si="243"/>
        <v>-2</v>
      </c>
      <c r="AU89" s="323">
        <f ca="1">INDEX($DL$6:$DL$53,MATCH(AI89,$DP$6:$DP$53,0))</f>
        <v>1</v>
      </c>
      <c r="AV89" s="182" t="str">
        <f ca="1">INDEX($BD$6:$BD$53,MATCH(AI89,$BM$6:$BM$53,0))</f>
        <v>Uzbekistán</v>
      </c>
      <c r="AW89" s="210"/>
      <c r="AX89" s="171"/>
      <c r="AY89" s="205" t="str">
        <f ca="1">+A88</f>
        <v>Colombia</v>
      </c>
      <c r="AZ89" s="206"/>
      <c r="BA89" s="176"/>
    </row>
    <row r="90" spans="1:118" ht="16.05" customHeight="1" thickBot="1">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05"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05" customHeight="1" thickBot="1">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44"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05" customHeight="1">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7"/>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05" customHeight="1">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05" customHeight="1">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7"/>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3</v>
      </c>
      <c r="AN95" s="39">
        <f t="shared" ca="1" si="259"/>
        <v>1</v>
      </c>
      <c r="AO95" s="39">
        <f t="shared" ca="1" si="259"/>
        <v>1</v>
      </c>
      <c r="AP95" s="39">
        <f t="shared" ca="1" si="259"/>
        <v>0</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05" customHeight="1">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7"/>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05" customHeight="1" thickBot="1">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8"/>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05" customHeight="1" thickBot="1">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05" customHeight="1" thickBot="1">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05" customHeight="1">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05" customHeight="1" thickBot="1">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6</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7"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ABCEFGHK</v>
      </c>
      <c r="BA101" s="176"/>
    </row>
    <row r="102" spans="1:62" ht="16.05" customHeight="1">
      <c r="A102" s="16" t="s">
        <v>88</v>
      </c>
      <c r="B102" s="16" t="s">
        <v>141</v>
      </c>
      <c r="C102" s="16"/>
      <c r="D102" s="16" t="str">
        <f t="shared" si="260"/>
        <v>W76</v>
      </c>
      <c r="E102" s="16" t="s">
        <v>103</v>
      </c>
      <c r="F102" s="16" t="s">
        <v>142</v>
      </c>
      <c r="G102" s="16" t="s">
        <v>76</v>
      </c>
      <c r="H102" s="16">
        <f t="shared" ca="1" si="261"/>
        <v>6</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Japón</v>
      </c>
      <c r="AM102" s="575">
        <f t="shared" ref="AM102:AT113" ca="1" si="269">+IF($H$113&gt;=48,INDEX($BE$58:$BN$69,MATCH($AL102,$BD$58:$BD$69,0),MATCH(AM$5,$BE$57:$BN$57,0)),$BB58)</f>
        <v>1</v>
      </c>
      <c r="AN102" s="82">
        <f t="shared" ca="1" si="269"/>
        <v>1</v>
      </c>
      <c r="AO102" s="82">
        <f t="shared" ca="1" si="269"/>
        <v>0</v>
      </c>
      <c r="AP102" s="82">
        <f t="shared" ca="1" si="269"/>
        <v>1</v>
      </c>
      <c r="AQ102" s="83">
        <f t="shared" ca="1" si="269"/>
        <v>0</v>
      </c>
      <c r="AR102" s="83">
        <f t="shared" ca="1" si="269"/>
        <v>2</v>
      </c>
      <c r="AS102" s="83">
        <f t="shared" ca="1" si="269"/>
        <v>2</v>
      </c>
      <c r="AT102" s="84">
        <f t="shared" ca="1" si="269"/>
        <v>0</v>
      </c>
      <c r="AU102" s="323" t="str">
        <f t="shared" ref="AU102:AU113" ca="1" si="270">IF($H$113=144,INDEX($DL$58:$DL$69,MATCH(AI102,$DP$58:$DP$69,0)),"")</f>
        <v/>
      </c>
      <c r="AV102" s="182" t="str">
        <f t="shared" ref="AV102:AV113" ca="1" si="271">INDEX($BD$58:$BD$69,MATCH(AI102,$BM$58:$BM$69,0))</f>
        <v>Japón</v>
      </c>
      <c r="AW102" s="215"/>
      <c r="AX102" s="170"/>
      <c r="AY102" s="154"/>
      <c r="AZ102" s="155"/>
      <c r="BA102" s="176"/>
      <c r="BE102" t="s">
        <v>144</v>
      </c>
      <c r="BF102" t="s">
        <v>145</v>
      </c>
      <c r="BG102" t="s">
        <v>146</v>
      </c>
      <c r="BI102" t="s">
        <v>147</v>
      </c>
    </row>
    <row r="103" spans="1:62" ht="16.05" customHeight="1">
      <c r="A103" s="16" t="s">
        <v>92</v>
      </c>
      <c r="B103" s="16" t="s">
        <v>80</v>
      </c>
      <c r="C103" s="16"/>
      <c r="D103" s="16" t="str">
        <f t="shared" si="260"/>
        <v>W74</v>
      </c>
      <c r="E103" s="16" t="s">
        <v>112</v>
      </c>
      <c r="F103" s="16" t="s">
        <v>85</v>
      </c>
      <c r="G103" s="16" t="s">
        <v>85</v>
      </c>
      <c r="H103" s="16">
        <f t="shared" ca="1" si="261"/>
        <v>4</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7"/>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Bélgica</v>
      </c>
      <c r="AM103" s="576">
        <f t="shared" ca="1" si="269"/>
        <v>1</v>
      </c>
      <c r="AN103" s="86">
        <f t="shared" ca="1" si="269"/>
        <v>1</v>
      </c>
      <c r="AO103" s="86">
        <f t="shared" ca="1" si="269"/>
        <v>0</v>
      </c>
      <c r="AP103" s="86">
        <f t="shared" ca="1" si="269"/>
        <v>1</v>
      </c>
      <c r="AQ103" s="86">
        <f t="shared" ca="1" si="269"/>
        <v>0</v>
      </c>
      <c r="AR103" s="86">
        <f t="shared" ca="1" si="269"/>
        <v>1</v>
      </c>
      <c r="AS103" s="86">
        <f t="shared" ca="1" si="269"/>
        <v>1</v>
      </c>
      <c r="AT103" s="87">
        <f t="shared" ca="1" si="269"/>
        <v>0</v>
      </c>
      <c r="AU103" s="323" t="str">
        <f t="shared" ca="1" si="270"/>
        <v/>
      </c>
      <c r="AV103" s="182" t="str">
        <f t="shared" ca="1" si="271"/>
        <v>Bélgica</v>
      </c>
      <c r="AW103" s="215"/>
      <c r="AX103" s="170"/>
      <c r="AY103" s="270"/>
      <c r="AZ103" s="273" t="str">
        <f t="shared" ref="AZ103:AZ110" ca="1" si="272">+IF(OR($H$113&gt;=48,$AJ$99=144),BF117&amp;" - "&amp;BG117,"")</f>
        <v>1A - 3H</v>
      </c>
      <c r="BA103" s="176"/>
      <c r="BF103" t="str">
        <f t="shared" ref="BF103:BF110" ca="1" si="273">IFERROR(INDEX($BC$6:$BC$53,MATCH(AL102,$BD$6:$BD$53,0)),"")</f>
        <v>F</v>
      </c>
      <c r="BG103">
        <f t="shared" ref="BG103:BG110" ca="1" si="274">COUNTIF($BF$103:$BF$110,"&lt;="&amp;BF103)</f>
        <v>5</v>
      </c>
      <c r="BI103">
        <v>1</v>
      </c>
      <c r="BJ103" t="str">
        <f t="shared" ref="BJ103:BJ110" ca="1" si="275">IFERROR(INDEX($BF$103:$BF$110,MATCH(BI103,$BG$103:$BG$110,0)),"Grupo")</f>
        <v>A</v>
      </c>
    </row>
    <row r="104" spans="1:62" ht="16.05" customHeight="1">
      <c r="A104" s="16" t="s">
        <v>79</v>
      </c>
      <c r="B104" s="16" t="s">
        <v>93</v>
      </c>
      <c r="C104" s="16"/>
      <c r="D104" s="16" t="str">
        <f t="shared" si="260"/>
        <v>W75</v>
      </c>
      <c r="E104" s="16" t="s">
        <v>85</v>
      </c>
      <c r="F104" s="16" t="s">
        <v>112</v>
      </c>
      <c r="G104" s="16" t="s">
        <v>94</v>
      </c>
      <c r="H104" s="16">
        <f t="shared" ca="1" si="261"/>
        <v>4</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7"/>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Marruecos</v>
      </c>
      <c r="AM104" s="576">
        <f t="shared" ca="1" si="269"/>
        <v>1</v>
      </c>
      <c r="AN104" s="86">
        <f t="shared" ca="1" si="269"/>
        <v>1</v>
      </c>
      <c r="AO104" s="86">
        <f t="shared" ca="1" si="269"/>
        <v>0</v>
      </c>
      <c r="AP104" s="86">
        <f t="shared" ca="1" si="269"/>
        <v>1</v>
      </c>
      <c r="AQ104" s="86">
        <f t="shared" ca="1" si="269"/>
        <v>0</v>
      </c>
      <c r="AR104" s="86">
        <f t="shared" ca="1" si="269"/>
        <v>1</v>
      </c>
      <c r="AS104" s="86">
        <f t="shared" ca="1" si="269"/>
        <v>1</v>
      </c>
      <c r="AT104" s="87">
        <f t="shared" ca="1" si="269"/>
        <v>0</v>
      </c>
      <c r="AU104" s="323" t="str">
        <f t="shared" ca="1" si="270"/>
        <v/>
      </c>
      <c r="AV104" s="182" t="str">
        <f t="shared" ca="1" si="271"/>
        <v>Marruecos</v>
      </c>
      <c r="AW104" s="215"/>
      <c r="AX104" s="170"/>
      <c r="AY104" s="270"/>
      <c r="AZ104" s="273" t="str">
        <f t="shared" ca="1" si="272"/>
        <v>1B - 3G</v>
      </c>
      <c r="BA104" s="176"/>
      <c r="BF104" t="str">
        <f t="shared" ca="1" si="273"/>
        <v>G</v>
      </c>
      <c r="BG104">
        <f t="shared" ca="1" si="274"/>
        <v>6</v>
      </c>
      <c r="BI104">
        <v>2</v>
      </c>
      <c r="BJ104" t="str">
        <f t="shared" ca="1" si="275"/>
        <v>B</v>
      </c>
    </row>
    <row r="105" spans="1:62" ht="16.05" customHeight="1">
      <c r="A105" s="16" t="s">
        <v>106</v>
      </c>
      <c r="B105" s="16" t="s">
        <v>150</v>
      </c>
      <c r="C105" s="16"/>
      <c r="D105" s="16" t="str">
        <f t="shared" si="260"/>
        <v>W78</v>
      </c>
      <c r="E105" s="16" t="s">
        <v>127</v>
      </c>
      <c r="F105" s="16" t="s">
        <v>142</v>
      </c>
      <c r="G105" s="16" t="s">
        <v>103</v>
      </c>
      <c r="H105" s="16">
        <f t="shared" ca="1" si="261"/>
        <v>4</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RD Congo</v>
      </c>
      <c r="AM105" s="576">
        <f t="shared" ca="1" si="269"/>
        <v>1</v>
      </c>
      <c r="AN105" s="86">
        <f t="shared" ca="1" si="269"/>
        <v>1</v>
      </c>
      <c r="AO105" s="86">
        <f t="shared" ca="1" si="269"/>
        <v>0</v>
      </c>
      <c r="AP105" s="86">
        <f t="shared" ca="1" si="269"/>
        <v>1</v>
      </c>
      <c r="AQ105" s="86">
        <f t="shared" ca="1" si="269"/>
        <v>0</v>
      </c>
      <c r="AR105" s="86">
        <f t="shared" ca="1" si="269"/>
        <v>1</v>
      </c>
      <c r="AS105" s="86">
        <f t="shared" ca="1" si="269"/>
        <v>1</v>
      </c>
      <c r="AT105" s="87">
        <f t="shared" ca="1" si="269"/>
        <v>0</v>
      </c>
      <c r="AU105" s="323" t="str">
        <f t="shared" ca="1" si="270"/>
        <v/>
      </c>
      <c r="AV105" s="182" t="str">
        <f t="shared" ca="1" si="271"/>
        <v>RD Congo</v>
      </c>
      <c r="AW105" s="215"/>
      <c r="AX105" s="170"/>
      <c r="AY105" s="270"/>
      <c r="AZ105" s="273" t="str">
        <f t="shared" ca="1" si="272"/>
        <v>1D - 3B</v>
      </c>
      <c r="BA105" s="176"/>
      <c r="BF105" t="str">
        <f t="shared" ca="1" si="273"/>
        <v>C</v>
      </c>
      <c r="BG105">
        <f t="shared" ca="1" si="274"/>
        <v>3</v>
      </c>
      <c r="BI105">
        <v>3</v>
      </c>
      <c r="BJ105" t="str">
        <f t="shared" ca="1" si="275"/>
        <v>C</v>
      </c>
    </row>
    <row r="106" spans="1:62" ht="16.05" customHeight="1">
      <c r="A106" s="16" t="s">
        <v>89</v>
      </c>
      <c r="B106" s="16" t="s">
        <v>107</v>
      </c>
      <c r="C106" s="16"/>
      <c r="D106" s="16" t="str">
        <f t="shared" si="260"/>
        <v>W77</v>
      </c>
      <c r="E106" s="16" t="s">
        <v>103</v>
      </c>
      <c r="F106" s="16" t="s">
        <v>127</v>
      </c>
      <c r="G106" s="16" t="s">
        <v>112</v>
      </c>
      <c r="H106" s="16">
        <f t="shared" ca="1" si="261"/>
        <v>4</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España</v>
      </c>
      <c r="AM106" s="576">
        <f t="shared" ca="1" si="269"/>
        <v>1</v>
      </c>
      <c r="AN106" s="86">
        <f t="shared" ca="1" si="269"/>
        <v>1</v>
      </c>
      <c r="AO106" s="86">
        <f t="shared" ca="1" si="269"/>
        <v>0</v>
      </c>
      <c r="AP106" s="86">
        <f t="shared" ca="1" si="269"/>
        <v>1</v>
      </c>
      <c r="AQ106" s="86">
        <f t="shared" ca="1" si="269"/>
        <v>0</v>
      </c>
      <c r="AR106" s="86">
        <f t="shared" ca="1" si="269"/>
        <v>0</v>
      </c>
      <c r="AS106" s="86">
        <f t="shared" ca="1" si="269"/>
        <v>0</v>
      </c>
      <c r="AT106" s="87">
        <f t="shared" ca="1" si="269"/>
        <v>0</v>
      </c>
      <c r="AU106" s="323" t="str">
        <f t="shared" ca="1" si="270"/>
        <v/>
      </c>
      <c r="AV106" s="182" t="str">
        <f t="shared" ca="1" si="271"/>
        <v>España</v>
      </c>
      <c r="AW106" s="215"/>
      <c r="AX106" s="170"/>
      <c r="AY106" s="270"/>
      <c r="AZ106" s="273" t="str">
        <f t="shared" ca="1" si="272"/>
        <v>1E - 3C</v>
      </c>
      <c r="BA106" s="176"/>
      <c r="BF106" t="str">
        <f t="shared" ca="1" si="273"/>
        <v>K</v>
      </c>
      <c r="BG106">
        <f t="shared" ca="1" si="274"/>
        <v>8</v>
      </c>
      <c r="BI106">
        <v>4</v>
      </c>
      <c r="BJ106" t="str">
        <f t="shared" ca="1" si="275"/>
        <v>E</v>
      </c>
    </row>
    <row r="107" spans="1:62" ht="16.05" customHeight="1">
      <c r="A107" s="16" t="s">
        <v>70</v>
      </c>
      <c r="B107" s="16" t="s">
        <v>153</v>
      </c>
      <c r="C107" s="16"/>
      <c r="D107" s="16" t="str">
        <f t="shared" si="260"/>
        <v>W79</v>
      </c>
      <c r="E107" s="16" t="s">
        <v>16</v>
      </c>
      <c r="F107" s="16" t="s">
        <v>142</v>
      </c>
      <c r="G107" s="16" t="s">
        <v>121</v>
      </c>
      <c r="H107" s="16">
        <f t="shared" ca="1" si="261"/>
        <v>4</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7"/>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República Checa</v>
      </c>
      <c r="AM107" s="576">
        <f t="shared" ca="1" si="269"/>
        <v>1</v>
      </c>
      <c r="AN107" s="86">
        <f t="shared" ca="1" si="269"/>
        <v>2</v>
      </c>
      <c r="AO107" s="86">
        <f t="shared" ca="1" si="269"/>
        <v>0</v>
      </c>
      <c r="AP107" s="86">
        <f t="shared" ca="1" si="269"/>
        <v>1</v>
      </c>
      <c r="AQ107" s="86">
        <f t="shared" ca="1" si="269"/>
        <v>1</v>
      </c>
      <c r="AR107" s="86">
        <f t="shared" ca="1" si="269"/>
        <v>2</v>
      </c>
      <c r="AS107" s="86">
        <f t="shared" ca="1" si="269"/>
        <v>3</v>
      </c>
      <c r="AT107" s="87">
        <f t="shared" ca="1" si="269"/>
        <v>-1</v>
      </c>
      <c r="AU107" s="323" t="str">
        <f t="shared" ca="1" si="270"/>
        <v/>
      </c>
      <c r="AV107" s="182" t="str">
        <f t="shared" ca="1" si="271"/>
        <v>República Checa</v>
      </c>
      <c r="AW107" s="215"/>
      <c r="AX107" s="170"/>
      <c r="AY107" s="270"/>
      <c r="AZ107" s="273" t="str">
        <f t="shared" ca="1" si="272"/>
        <v>1G - 3A</v>
      </c>
      <c r="BA107" s="176"/>
      <c r="BF107" t="str">
        <f t="shared" ca="1" si="273"/>
        <v>H</v>
      </c>
      <c r="BG107">
        <f t="shared" ca="1" si="274"/>
        <v>7</v>
      </c>
      <c r="BI107">
        <v>5</v>
      </c>
      <c r="BJ107" t="str">
        <f t="shared" ca="1" si="275"/>
        <v>F</v>
      </c>
    </row>
    <row r="108" spans="1:62" ht="16.05" customHeight="1">
      <c r="A108" s="16" t="s">
        <v>119</v>
      </c>
      <c r="B108" s="16" t="s">
        <v>155</v>
      </c>
      <c r="C108" s="16"/>
      <c r="D108" s="16" t="str">
        <f t="shared" si="260"/>
        <v>W80</v>
      </c>
      <c r="E108" s="16" t="s">
        <v>130</v>
      </c>
      <c r="F108" s="16" t="s">
        <v>142</v>
      </c>
      <c r="G108" s="16" t="s">
        <v>126</v>
      </c>
      <c r="H108" s="16">
        <f t="shared" ca="1" si="261"/>
        <v>4</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7"/>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Bosnia y Herzegovina</v>
      </c>
      <c r="AM108" s="576">
        <f t="shared" ca="1" si="269"/>
        <v>1</v>
      </c>
      <c r="AN108" s="86">
        <f t="shared" ca="1" si="269"/>
        <v>2</v>
      </c>
      <c r="AO108" s="86">
        <f t="shared" ca="1" si="269"/>
        <v>0</v>
      </c>
      <c r="AP108" s="86">
        <f t="shared" ca="1" si="269"/>
        <v>1</v>
      </c>
      <c r="AQ108" s="86">
        <f t="shared" ca="1" si="269"/>
        <v>1</v>
      </c>
      <c r="AR108" s="86">
        <f t="shared" ca="1" si="269"/>
        <v>2</v>
      </c>
      <c r="AS108" s="86">
        <f t="shared" ca="1" si="269"/>
        <v>5</v>
      </c>
      <c r="AT108" s="87">
        <f t="shared" ca="1" si="269"/>
        <v>-3</v>
      </c>
      <c r="AU108" s="323" t="str">
        <f t="shared" ca="1" si="270"/>
        <v/>
      </c>
      <c r="AV108" s="182" t="str">
        <f t="shared" ca="1" si="271"/>
        <v>Bosnia y Herzegovina</v>
      </c>
      <c r="AW108" s="215"/>
      <c r="AX108" s="170"/>
      <c r="AY108" s="270"/>
      <c r="AZ108" s="273" t="str">
        <f t="shared" ca="1" si="272"/>
        <v>1I - 3F</v>
      </c>
      <c r="BA108" s="176"/>
      <c r="BF108" t="str">
        <f t="shared" ca="1" si="273"/>
        <v>A</v>
      </c>
      <c r="BG108">
        <f t="shared" ca="1" si="274"/>
        <v>1</v>
      </c>
      <c r="BI108">
        <v>6</v>
      </c>
      <c r="BJ108" t="str">
        <f t="shared" ca="1" si="275"/>
        <v>G</v>
      </c>
    </row>
    <row r="109" spans="1:62" ht="16.05" customHeight="1">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Ecuador</v>
      </c>
      <c r="AM109" s="576">
        <f t="shared" ca="1" si="269"/>
        <v>0</v>
      </c>
      <c r="AN109" s="86">
        <f t="shared" ca="1" si="269"/>
        <v>1</v>
      </c>
      <c r="AO109" s="86">
        <f t="shared" ca="1" si="269"/>
        <v>0</v>
      </c>
      <c r="AP109" s="86">
        <f t="shared" ca="1" si="269"/>
        <v>0</v>
      </c>
      <c r="AQ109" s="86">
        <f t="shared" ca="1" si="269"/>
        <v>1</v>
      </c>
      <c r="AR109" s="86">
        <f t="shared" ca="1" si="269"/>
        <v>0</v>
      </c>
      <c r="AS109" s="86">
        <f t="shared" ca="1" si="269"/>
        <v>1</v>
      </c>
      <c r="AT109" s="87">
        <f t="shared" ca="1" si="269"/>
        <v>-1</v>
      </c>
      <c r="AU109" s="323" t="str">
        <f t="shared" ca="1" si="270"/>
        <v/>
      </c>
      <c r="AV109" s="182" t="str">
        <f t="shared" ca="1" si="271"/>
        <v>Ecuador</v>
      </c>
      <c r="AW109" s="215"/>
      <c r="AX109" s="170"/>
      <c r="AY109" s="270"/>
      <c r="AZ109" s="273" t="str">
        <f t="shared" ca="1" si="272"/>
        <v>1K - 3E</v>
      </c>
      <c r="BA109" s="176"/>
      <c r="BF109" t="str">
        <f t="shared" ca="1" si="273"/>
        <v>B</v>
      </c>
      <c r="BG109">
        <f t="shared" ca="1" si="274"/>
        <v>2</v>
      </c>
      <c r="BI109">
        <v>7</v>
      </c>
      <c r="BJ109" t="str">
        <f t="shared" ca="1" si="275"/>
        <v>H</v>
      </c>
    </row>
    <row r="110" spans="1:62" ht="16.05" customHeight="1">
      <c r="A110" s="16" t="s">
        <v>97</v>
      </c>
      <c r="B110" s="16" t="s">
        <v>159</v>
      </c>
      <c r="C110" s="16"/>
      <c r="D110" s="16" t="str">
        <f t="shared" si="260"/>
        <v>W81</v>
      </c>
      <c r="E110" s="16" t="s">
        <v>121</v>
      </c>
      <c r="F110" s="16" t="s">
        <v>142</v>
      </c>
      <c r="G110" s="16" t="s">
        <v>128</v>
      </c>
      <c r="H110" s="16">
        <f t="shared" ca="1" si="261"/>
        <v>4</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Panamá</v>
      </c>
      <c r="AM110" s="576">
        <f t="shared" ca="1" si="269"/>
        <v>0</v>
      </c>
      <c r="AN110" s="86">
        <f t="shared" ca="1" si="269"/>
        <v>1</v>
      </c>
      <c r="AO110" s="86">
        <f t="shared" ca="1" si="269"/>
        <v>0</v>
      </c>
      <c r="AP110" s="86">
        <f t="shared" ca="1" si="269"/>
        <v>0</v>
      </c>
      <c r="AQ110" s="86">
        <f t="shared" ca="1" si="269"/>
        <v>1</v>
      </c>
      <c r="AR110" s="86">
        <f t="shared" ca="1" si="269"/>
        <v>0</v>
      </c>
      <c r="AS110" s="86">
        <f t="shared" ca="1" si="269"/>
        <v>1</v>
      </c>
      <c r="AT110" s="87">
        <f t="shared" ca="1" si="269"/>
        <v>-1</v>
      </c>
      <c r="AU110" s="323" t="str">
        <f t="shared" ca="1" si="270"/>
        <v/>
      </c>
      <c r="AV110" s="182" t="str">
        <f t="shared" ca="1" si="271"/>
        <v>Panamá</v>
      </c>
      <c r="AW110" s="215"/>
      <c r="AX110" s="170"/>
      <c r="AY110" s="270"/>
      <c r="AZ110" s="273" t="str">
        <f t="shared" ca="1" si="272"/>
        <v>1L - 3K</v>
      </c>
      <c r="BA110" s="176"/>
      <c r="BF110" t="str">
        <f t="shared" ca="1" si="273"/>
        <v>E</v>
      </c>
      <c r="BG110">
        <f t="shared" ca="1" si="274"/>
        <v>4</v>
      </c>
      <c r="BI110">
        <v>8</v>
      </c>
      <c r="BJ110" t="str">
        <f t="shared" ca="1" si="275"/>
        <v>K</v>
      </c>
    </row>
    <row r="111" spans="1:62" ht="16.05" customHeight="1">
      <c r="A111" s="16" t="s">
        <v>116</v>
      </c>
      <c r="B111" s="16" t="s">
        <v>120</v>
      </c>
      <c r="C111" s="16"/>
      <c r="D111" s="16" t="str">
        <f t="shared" si="260"/>
        <v>W84</v>
      </c>
      <c r="E111" s="16" t="s">
        <v>129</v>
      </c>
      <c r="F111" s="16" t="s">
        <v>130</v>
      </c>
      <c r="G111" s="16" t="s">
        <v>129</v>
      </c>
      <c r="H111" s="16">
        <f t="shared" ca="1" si="261"/>
        <v>4</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7"/>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Jordania</v>
      </c>
      <c r="AM111" s="576">
        <f t="shared" ca="1" si="269"/>
        <v>0</v>
      </c>
      <c r="AN111" s="86">
        <f t="shared" ca="1" si="269"/>
        <v>1</v>
      </c>
      <c r="AO111" s="86">
        <f t="shared" ca="1" si="269"/>
        <v>0</v>
      </c>
      <c r="AP111" s="86">
        <f t="shared" ca="1" si="269"/>
        <v>0</v>
      </c>
      <c r="AQ111" s="86">
        <f t="shared" ca="1" si="269"/>
        <v>1</v>
      </c>
      <c r="AR111" s="86">
        <f t="shared" ca="1" si="269"/>
        <v>1</v>
      </c>
      <c r="AS111" s="86">
        <f t="shared" ca="1" si="269"/>
        <v>3</v>
      </c>
      <c r="AT111" s="87">
        <f t="shared" ca="1" si="269"/>
        <v>-2</v>
      </c>
      <c r="AU111" s="323" t="str">
        <f t="shared" ca="1" si="270"/>
        <v/>
      </c>
      <c r="AV111" s="182" t="str">
        <f t="shared" ca="1" si="271"/>
        <v>Jordania</v>
      </c>
      <c r="AW111" s="215"/>
      <c r="AX111" s="170"/>
      <c r="AY111" s="269"/>
      <c r="AZ111" s="269"/>
      <c r="BA111" s="176"/>
      <c r="BI111" t="s">
        <v>162</v>
      </c>
    </row>
    <row r="112" spans="1:62" ht="16.05" customHeight="1">
      <c r="A112" s="16" t="s">
        <v>101</v>
      </c>
      <c r="B112" s="16" t="s">
        <v>111</v>
      </c>
      <c r="C112" s="16"/>
      <c r="D112" s="16" t="str">
        <f t="shared" si="260"/>
        <v>W83</v>
      </c>
      <c r="E112" s="16" t="s">
        <v>126</v>
      </c>
      <c r="F112" s="16" t="s">
        <v>128</v>
      </c>
      <c r="G112" s="16" t="s">
        <v>130</v>
      </c>
      <c r="H112" s="16">
        <f t="shared" ca="1" si="261"/>
        <v>4</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Senegal</v>
      </c>
      <c r="AM112" s="576">
        <f t="shared" ca="1" si="269"/>
        <v>0</v>
      </c>
      <c r="AN112" s="86">
        <f t="shared" ca="1" si="269"/>
        <v>1</v>
      </c>
      <c r="AO112" s="86">
        <f t="shared" ca="1" si="269"/>
        <v>0</v>
      </c>
      <c r="AP112" s="86">
        <f t="shared" ca="1" si="269"/>
        <v>0</v>
      </c>
      <c r="AQ112" s="86">
        <f t="shared" ca="1" si="269"/>
        <v>1</v>
      </c>
      <c r="AR112" s="86">
        <f t="shared" ca="1" si="269"/>
        <v>1</v>
      </c>
      <c r="AS112" s="86">
        <f t="shared" ca="1" si="269"/>
        <v>3</v>
      </c>
      <c r="AT112" s="87">
        <f t="shared" ca="1" si="269"/>
        <v>-2</v>
      </c>
      <c r="AU112" s="323" t="str">
        <f t="shared" ca="1" si="270"/>
        <v/>
      </c>
      <c r="AV112" s="182" t="str">
        <f t="shared" ca="1" si="271"/>
        <v>Senegal</v>
      </c>
      <c r="AW112" s="215"/>
      <c r="AX112" s="170"/>
      <c r="AY112" s="269"/>
      <c r="AZ112" s="269"/>
      <c r="BA112" s="176"/>
      <c r="BI112" t="str">
        <f ca="1">IFERROR(CONCATENATE(BJ103,BJ104,BJ105,BJ106,BJ107,BJ108,BJ109,BJ110),"¿A/B/C/D/E/F/G/H/I/J/K/L?")</f>
        <v>ABCEFGHK</v>
      </c>
    </row>
    <row r="113" spans="1:59" ht="16.05" customHeight="1" thickBot="1">
      <c r="A113" s="16" t="s">
        <v>74</v>
      </c>
      <c r="B113" s="16" t="s">
        <v>164</v>
      </c>
      <c r="C113" s="16"/>
      <c r="D113" s="16" t="str">
        <f t="shared" si="260"/>
        <v>W85</v>
      </c>
      <c r="E113" s="16" t="s">
        <v>76</v>
      </c>
      <c r="F113" s="16" t="s">
        <v>142</v>
      </c>
      <c r="G113" s="16" t="s">
        <v>142</v>
      </c>
      <c r="H113" s="16">
        <f ca="1">+IF($AJ$99&lt;&gt;144,SUM(H101:H112),$AJ$99)</f>
        <v>52</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Turquía</v>
      </c>
      <c r="AM113" s="577">
        <f t="shared" ca="1" si="269"/>
        <v>0</v>
      </c>
      <c r="AN113" s="47">
        <f t="shared" ca="1" si="269"/>
        <v>1</v>
      </c>
      <c r="AO113" s="47">
        <f t="shared" ca="1" si="269"/>
        <v>0</v>
      </c>
      <c r="AP113" s="47">
        <f t="shared" ca="1" si="269"/>
        <v>0</v>
      </c>
      <c r="AQ113" s="47">
        <f t="shared" ca="1" si="269"/>
        <v>1</v>
      </c>
      <c r="AR113" s="47">
        <f t="shared" ca="1" si="269"/>
        <v>0</v>
      </c>
      <c r="AS113" s="47">
        <f t="shared" ca="1" si="269"/>
        <v>2</v>
      </c>
      <c r="AT113" s="48">
        <f t="shared" ca="1" si="269"/>
        <v>-2</v>
      </c>
      <c r="AU113" s="323" t="str">
        <f t="shared" ca="1" si="270"/>
        <v/>
      </c>
      <c r="AV113" s="182" t="str">
        <f t="shared" ca="1" si="271"/>
        <v>Turquía</v>
      </c>
      <c r="AW113" s="215"/>
      <c r="AX113" s="170"/>
      <c r="AY113" s="154"/>
      <c r="AZ113" s="155"/>
      <c r="BA113" s="176"/>
    </row>
    <row r="114" spans="1:59" ht="16.05" customHeight="1">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05" customHeight="1">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7"/>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05" customHeight="1" thickBot="1">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05"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05"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05"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05" customHeight="1">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9"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05" customHeight="1">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05" customHeight="1">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05" customHeight="1">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3E</v>
      </c>
    </row>
    <row r="124" spans="1:59" ht="16.05" customHeight="1">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05" customHeight="1">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05" customHeight="1">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05" customHeight="1" thickBot="1">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05"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05"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05"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05" customHeight="1">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05" customHeight="1">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05" customHeight="1">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05" customHeight="1" thickBot="1">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05"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05" customHeight="1" thickBot="1">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05" customHeight="1">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05" customHeight="1">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3"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05" customHeight="1" thickBot="1">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4"/>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05"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05"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05"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05" customHeight="1" thickBot="1">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05"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05"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05"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05" customHeight="1" thickBot="1">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05"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05"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05" customHeight="1">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05"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05"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05"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05"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05" customHeight="1">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05" customHeight="1" thickBot="1">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05"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05"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05"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05" customHeight="1" thickBot="1">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19.95"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05"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05" customHeight="1">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05" customHeight="1">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05" customHeight="1">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32"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1" priority="31" stopIfTrue="1">
      <formula>AC4=""</formula>
    </cfRule>
  </conditionalFormatting>
  <conditionalFormatting sqref="AJ8:AT8 AJ16:AT16 AJ24:AT24 AJ32:AT32 AJ40:AT40 AJ48:AT48 AJ56:AT56 AJ64:AT64 AJ72:AT72 AJ80:AT80 AJ88:AT88 AJ96:AT96 AJ110:AT113">
    <cfRule type="expression" dxfId="30" priority="5">
      <formula>AND(OR(SUM($AN$102:$AN$113)=36,$AJ$99=144),COUNTIF($AL$110:$AL$113,$AL8))</formula>
    </cfRule>
  </conditionalFormatting>
  <conditionalFormatting sqref="AJ9:AT9 AJ17:AT17 AJ25:AT25 AJ33:AT33 AJ41:AT41 AJ49:AT49 AJ57:AT57 AJ65:AT65 AJ73:AT73 AJ81:AT81 AJ89:AT89 AJ97:AT97">
    <cfRule type="expression" dxfId="29" priority="298" stopIfTrue="1">
      <formula>OR(SUM($AN6:$AN9)=12,$AJ$99=144)</formula>
    </cfRule>
  </conditionalFormatting>
  <conditionalFormatting sqref="AL115">
    <cfRule type="expression" dxfId="28" priority="2">
      <formula>IF($AJ$99=144,1,0)</formula>
    </cfRule>
  </conditionalFormatting>
  <conditionalFormatting sqref="AL116">
    <cfRule type="expression" dxfId="27" priority="1">
      <formula>IF($AJ$99=144,1,0)</formula>
    </cfRule>
  </conditionalFormatting>
  <conditionalFormatting sqref="AM102:AM113 AR102:AT113">
    <cfRule type="expression" dxfId="26" priority="710" stopIfTrue="1">
      <formula>$BB$57=3</formula>
    </cfRule>
  </conditionalFormatting>
  <conditionalFormatting sqref="AV6:AV9 AV14:AV17 AV22:AV25 AV30:AV33 AV38:AV41 AV46:AV49 AV54:AV57 AV62:AV65 AV70:AV73 AV78:AV81 AV86:AV89 AV94:AV97">
    <cfRule type="expression" dxfId="25" priority="916" stopIfTrue="1">
      <formula>INDEX($DL$6:$DL$53,MATCH($AL6,$DQ$6:$DQ$53,0))&gt;1</formula>
    </cfRule>
  </conditionalFormatting>
  <conditionalFormatting sqref="AV102:AV113">
    <cfRule type="expression" dxfId="24" priority="928" stopIfTrue="1">
      <formula>AND(INDEX($DL$58:$DL$69,MATCH($AL102,$DQ$58:$DQ$69,0))&gt;1,$H$113=144)</formula>
    </cfRule>
  </conditionalFormatting>
  <conditionalFormatting sqref="AW6:AW9 AW14:AW17 AW22:AW25 AW30:AW33 AW38:AW41 AW46:AW49 AW54:AW57 AW62:AW65 AW70:AW73 AW78:AW81 AW86:AW89 AW94:AW97">
    <cfRule type="expression" dxfId="23" priority="929" stopIfTrue="1">
      <formula>INDEX($DL$6:$DL$53,MATCH($AL6,$DQ$6:$DQ$53,0))&gt;1</formula>
    </cfRule>
  </conditionalFormatting>
  <conditionalFormatting sqref="AW102:AW113">
    <cfRule type="expression" dxfId="22" priority="941">
      <formula>AND(INDEX($DL$58:$DL$69,MATCH($AL102,$DQ$58:$DQ$69,0))&gt;1,$H$113=144)</formula>
    </cfRule>
  </conditionalFormatting>
  <conditionalFormatting sqref="AY5:AZ97">
    <cfRule type="expression" dxfId="21" priority="942">
      <formula>IF($AZ$3="No",1,0)</formula>
    </cfRule>
  </conditionalFormatting>
  <conditionalFormatting sqref="AY101:AZ101">
    <cfRule type="expression" dxfId="20"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4.4"/>
  <cols>
    <col min="1" max="1" width="10.77734375" style="13" customWidth="1"/>
    <col min="2" max="2" width="29.44140625" customWidth="1"/>
    <col min="3" max="3" width="35" customWidth="1"/>
    <col min="4" max="4" width="12.6640625" style="224" customWidth="1"/>
    <col min="5" max="8" width="10.77734375" style="224" customWidth="1"/>
    <col min="9" max="9" width="3.109375" style="224" customWidth="1"/>
    <col min="10" max="12" width="10.77734375" style="224" customWidth="1"/>
    <col min="13" max="13" width="3.6640625" style="224" customWidth="1"/>
    <col min="14" max="14" width="4.6640625" style="224" customWidth="1"/>
    <col min="15" max="15" width="4" customWidth="1"/>
    <col min="16" max="16" width="4.77734375" customWidth="1"/>
    <col min="17" max="19" width="10.77734375" style="1" hidden="1" customWidth="1"/>
    <col min="20" max="16384" width="10.77734375" style="1" hidden="1"/>
  </cols>
  <sheetData>
    <row r="1" spans="1:14" ht="19.95" customHeight="1">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19.95" customHeight="1" thickBot="1">
      <c r="A2" s="284"/>
      <c r="B2" s="285"/>
      <c r="C2" s="285"/>
      <c r="D2" s="360"/>
      <c r="E2" s="620"/>
      <c r="F2" s="620"/>
      <c r="G2" s="620"/>
      <c r="H2" s="620"/>
      <c r="I2" s="620"/>
      <c r="J2" s="620"/>
      <c r="K2" s="620"/>
      <c r="L2" s="620"/>
      <c r="M2" s="620"/>
      <c r="N2" s="620"/>
    </row>
    <row r="3" spans="1:14" ht="34.950000000000003" customHeight="1" thickBot="1">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05" customHeight="1">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6"/>
      <c r="E31" s="656"/>
      <c r="F31" s="656"/>
      <c r="G31" s="656"/>
      <c r="H31" s="656"/>
      <c r="I31" s="372"/>
      <c r="J31" s="361"/>
      <c r="K31" s="361"/>
      <c r="L31" s="361"/>
      <c r="M31" s="370"/>
      <c r="N31" s="368"/>
    </row>
    <row r="32" spans="1:14" ht="15" customHeight="1">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6"/>
      <c r="E33" s="656"/>
      <c r="F33" s="656"/>
      <c r="G33" s="656"/>
      <c r="H33" s="656"/>
      <c r="I33" s="372"/>
      <c r="J33" s="361"/>
      <c r="K33" s="361"/>
      <c r="L33" s="361"/>
      <c r="M33" s="370"/>
      <c r="N33" s="368"/>
    </row>
    <row r="34" spans="1:14" ht="15" customHeight="1">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6"/>
      <c r="E34" s="361"/>
      <c r="F34" s="361"/>
      <c r="G34" s="361"/>
      <c r="H34" s="361"/>
      <c r="I34" s="372"/>
      <c r="J34" s="361"/>
      <c r="K34" s="361"/>
      <c r="L34" s="361"/>
      <c r="M34" s="370"/>
      <c r="N34" s="368"/>
    </row>
    <row r="35" spans="1:14" ht="15" customHeight="1">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6"/>
      <c r="E35" s="361"/>
      <c r="F35" s="361"/>
      <c r="G35" s="361"/>
      <c r="H35" s="361"/>
      <c r="I35" s="372"/>
      <c r="J35" s="361"/>
      <c r="K35" s="361"/>
      <c r="L35" s="361"/>
      <c r="M35" s="370"/>
      <c r="N35" s="368"/>
    </row>
    <row r="36" spans="1:14" ht="15" customHeight="1">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6"/>
      <c r="E36" s="361"/>
      <c r="F36" s="361"/>
      <c r="G36" s="361"/>
      <c r="H36" s="361"/>
      <c r="I36" s="372"/>
      <c r="J36" s="361"/>
      <c r="K36" s="361"/>
      <c r="L36" s="361"/>
      <c r="M36" s="370"/>
      <c r="N36" s="368"/>
    </row>
    <row r="37" spans="1:14" ht="15" customHeight="1">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6"/>
      <c r="E37" s="361"/>
      <c r="F37" s="361"/>
      <c r="G37" s="361"/>
      <c r="H37" s="361"/>
      <c r="I37" s="372"/>
      <c r="J37" s="361"/>
      <c r="K37" s="361"/>
      <c r="L37" s="361"/>
      <c r="M37" s="370"/>
      <c r="N37" s="368"/>
    </row>
    <row r="38" spans="1:14" ht="15" customHeight="1">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6"/>
      <c r="E38" s="361"/>
      <c r="F38" s="361"/>
      <c r="G38" s="361"/>
      <c r="H38" s="361"/>
      <c r="I38" s="372"/>
      <c r="J38" s="361"/>
      <c r="K38" s="361"/>
      <c r="L38" s="361"/>
      <c r="M38" s="370"/>
      <c r="N38" s="368"/>
    </row>
    <row r="39" spans="1:14" ht="15" customHeight="1">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6"/>
      <c r="E39" s="361"/>
      <c r="F39" s="361"/>
      <c r="G39" s="361"/>
      <c r="H39" s="361"/>
      <c r="I39" s="372"/>
      <c r="J39" s="361"/>
      <c r="K39" s="361"/>
      <c r="L39" s="361"/>
      <c r="M39" s="370"/>
      <c r="N39" s="368"/>
    </row>
    <row r="40" spans="1:14" ht="15" customHeight="1">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6"/>
      <c r="E40" s="361"/>
      <c r="F40" s="361"/>
      <c r="G40" s="361"/>
      <c r="H40" s="361"/>
      <c r="I40" s="372"/>
      <c r="J40" s="361"/>
      <c r="K40" s="361"/>
      <c r="L40" s="361"/>
      <c r="M40" s="370"/>
      <c r="N40" s="368"/>
    </row>
    <row r="41" spans="1:14" ht="15" customHeight="1">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6"/>
      <c r="E41" s="361"/>
      <c r="F41" s="361"/>
      <c r="G41" s="361"/>
      <c r="H41" s="361"/>
      <c r="I41" s="372"/>
      <c r="J41" s="361"/>
      <c r="K41" s="361"/>
      <c r="L41" s="361"/>
      <c r="M41" s="370"/>
      <c r="N41" s="368"/>
    </row>
    <row r="42" spans="1:14" ht="15" customHeight="1">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c r="A78" s="223"/>
      <c r="B78" s="223"/>
      <c r="C78" s="343"/>
      <c r="D78" s="656"/>
      <c r="E78" s="361"/>
      <c r="F78" s="361"/>
      <c r="G78" s="361"/>
      <c r="H78" s="361"/>
      <c r="I78" s="372"/>
      <c r="J78" s="361"/>
      <c r="K78" s="361"/>
      <c r="L78" s="361"/>
      <c r="M78" s="370"/>
      <c r="N78" s="368"/>
    </row>
    <row r="79" spans="1:14" ht="19.05" customHeight="1">
      <c r="A79" s="223"/>
      <c r="B79" s="350" t="str">
        <f>Idiomas!D126</f>
        <v>POSICIÓN GRUPOS</v>
      </c>
      <c r="C79" s="343"/>
      <c r="D79" s="656"/>
      <c r="E79" s="361"/>
      <c r="F79" s="361"/>
      <c r="G79" s="361"/>
      <c r="H79" s="361"/>
      <c r="I79" s="372"/>
      <c r="J79" s="361"/>
      <c r="K79" s="361"/>
      <c r="L79" s="361"/>
      <c r="M79" s="370"/>
      <c r="N79" s="368"/>
    </row>
    <row r="80" spans="1:14" ht="15" customHeight="1">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c r="A81" s="620"/>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c r="A82" s="620"/>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c r="A83" s="620"/>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c r="A85" s="620"/>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c r="A86" s="620"/>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c r="A87" s="620"/>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c r="A89" s="620"/>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c r="A90" s="620"/>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c r="A91" s="620"/>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c r="A93" s="620"/>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c r="A94" s="620"/>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c r="A95" s="620"/>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c r="A97" s="620"/>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c r="A98" s="620"/>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c r="A99" s="620"/>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c r="A101" s="620"/>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c r="A102" s="620"/>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c r="A103" s="620"/>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c r="A105" s="620"/>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c r="A106" s="620"/>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c r="A107" s="620"/>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c r="A109" s="620"/>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c r="A110" s="620"/>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c r="A111" s="620"/>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c r="A113" s="620"/>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c r="A114" s="620"/>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c r="A115" s="620"/>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c r="A117" s="620"/>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c r="A118" s="620"/>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c r="A119" s="620"/>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c r="A121" s="620"/>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c r="A122" s="620"/>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c r="A123" s="620"/>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c r="A125" s="620"/>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c r="A126" s="620"/>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c r="A127" s="620"/>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c r="A128" s="223"/>
      <c r="B128" s="223"/>
      <c r="C128" s="343"/>
      <c r="D128" s="656"/>
      <c r="E128" s="361"/>
      <c r="F128" s="361"/>
      <c r="G128" s="361"/>
      <c r="H128" s="361"/>
      <c r="I128" s="372"/>
      <c r="J128" s="361"/>
      <c r="K128" s="361"/>
      <c r="L128" s="361"/>
      <c r="M128" s="370"/>
      <c r="N128" s="368"/>
    </row>
    <row r="129" spans="1:14" ht="19.05" customHeight="1">
      <c r="A129" s="223"/>
      <c r="B129" s="350" t="str">
        <f>Idiomas!D127</f>
        <v>CLASIFICADOS PARA DIECISEISAVOS</v>
      </c>
      <c r="C129" s="343"/>
      <c r="D129" s="656"/>
      <c r="E129" s="361"/>
      <c r="F129" s="361"/>
      <c r="G129" s="361"/>
      <c r="H129" s="361"/>
      <c r="I129" s="372"/>
      <c r="J129" s="361"/>
      <c r="K129" s="361"/>
      <c r="L129" s="361"/>
      <c r="M129" s="370"/>
      <c r="N129" s="368"/>
    </row>
    <row r="130" spans="1:14" ht="15" customHeight="1">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c r="A131" s="620"/>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c r="A132" s="620"/>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c r="A133" s="620"/>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c r="A134" s="620"/>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c r="A135" s="620"/>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c r="A136" s="620"/>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c r="A137" s="620"/>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c r="A138" s="620"/>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c r="A139" s="620"/>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c r="A140" s="620"/>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c r="A141" s="620"/>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c r="A142" s="620"/>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c r="A143" s="620"/>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c r="A144" s="620"/>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c r="A145" s="620"/>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c r="A146" s="620"/>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c r="A147" s="620"/>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c r="A148" s="620"/>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c r="A149" s="620"/>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c r="A150" s="620"/>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c r="A151" s="620"/>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c r="A152" s="620"/>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c r="A153" s="620"/>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c r="A154" s="620"/>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c r="A155" s="620"/>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c r="A156" s="620"/>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c r="A157" s="620"/>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c r="A158" s="620"/>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c r="A159" s="620"/>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c r="A160" s="620"/>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c r="A161" s="620"/>
      <c r="B161" s="352" t="str">
        <f t="shared" si="1"/>
        <v>Dieciseisavofinalista</v>
      </c>
      <c r="C161" s="342" t="str">
        <f ca="1">WORLDCUP!AF116</f>
        <v>3DEIJL</v>
      </c>
      <c r="D161" s="662"/>
      <c r="E161" s="363"/>
      <c r="F161" s="363"/>
      <c r="G161" s="363"/>
      <c r="H161" s="363"/>
      <c r="I161" s="373"/>
      <c r="J161" s="374"/>
      <c r="K161" s="363"/>
      <c r="L161" s="363"/>
      <c r="M161" s="375"/>
      <c r="N161" s="368"/>
    </row>
    <row r="162" spans="1:14" ht="19.95" customHeight="1">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2.95" customHeight="1">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c r="A165" s="620"/>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0"/>
      <c r="E165" s="656"/>
      <c r="F165" s="656"/>
      <c r="G165" s="656"/>
      <c r="H165" s="656"/>
      <c r="I165" s="345"/>
      <c r="J165" s="361"/>
      <c r="K165" s="361"/>
      <c r="L165" s="361"/>
      <c r="M165" s="377"/>
      <c r="N165" s="368"/>
    </row>
    <row r="166" spans="1:14" ht="15" customHeight="1">
      <c r="A166" s="620"/>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0"/>
      <c r="E166" s="656"/>
      <c r="F166" s="656"/>
      <c r="G166" s="656"/>
      <c r="H166" s="656"/>
      <c r="I166" s="345"/>
      <c r="J166" s="361"/>
      <c r="K166" s="361"/>
      <c r="L166" s="361"/>
      <c r="M166" s="377"/>
      <c r="N166" s="368"/>
    </row>
    <row r="167" spans="1:14" ht="15" customHeight="1">
      <c r="A167" s="620"/>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0"/>
      <c r="E167" s="656"/>
      <c r="F167" s="656"/>
      <c r="G167" s="656"/>
      <c r="H167" s="656"/>
      <c r="I167" s="345"/>
      <c r="J167" s="361"/>
      <c r="K167" s="361"/>
      <c r="L167" s="361"/>
      <c r="M167" s="377"/>
      <c r="N167" s="368"/>
    </row>
    <row r="168" spans="1:14" ht="15" customHeight="1">
      <c r="A168" s="620"/>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0"/>
      <c r="E168" s="361"/>
      <c r="F168" s="361"/>
      <c r="G168" s="361"/>
      <c r="H168" s="361"/>
      <c r="I168" s="345"/>
      <c r="J168" s="361"/>
      <c r="K168" s="361"/>
      <c r="L168" s="361"/>
      <c r="M168" s="377"/>
      <c r="N168" s="368"/>
    </row>
    <row r="169" spans="1:14" ht="15" customHeight="1">
      <c r="A169" s="620"/>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0"/>
      <c r="E169" s="361"/>
      <c r="F169" s="361"/>
      <c r="G169" s="361"/>
      <c r="H169" s="361"/>
      <c r="I169" s="345"/>
      <c r="J169" s="361"/>
      <c r="K169" s="361"/>
      <c r="L169" s="361"/>
      <c r="M169" s="377"/>
      <c r="N169" s="368"/>
    </row>
    <row r="170" spans="1:14" ht="15" customHeight="1">
      <c r="A170" s="620"/>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0"/>
      <c r="E170" s="361"/>
      <c r="F170" s="361"/>
      <c r="G170" s="361"/>
      <c r="H170" s="361"/>
      <c r="I170" s="345"/>
      <c r="J170" s="361"/>
      <c r="K170" s="361"/>
      <c r="L170" s="361"/>
      <c r="M170" s="377"/>
      <c r="N170" s="368"/>
    </row>
    <row r="171" spans="1:14" ht="15" customHeight="1">
      <c r="A171" s="620"/>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0"/>
      <c r="E171" s="361"/>
      <c r="F171" s="361"/>
      <c r="G171" s="361"/>
      <c r="H171" s="361"/>
      <c r="I171" s="345"/>
      <c r="J171" s="361"/>
      <c r="K171" s="361"/>
      <c r="L171" s="361"/>
      <c r="M171" s="377"/>
      <c r="N171" s="368"/>
    </row>
    <row r="172" spans="1:14" ht="15" customHeight="1">
      <c r="A172" s="620"/>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0"/>
      <c r="E172" s="361"/>
      <c r="F172" s="361"/>
      <c r="G172" s="361"/>
      <c r="H172" s="361"/>
      <c r="I172" s="345"/>
      <c r="J172" s="361"/>
      <c r="K172" s="361"/>
      <c r="L172" s="361"/>
      <c r="M172" s="377"/>
      <c r="N172" s="368"/>
    </row>
    <row r="173" spans="1:14" ht="15" customHeight="1">
      <c r="A173" s="620"/>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0"/>
      <c r="E173" s="361"/>
      <c r="F173" s="361"/>
      <c r="G173" s="361"/>
      <c r="H173" s="361"/>
      <c r="I173" s="345"/>
      <c r="J173" s="361"/>
      <c r="K173" s="361"/>
      <c r="L173" s="361"/>
      <c r="M173" s="377"/>
      <c r="N173" s="368"/>
    </row>
    <row r="174" spans="1:14" ht="15" customHeight="1">
      <c r="A174" s="620"/>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0"/>
      <c r="E174" s="361"/>
      <c r="F174" s="361"/>
      <c r="G174" s="361"/>
      <c r="H174" s="361"/>
      <c r="I174" s="345"/>
      <c r="J174" s="361"/>
      <c r="K174" s="361"/>
      <c r="L174" s="361"/>
      <c r="M174" s="377"/>
      <c r="N174" s="368"/>
    </row>
    <row r="175" spans="1:14" ht="15" customHeight="1">
      <c r="A175" s="620"/>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0"/>
      <c r="E175" s="361"/>
      <c r="F175" s="361"/>
      <c r="G175" s="361"/>
      <c r="H175" s="361"/>
      <c r="I175" s="345"/>
      <c r="J175" s="361"/>
      <c r="K175" s="361"/>
      <c r="L175" s="361"/>
      <c r="M175" s="377"/>
      <c r="N175" s="368"/>
    </row>
    <row r="176" spans="1:14" ht="15" customHeight="1">
      <c r="A176" s="620"/>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0"/>
      <c r="E176" s="361"/>
      <c r="F176" s="361"/>
      <c r="G176" s="361"/>
      <c r="H176" s="361"/>
      <c r="I176" s="345"/>
      <c r="J176" s="361"/>
      <c r="K176" s="361"/>
      <c r="L176" s="361"/>
      <c r="M176" s="377"/>
      <c r="N176" s="368"/>
    </row>
    <row r="177" spans="1:14" ht="15" customHeight="1">
      <c r="A177" s="620"/>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0"/>
      <c r="E177" s="361"/>
      <c r="F177" s="361"/>
      <c r="G177" s="361"/>
      <c r="H177" s="361"/>
      <c r="I177" s="345"/>
      <c r="J177" s="361"/>
      <c r="K177" s="361"/>
      <c r="L177" s="361"/>
      <c r="M177" s="377"/>
      <c r="N177" s="368"/>
    </row>
    <row r="178" spans="1:14" ht="15" customHeight="1">
      <c r="A178" s="620"/>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0"/>
      <c r="E178" s="361"/>
      <c r="F178" s="361"/>
      <c r="G178" s="361"/>
      <c r="H178" s="361"/>
      <c r="I178" s="345"/>
      <c r="J178" s="361"/>
      <c r="K178" s="361"/>
      <c r="L178" s="361"/>
      <c r="M178" s="377"/>
      <c r="N178" s="368"/>
    </row>
    <row r="179" spans="1:14" ht="15" customHeight="1">
      <c r="A179" s="620"/>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0"/>
      <c r="E179" s="361"/>
      <c r="F179" s="361"/>
      <c r="G179" s="361"/>
      <c r="H179" s="361"/>
      <c r="I179" s="345"/>
      <c r="J179" s="361"/>
      <c r="K179" s="361"/>
      <c r="L179" s="361"/>
      <c r="M179" s="377"/>
      <c r="N179" s="368"/>
    </row>
    <row r="180" spans="1:14" ht="15" customHeight="1">
      <c r="A180" s="223"/>
      <c r="B180" s="223"/>
      <c r="C180" s="343"/>
      <c r="D180" s="620"/>
      <c r="E180" s="361"/>
      <c r="F180" s="361"/>
      <c r="G180" s="361"/>
      <c r="H180" s="361"/>
      <c r="I180" s="345"/>
      <c r="J180" s="361"/>
      <c r="K180" s="361"/>
      <c r="L180" s="361"/>
      <c r="M180" s="377"/>
      <c r="N180" s="368"/>
    </row>
    <row r="181" spans="1:14" ht="19.05" customHeight="1">
      <c r="A181" s="223"/>
      <c r="B181" s="350" t="str">
        <f>Idiomas!D129</f>
        <v>CLASIFICADOS PARA OCTAVOS</v>
      </c>
      <c r="C181" s="343"/>
      <c r="D181" s="620"/>
      <c r="E181" s="361"/>
      <c r="F181" s="361"/>
      <c r="G181" s="361"/>
      <c r="H181" s="361"/>
      <c r="I181" s="345"/>
      <c r="J181" s="361"/>
      <c r="K181" s="361"/>
      <c r="L181" s="361"/>
      <c r="M181" s="377"/>
      <c r="N181" s="368"/>
    </row>
    <row r="182" spans="1:14" ht="15" customHeight="1">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c r="A197" s="620"/>
      <c r="B197" s="352" t="str">
        <f t="shared" si="2"/>
        <v>Octavofinalista</v>
      </c>
      <c r="C197" s="342" t="str">
        <f>WORLDCUP!AF127</f>
        <v>W87</v>
      </c>
      <c r="D197" s="620"/>
      <c r="E197" s="364"/>
      <c r="F197" s="364"/>
      <c r="G197" s="364"/>
      <c r="H197" s="364"/>
      <c r="I197" s="345"/>
      <c r="J197" s="361"/>
      <c r="K197" s="361"/>
      <c r="L197" s="361"/>
      <c r="M197" s="377"/>
      <c r="N197" s="368"/>
    </row>
    <row r="198" spans="1:14">
      <c r="A198" s="223"/>
      <c r="B198" s="223"/>
      <c r="C198" s="343"/>
      <c r="D198" s="361"/>
      <c r="E198" s="361"/>
      <c r="F198" s="361"/>
      <c r="G198" s="361"/>
      <c r="H198" s="361"/>
      <c r="I198" s="378"/>
      <c r="J198" s="361"/>
      <c r="K198" s="361"/>
      <c r="L198" s="361"/>
      <c r="M198" s="377"/>
      <c r="N198" s="368"/>
    </row>
    <row r="199" spans="1:14" ht="19.05" customHeight="1">
      <c r="A199" s="223"/>
      <c r="B199" s="350" t="str">
        <f>Idiomas!D130</f>
        <v>ENFRENTAMIENTOS OCTAVOS</v>
      </c>
      <c r="C199" s="343"/>
      <c r="D199" s="361"/>
      <c r="E199" s="361"/>
      <c r="F199" s="361"/>
      <c r="G199" s="361"/>
      <c r="H199" s="361"/>
      <c r="I199" s="379"/>
      <c r="J199" s="361"/>
      <c r="K199" s="361"/>
      <c r="L199" s="361"/>
      <c r="M199" s="377"/>
      <c r="N199" s="368"/>
    </row>
    <row r="200" spans="1:14" ht="15" customHeight="1">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c r="A208" s="223"/>
      <c r="B208" s="223"/>
      <c r="C208" s="343"/>
      <c r="D208" s="620"/>
      <c r="E208" s="361"/>
      <c r="F208" s="361"/>
      <c r="G208" s="361"/>
      <c r="H208" s="361"/>
      <c r="I208" s="345"/>
      <c r="J208" s="361"/>
      <c r="K208" s="361"/>
      <c r="L208" s="361"/>
      <c r="M208" s="377"/>
      <c r="N208" s="368"/>
    </row>
    <row r="209" spans="1:14" ht="19.05" customHeight="1">
      <c r="A209" s="223"/>
      <c r="B209" s="350" t="str">
        <f>Idiomas!D131</f>
        <v>CLASIFICADOS PARA CUARTOS</v>
      </c>
      <c r="C209" s="343"/>
      <c r="D209" s="620"/>
      <c r="E209" s="361"/>
      <c r="F209" s="361"/>
      <c r="G209" s="361"/>
      <c r="H209" s="361"/>
      <c r="I209" s="345"/>
      <c r="J209" s="361"/>
      <c r="K209" s="361"/>
      <c r="L209" s="361"/>
      <c r="M209" s="377"/>
      <c r="N209" s="368"/>
    </row>
    <row r="210" spans="1:14" ht="15" customHeight="1">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c r="A217" s="620"/>
      <c r="B217" s="352" t="str">
        <f t="shared" si="3"/>
        <v>Cuartofinalista</v>
      </c>
      <c r="C217" s="342" t="str">
        <f>WORLDCUP!AF134</f>
        <v>W96</v>
      </c>
      <c r="D217" s="620"/>
      <c r="E217" s="364"/>
      <c r="F217" s="364"/>
      <c r="G217" s="364"/>
      <c r="H217" s="364"/>
      <c r="I217" s="345"/>
      <c r="J217" s="361"/>
      <c r="K217" s="361"/>
      <c r="L217" s="361"/>
      <c r="M217" s="377"/>
      <c r="N217" s="368"/>
    </row>
    <row r="218" spans="1:14">
      <c r="A218" s="223"/>
      <c r="B218" s="223"/>
      <c r="C218" s="343"/>
      <c r="D218" s="361"/>
      <c r="E218" s="361"/>
      <c r="F218" s="361"/>
      <c r="G218" s="361"/>
      <c r="H218" s="361"/>
      <c r="I218" s="378"/>
      <c r="J218" s="361"/>
      <c r="K218" s="361"/>
      <c r="L218" s="361"/>
      <c r="M218" s="377"/>
      <c r="N218" s="368"/>
    </row>
    <row r="219" spans="1:14" ht="19.05" customHeight="1">
      <c r="A219" s="223"/>
      <c r="B219" s="350" t="str">
        <f>Idiomas!D132</f>
        <v>ENFRENTAMIENTOS CUARTOS</v>
      </c>
      <c r="C219" s="343"/>
      <c r="D219" s="361"/>
      <c r="E219" s="361"/>
      <c r="F219" s="361"/>
      <c r="G219" s="361"/>
      <c r="H219" s="361"/>
      <c r="I219" s="379"/>
      <c r="J219" s="361"/>
      <c r="K219" s="361"/>
      <c r="L219" s="361"/>
      <c r="M219" s="377"/>
      <c r="N219" s="368"/>
    </row>
    <row r="220" spans="1:14" ht="15" customHeight="1">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c r="A224" s="223"/>
      <c r="B224" s="223"/>
      <c r="C224" s="343"/>
      <c r="D224" s="620"/>
      <c r="E224" s="345"/>
      <c r="F224" s="345"/>
      <c r="G224" s="345"/>
      <c r="H224" s="345"/>
      <c r="I224" s="345"/>
      <c r="J224" s="361"/>
      <c r="K224" s="361"/>
      <c r="L224" s="361"/>
      <c r="M224" s="377"/>
      <c r="N224" s="368"/>
    </row>
    <row r="225" spans="1:14" ht="19.05" customHeight="1">
      <c r="A225" s="223"/>
      <c r="B225" s="350" t="str">
        <f>Idiomas!D133</f>
        <v>CLASIFICADOS PARA SEMIFINALES</v>
      </c>
      <c r="C225" s="343"/>
      <c r="D225" s="620"/>
      <c r="E225" s="361"/>
      <c r="F225" s="361"/>
      <c r="G225" s="361"/>
      <c r="H225" s="361"/>
      <c r="I225" s="345"/>
      <c r="J225" s="361"/>
      <c r="K225" s="361"/>
      <c r="L225" s="361"/>
      <c r="M225" s="377"/>
      <c r="N225" s="368"/>
    </row>
    <row r="226" spans="1:14" ht="15" customHeight="1">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c r="A229" s="620"/>
      <c r="B229" s="352" t="str">
        <f>Idiomas!$D$191</f>
        <v>Semifinalista</v>
      </c>
      <c r="C229" s="342" t="str">
        <f>WORLDCUP!AF139</f>
        <v>W100</v>
      </c>
      <c r="D229" s="620"/>
      <c r="E229" s="364"/>
      <c r="F229" s="364"/>
      <c r="G229" s="364"/>
      <c r="H229" s="364"/>
      <c r="I229" s="345"/>
      <c r="J229" s="361"/>
      <c r="K229" s="361"/>
      <c r="L229" s="361"/>
      <c r="M229" s="377"/>
      <c r="N229" s="368"/>
    </row>
    <row r="230" spans="1:14">
      <c r="A230" s="223"/>
      <c r="B230" s="223"/>
      <c r="C230" s="343"/>
      <c r="D230" s="361"/>
      <c r="E230" s="361"/>
      <c r="F230" s="361"/>
      <c r="G230" s="361"/>
      <c r="H230" s="361"/>
      <c r="I230" s="379"/>
      <c r="J230" s="361"/>
      <c r="K230" s="361"/>
      <c r="L230" s="361"/>
      <c r="M230" s="377"/>
      <c r="N230" s="368"/>
    </row>
    <row r="231" spans="1:14" ht="19.05" customHeight="1">
      <c r="A231" s="223"/>
      <c r="B231" s="350" t="str">
        <f>Idiomas!D134</f>
        <v>ENFRENTAMIENTOS SEMIFINALES</v>
      </c>
      <c r="C231" s="343"/>
      <c r="D231" s="361"/>
      <c r="E231" s="361"/>
      <c r="F231" s="361"/>
      <c r="G231" s="361"/>
      <c r="H231" s="361"/>
      <c r="I231" s="379"/>
      <c r="J231" s="361"/>
      <c r="K231" s="361"/>
      <c r="L231" s="361"/>
      <c r="M231" s="377"/>
      <c r="N231" s="368"/>
    </row>
    <row r="232" spans="1:14" ht="15" customHeight="1">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c r="A234" s="223"/>
      <c r="B234" s="223"/>
      <c r="C234" s="343"/>
      <c r="D234" s="620"/>
      <c r="E234" s="656"/>
      <c r="F234" s="656"/>
      <c r="G234" s="656"/>
      <c r="H234" s="656"/>
      <c r="I234" s="345"/>
      <c r="J234" s="361"/>
      <c r="K234" s="361"/>
      <c r="L234" s="361"/>
      <c r="M234" s="377"/>
      <c r="N234" s="368"/>
    </row>
    <row r="235" spans="1:14" ht="19.05" customHeight="1">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c r="A238" s="223"/>
      <c r="B238" s="223"/>
      <c r="C238" s="343"/>
      <c r="D238" s="620"/>
      <c r="E238" s="365"/>
      <c r="F238" s="365"/>
      <c r="G238" s="365"/>
      <c r="H238" s="365"/>
      <c r="I238" s="345"/>
      <c r="J238" s="361"/>
      <c r="K238" s="361"/>
      <c r="L238" s="361"/>
      <c r="M238" s="377"/>
      <c r="N238" s="368"/>
    </row>
    <row r="239" spans="1:14" ht="19.05" customHeight="1">
      <c r="A239" s="223"/>
      <c r="B239" s="350" t="str">
        <f>Idiomas!D136</f>
        <v>CLASIFICADOS PARA LA FINAL</v>
      </c>
      <c r="C239" s="343"/>
      <c r="D239" s="620"/>
      <c r="E239" s="365"/>
      <c r="F239" s="365"/>
      <c r="G239" s="365"/>
      <c r="H239" s="365"/>
      <c r="I239" s="345"/>
      <c r="J239" s="361"/>
      <c r="K239" s="361"/>
      <c r="L239" s="361"/>
      <c r="M239" s="377"/>
      <c r="N239" s="368"/>
    </row>
    <row r="240" spans="1:14" ht="15" customHeight="1">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c r="A241" s="620"/>
      <c r="B241" s="352" t="str">
        <f>B240</f>
        <v>Finalista</v>
      </c>
      <c r="C241" s="342" t="str">
        <f>WORLDCUP!AF147</f>
        <v>W102</v>
      </c>
      <c r="D241" s="620"/>
      <c r="E241" s="366"/>
      <c r="F241" s="366"/>
      <c r="G241" s="366"/>
      <c r="H241" s="380"/>
      <c r="I241" s="381"/>
      <c r="J241" s="361"/>
      <c r="K241" s="361"/>
      <c r="L241" s="361"/>
      <c r="M241" s="377"/>
      <c r="N241" s="368"/>
    </row>
    <row r="242" spans="1:14">
      <c r="A242" s="223"/>
      <c r="B242" s="223"/>
      <c r="C242" s="343"/>
      <c r="D242" s="361"/>
      <c r="E242" s="361"/>
      <c r="F242" s="361"/>
      <c r="G242" s="361"/>
      <c r="H242" s="361"/>
      <c r="I242" s="378"/>
      <c r="J242" s="361"/>
      <c r="K242" s="361"/>
      <c r="L242" s="361"/>
      <c r="M242" s="377"/>
      <c r="N242" s="368"/>
    </row>
    <row r="243" spans="1:14" ht="19.05" customHeight="1">
      <c r="A243" s="223"/>
      <c r="B243" s="350" t="str">
        <f>Idiomas!D137</f>
        <v>3º-4º puesto</v>
      </c>
      <c r="C243" s="343"/>
      <c r="D243" s="361"/>
      <c r="E243" s="361"/>
      <c r="F243" s="361"/>
      <c r="G243" s="361"/>
      <c r="H243" s="361"/>
      <c r="I243" s="379"/>
      <c r="J243" s="361"/>
      <c r="K243" s="361"/>
      <c r="L243" s="361"/>
      <c r="M243" s="377"/>
      <c r="N243" s="368"/>
    </row>
    <row r="244" spans="1:14" ht="15" customHeight="1">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c r="A245" s="223"/>
      <c r="B245" s="223"/>
      <c r="C245" s="343"/>
      <c r="D245" s="620"/>
      <c r="E245" s="656"/>
      <c r="F245" s="656"/>
      <c r="G245" s="656"/>
      <c r="H245" s="656"/>
      <c r="I245" s="372"/>
      <c r="J245" s="361"/>
      <c r="K245" s="361"/>
      <c r="L245" s="361"/>
      <c r="M245" s="377"/>
      <c r="N245" s="368"/>
    </row>
    <row r="246" spans="1:14" ht="21" customHeight="1">
      <c r="A246" s="223"/>
      <c r="B246" s="350" t="str">
        <f>Idiomas!D138</f>
        <v>ENFRENTAMIENTO FINAL</v>
      </c>
      <c r="C246" s="343"/>
      <c r="D246" s="620"/>
      <c r="E246" s="656"/>
      <c r="F246" s="656"/>
      <c r="G246" s="656"/>
      <c r="H246" s="656"/>
      <c r="I246" s="372"/>
      <c r="J246" s="361"/>
      <c r="K246" s="361"/>
      <c r="L246" s="361"/>
      <c r="M246" s="377"/>
      <c r="N246" s="368"/>
    </row>
    <row r="247" spans="1:14" ht="15" customHeight="1">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c r="A248" s="223"/>
      <c r="B248" s="223"/>
      <c r="C248" s="343"/>
      <c r="D248" s="620"/>
      <c r="E248" s="365"/>
      <c r="F248" s="365"/>
      <c r="G248" s="365"/>
      <c r="H248" s="365"/>
      <c r="I248" s="372"/>
      <c r="J248" s="361"/>
      <c r="K248" s="361"/>
      <c r="L248" s="361"/>
      <c r="M248" s="377"/>
      <c r="N248" s="368"/>
    </row>
    <row r="249" spans="1:14" ht="19.05" customHeight="1">
      <c r="A249" s="223"/>
      <c r="B249" s="350" t="str">
        <f>Idiomas!D139</f>
        <v>CUADRO DE HONOR</v>
      </c>
      <c r="C249" s="343"/>
      <c r="D249" s="620"/>
      <c r="E249" s="365"/>
      <c r="F249" s="365"/>
      <c r="G249" s="365"/>
      <c r="H249" s="365"/>
      <c r="I249" s="372"/>
      <c r="J249" s="361"/>
      <c r="K249" s="361"/>
      <c r="L249" s="361"/>
      <c r="M249" s="377"/>
      <c r="N249" s="368"/>
    </row>
    <row r="250" spans="1:14" ht="15" customHeight="1">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4.4"/>
  <cols>
    <col min="1" max="1" width="3.33203125" style="186" customWidth="1"/>
    <col min="2" max="2" width="2.6640625" style="9" customWidth="1"/>
    <col min="3" max="3" width="5.6640625" style="3" bestFit="1" customWidth="1"/>
    <col min="4" max="5" width="3.33203125" style="3" customWidth="1"/>
    <col min="6" max="6" width="6.109375" style="3" customWidth="1"/>
    <col min="7" max="7" width="2.44140625" style="3" bestFit="1" customWidth="1"/>
    <col min="8" max="9" width="3.77734375" style="3" customWidth="1"/>
    <col min="10" max="10" width="4.4414062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09375" style="3" bestFit="1" customWidth="1"/>
    <col min="19" max="19" width="2.44140625" style="3" bestFit="1" customWidth="1"/>
    <col min="20" max="20" width="4.33203125" style="3" bestFit="1" customWidth="1"/>
    <col min="21" max="22" width="3.6640625" style="3" customWidth="1"/>
    <col min="23" max="23" width="4.77734375" style="3" customWidth="1"/>
    <col min="24" max="24" width="4.33203125" style="186" hidden="1" customWidth="1"/>
    <col min="25" max="25" width="2.77734375" style="9" customWidth="1"/>
    <col min="26" max="26" width="7.44140625" style="9" bestFit="1" customWidth="1"/>
    <col min="27" max="27" width="9.77734375" style="3" customWidth="1"/>
    <col min="28" max="29" width="4.33203125" style="3" customWidth="1"/>
    <col min="30" max="30" width="2.77734375" style="9" customWidth="1"/>
    <col min="31" max="31" width="9.77734375" style="3" customWidth="1"/>
    <col min="32" max="33" width="4.33203125" style="3" customWidth="1"/>
    <col min="34" max="34" width="2.77734375" style="9" customWidth="1"/>
    <col min="35" max="35" width="9.77734375" style="3" customWidth="1"/>
    <col min="36" max="37" width="4.33203125" style="3" customWidth="1"/>
    <col min="38" max="38" width="2.77734375" style="9" customWidth="1"/>
    <col min="39" max="39" width="9.77734375" style="3" customWidth="1"/>
    <col min="40" max="41" width="4.33203125" style="3" customWidth="1"/>
    <col min="42" max="42" width="2.77734375" style="9" customWidth="1"/>
    <col min="43" max="43" width="9.77734375" style="3" customWidth="1"/>
    <col min="44" max="45" width="4.33203125" style="3" customWidth="1"/>
    <col min="46" max="46" width="2.77734375" style="9" customWidth="1"/>
    <col min="47" max="47" width="9.77734375" style="3" customWidth="1"/>
    <col min="48" max="49" width="4.33203125" style="3" customWidth="1"/>
    <col min="50" max="50" width="4" style="3" bestFit="1" customWidth="1"/>
    <col min="51" max="51" width="3.33203125" style="3" customWidth="1"/>
    <col min="52" max="54" width="7.77734375" style="3" customWidth="1"/>
    <col min="55" max="55" width="3.33203125" style="3" customWidth="1"/>
    <col min="56" max="58" width="2.44140625" style="3" bestFit="1" customWidth="1"/>
    <col min="59" max="59" width="20.77734375" style="3" customWidth="1"/>
    <col min="60" max="67" width="4.77734375" style="3" customWidth="1"/>
    <col min="68" max="69" width="10.77734375" style="3" customWidth="1"/>
    <col min="70" max="72" width="10.77734375" style="3" hidden="1" customWidth="1"/>
    <col min="73" max="16384" width="10.77734375" style="3" hidden="1"/>
  </cols>
  <sheetData>
    <row r="1" spans="1:67" ht="7.95" customHeight="1">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050000000000001" customHeight="1" thickBot="1">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05" customHeight="1" thickBot="1">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05" customHeight="1" thickBot="1">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1</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05" customHeight="1" thickBot="1">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05" customHeight="1" thickBot="1">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05" customHeight="1" thickBot="1">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05" customHeight="1" thickBot="1">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05" customHeight="1" thickBot="1">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05" customHeight="1" thickBot="1">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4</v>
      </c>
      <c r="J12" s="438">
        <f ca="1">+INDEX(WORLDCUP!$AT$6:$AT$97,MATCH(L12,WORLDCUP!$AI$6:$AI$97,0))</f>
        <v>3</v>
      </c>
      <c r="K12" s="439" t="str">
        <f ca="1">+INDEX(WORLDCUP!$AR$6:$AR$97,MATCH(L12,WORLDCUP!$AI$6:$AI$97,0))&amp;"-"&amp;INDEX(WORLDCUP!$AS$6:$AS$97,MATCH(L12,WORLDCUP!$AI$6:$AI$97,0))</f>
        <v>5-2</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Ara</v>
      </c>
      <c r="U12" s="437">
        <f ca="1">+INDEX(WORLDCUP!$AM$6:$AM$97,MATCH(X12,WORLDCUP!$AI$6:$AI$97,0))</f>
        <v>1</v>
      </c>
      <c r="V12" s="438">
        <f ca="1">+INDEX(WORLDCUP!$AT$6:$AT$97,MATCH(X12,WORLDCUP!$AI$6:$AI$97,0))</f>
        <v>0</v>
      </c>
      <c r="W12" s="439" t="str">
        <f ca="1">+INDEX(WORLDCUP!$AR$6:$AR$97,MATCH(X12,WORLDCUP!$AI$6:$AI$97,0))&amp;"-"&amp;INDEX(WORLDCUP!$AS$6:$AS$97,MATCH(X12,WORLDCUP!$AI$6:$AI$97,0))</f>
        <v>1-1</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05" customHeight="1" thickBot="1">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05" customHeight="1" thickBot="1">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0</v>
      </c>
      <c r="K15" s="467" t="str">
        <f ca="1">+INDEX(WORLDCUP!$AR$6:$AR$97,MATCH(L15,WORLDCUP!$AI$6:$AI$97,0))&amp;"-"&amp;INDEX(WORLDCUP!$AS$6:$AS$97,MATCH(L15,WORLDCUP!$AI$6:$AI$97,0))</f>
        <v>1-1</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05" customHeight="1" thickBot="1">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05" customHeight="1" thickBot="1">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05" customHeight="1" thickBot="1">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Esc</v>
      </c>
      <c r="I20" s="437">
        <f ca="1">+INDEX(WORLDCUP!$AM$6:$AM$97,MATCH(L20,WORLDCUP!$AI$6:$AI$97,0))</f>
        <v>3</v>
      </c>
      <c r="J20" s="438">
        <f ca="1">+INDEX(WORLDCUP!$AT$6:$AT$97,MATCH(L20,WORLDCUP!$AI$6:$AI$97,0))</f>
        <v>1</v>
      </c>
      <c r="K20" s="439" t="str">
        <f ca="1">+INDEX(WORLDCUP!$AR$6:$AR$97,MATCH(L20,WORLDCUP!$AI$6:$AI$97,0))&amp;"-"&amp;INDEX(WORLDCUP!$AS$6:$AS$97,MATCH(L20,WORLDCUP!$AI$6:$AI$97,0))</f>
        <v>1-0</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05" customHeight="1" thickBot="1">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05" customHeight="1" thickBot="1">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05" customHeight="1" thickBot="1">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05" customHeight="1" thickBot="1">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05" customHeight="1" thickBot="1">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05" customHeight="1" thickBot="1">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05" customHeight="1" thickBot="1">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3</v>
      </c>
      <c r="V28" s="438">
        <f ca="1">+INDEX(WORLDCUP!$AT$6:$AT$97,MATCH(X28,WORLDCUP!$AI$6:$AI$97,0))</f>
        <v>3</v>
      </c>
      <c r="W28" s="439" t="str">
        <f ca="1">+INDEX(WORLDCUP!$AR$6:$AR$97,MATCH(X28,WORLDCUP!$AI$6:$AI$97,0))&amp;"-"&amp;INDEX(WORLDCUP!$AS$6:$AS$97,MATCH(X28,WORLDCUP!$AI$6:$AI$97,0))</f>
        <v>3-0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05" customHeight="1" thickBot="1">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05" customHeight="1" thickBot="1">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05" customHeight="1" thickBot="1">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05" customHeight="1" thickBot="1">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05" customHeight="1" thickBot="1">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05" customHeight="1" thickBot="1">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3</v>
      </c>
      <c r="V36" s="438">
        <f ca="1">+INDEX(WORLDCUP!$AT$6:$AT$97,MATCH(X36,WORLDCUP!$AI$6:$AI$97,0))</f>
        <v>2</v>
      </c>
      <c r="W36" s="439" t="str">
        <f ca="1">+INDEX(WORLDCUP!$AR$6:$AR$97,MATCH(X36,WORLDCUP!$AI$6:$AI$97,0))&amp;"-"&amp;INDEX(WORLDCUP!$AS$6:$AS$97,MATCH(X36,WORLDCUP!$AI$6:$AI$97,0))</f>
        <v>3-1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05" customHeight="1" thickBot="1">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05" customHeight="1" thickBot="1">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-2</v>
      </c>
      <c r="W39" s="467" t="str">
        <f ca="1">+INDEX(WORLDCUP!$AR$6:$AR$97,MATCH(X39,WORLDCUP!$AI$6:$AI$97,0))&amp;"-"&amp;INDEX(WORLDCUP!$AS$6:$AS$97,MATCH(X39,WORLDCUP!$AI$6:$AI$97,0))</f>
        <v>1-3</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05" customHeight="1" thickBot="1">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05" customHeight="1" thickBot="1">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05" customHeight="1" thickBot="1">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Sue</v>
      </c>
      <c r="I44" s="437">
        <f ca="1">+INDEX(WORLDCUP!$AM$6:$AM$97,MATCH(L44,WORLDCUP!$AI$6:$AI$97,0))</f>
        <v>3</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05" customHeight="1" thickBot="1">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05" customHeight="1" thickBot="1">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05" customHeight="1" thickBot="1">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conditionalFormatting sqref="BH4:BH51">
    <cfRule type="expression" dxfId="19" priority="1">
      <formula>$BH4=1</formula>
    </cfRule>
  </conditionalFormatting>
  <conditionalFormatting sqref="BH4:BI51">
    <cfRule type="expression" dxfId="18" priority="2">
      <formula>$BI4=1</formula>
    </cfRule>
  </conditionalFormatting>
  <conditionalFormatting sqref="BH4:BJ51">
    <cfRule type="expression" dxfId="17" priority="3">
      <formula>$BJ4=1</formula>
    </cfRule>
  </conditionalFormatting>
  <conditionalFormatting sqref="BH4:BK51">
    <cfRule type="expression" dxfId="16" priority="4">
      <formula>$BK4=1</formula>
    </cfRule>
  </conditionalFormatting>
  <conditionalFormatting sqref="BH4:BL51">
    <cfRule type="expression" dxfId="15" priority="5">
      <formula>$BL4=1</formula>
    </cfRule>
  </conditionalFormatting>
  <conditionalFormatting sqref="BH4:BM51">
    <cfRule type="expression" dxfId="14" priority="6">
      <formula>$BM4=1</formula>
    </cfRule>
  </conditionalFormatting>
  <conditionalFormatting sqref="BH4:BN51">
    <cfRule type="expression" dxfId="13" priority="7">
      <formula>$BN4=1</formula>
    </cfRule>
  </conditionalFormatting>
  <conditionalFormatting sqref="BH4:BO51">
    <cfRule type="expression" dxfId="12"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77734375" defaultRowHeight="14.4"/>
  <cols>
    <col min="1" max="3" width="10.77734375" style="16" customWidth="1"/>
    <col min="4" max="4" width="17.33203125" style="16" bestFit="1" customWidth="1"/>
    <col min="5" max="6" width="10.77734375" style="16" customWidth="1"/>
    <col min="7" max="7" width="17.33203125" style="16" bestFit="1" customWidth="1"/>
    <col min="8" max="8" width="13" style="16" customWidth="1"/>
    <col min="9" max="9" width="10.77734375" style="16" customWidth="1"/>
    <col min="10" max="10" width="13" style="16" bestFit="1" customWidth="1"/>
    <col min="11" max="12" width="12.33203125" style="16" bestFit="1" customWidth="1"/>
    <col min="13" max="15" width="10.77734375" style="16" customWidth="1"/>
    <col min="16" max="16384" width="10.77734375" style="16"/>
  </cols>
  <sheetData>
    <row r="2" spans="1:12">
      <c r="A2" s="16" t="s">
        <v>225</v>
      </c>
      <c r="B2" s="16">
        <f>IF(Home!$C$6=Idiomas!A2,1,0)</f>
        <v>1</v>
      </c>
    </row>
    <row r="3" spans="1:12">
      <c r="A3" s="16" t="s">
        <v>278</v>
      </c>
      <c r="B3" s="16">
        <f>IF(Home!$C$6=Idiomas!A3,1,0)</f>
        <v>0</v>
      </c>
      <c r="E3" s="16" t="s">
        <v>279</v>
      </c>
      <c r="F3" s="16" t="s">
        <v>280</v>
      </c>
      <c r="G3" s="16" t="s">
        <v>225</v>
      </c>
      <c r="H3" s="16" t="s">
        <v>281</v>
      </c>
    </row>
    <row r="4" spans="1:12">
      <c r="D4" s="16" t="str">
        <f t="shared" ref="D4:D12" si="0">IF($B$2,G4,H4)</f>
        <v>Introducir resultados</v>
      </c>
      <c r="E4" s="16" t="s">
        <v>282</v>
      </c>
      <c r="F4" s="16" t="s">
        <v>283</v>
      </c>
      <c r="G4" s="16" t="s">
        <v>284</v>
      </c>
      <c r="H4" s="16" t="s">
        <v>285</v>
      </c>
    </row>
    <row r="5" spans="1:1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c r="B6" s="593"/>
      <c r="D6" s="16" t="str">
        <f t="shared" si="0"/>
        <v>Predictor Equipos</v>
      </c>
      <c r="E6" s="16" t="s">
        <v>282</v>
      </c>
      <c r="G6" s="16" t="s">
        <v>291</v>
      </c>
      <c r="H6" s="16" t="s">
        <v>292</v>
      </c>
    </row>
    <row r="7" spans="1:12">
      <c r="D7" s="16" t="str">
        <f t="shared" si="0"/>
        <v>Selecciona idioma</v>
      </c>
      <c r="E7" s="16" t="s">
        <v>282</v>
      </c>
      <c r="F7" s="16" t="s">
        <v>293</v>
      </c>
      <c r="G7" s="16" t="s">
        <v>294</v>
      </c>
      <c r="H7" s="16" t="s">
        <v>295</v>
      </c>
    </row>
    <row r="8" spans="1:12">
      <c r="D8" s="16" t="str">
        <f t="shared" si="0"/>
        <v>XXIII Mundial USA/MEX/CAN 2026</v>
      </c>
      <c r="E8" s="16" t="s">
        <v>282</v>
      </c>
      <c r="F8" s="16" t="s">
        <v>296</v>
      </c>
      <c r="G8" s="16" t="s">
        <v>297</v>
      </c>
      <c r="H8" s="16" t="s">
        <v>298</v>
      </c>
    </row>
    <row r="9" spans="1:12">
      <c r="D9" s="16" t="str">
        <f t="shared" si="0"/>
        <v>▼ Descargar Excel Administrador Porra ▼</v>
      </c>
      <c r="E9" s="16" t="s">
        <v>282</v>
      </c>
      <c r="F9" s="16" t="s">
        <v>299</v>
      </c>
      <c r="G9" s="16" t="s">
        <v>300</v>
      </c>
      <c r="H9" s="16" t="s">
        <v>301</v>
      </c>
    </row>
    <row r="10" spans="1:12">
      <c r="D10" s="16" t="str">
        <f t="shared" si="0"/>
        <v>https://matejero.es/download/administrador-excel-mundial-2026/</v>
      </c>
      <c r="E10" s="16" t="s">
        <v>282</v>
      </c>
      <c r="F10" s="16" t="s">
        <v>302</v>
      </c>
      <c r="G10" s="16" t="s">
        <v>303</v>
      </c>
      <c r="H10" s="16" t="s">
        <v>304</v>
      </c>
    </row>
    <row r="11" spans="1:12">
      <c r="D11" s="16" t="str">
        <f t="shared" si="0"/>
        <v>*Versión provisional hasta que se conozcan todos los participantes en marzo 2026</v>
      </c>
      <c r="E11" s="16" t="s">
        <v>282</v>
      </c>
      <c r="G11" s="16" t="s">
        <v>305</v>
      </c>
      <c r="H11" s="16" t="s">
        <v>306</v>
      </c>
    </row>
    <row r="12" spans="1:12">
      <c r="D12" s="16" t="str">
        <f t="shared" si="0"/>
        <v>Donar</v>
      </c>
      <c r="E12" s="16" t="s">
        <v>282</v>
      </c>
      <c r="G12" s="16" t="s">
        <v>307</v>
      </c>
      <c r="H12" s="16" t="s">
        <v>308</v>
      </c>
    </row>
    <row r="14" spans="1:12">
      <c r="B14" s="593"/>
    </row>
    <row r="15" spans="1:12">
      <c r="D15" s="16" t="str">
        <f t="shared" ref="D15:D46" si="1">IF($B$2,G15,H15)</f>
        <v>Selecciona horario</v>
      </c>
      <c r="E15" s="16" t="s">
        <v>309</v>
      </c>
      <c r="F15" s="16" t="s">
        <v>241</v>
      </c>
      <c r="G15" s="16" t="s">
        <v>310</v>
      </c>
      <c r="H15" s="16" t="s">
        <v>311</v>
      </c>
    </row>
    <row r="16" spans="1:12">
      <c r="D16" s="16" t="str">
        <f t="shared" si="1"/>
        <v>Rellenar los cuadros grises</v>
      </c>
      <c r="E16" s="16" t="s">
        <v>309</v>
      </c>
      <c r="F16" s="16" t="s">
        <v>245</v>
      </c>
      <c r="G16" s="16" t="s">
        <v>312</v>
      </c>
      <c r="H16" s="16" t="s">
        <v>313</v>
      </c>
    </row>
    <row r="17" spans="4:8">
      <c r="D17" s="16" t="str">
        <f t="shared" si="1"/>
        <v>Fecha</v>
      </c>
      <c r="E17" s="16" t="s">
        <v>309</v>
      </c>
      <c r="F17" s="16" t="s">
        <v>266</v>
      </c>
      <c r="G17" s="16" t="s">
        <v>314</v>
      </c>
      <c r="H17" s="16" t="s">
        <v>315</v>
      </c>
    </row>
    <row r="18" spans="4:8">
      <c r="D18" s="16" t="str">
        <f t="shared" si="1"/>
        <v>Hora</v>
      </c>
      <c r="E18" s="16" t="s">
        <v>309</v>
      </c>
      <c r="F18" s="16" t="s">
        <v>267</v>
      </c>
      <c r="G18" s="16" t="s">
        <v>316</v>
      </c>
      <c r="H18" s="16" t="s">
        <v>317</v>
      </c>
    </row>
    <row r="19" spans="4:8">
      <c r="D19" s="16" t="str">
        <f t="shared" si="1"/>
        <v>Jor.</v>
      </c>
      <c r="E19" s="16" t="s">
        <v>309</v>
      </c>
      <c r="F19" s="16" t="s">
        <v>268</v>
      </c>
      <c r="G19" s="16" t="s">
        <v>318</v>
      </c>
      <c r="H19" s="16" t="s">
        <v>319</v>
      </c>
    </row>
    <row r="20" spans="4:8">
      <c r="D20" s="16" t="str">
        <f t="shared" si="1"/>
        <v>Casa</v>
      </c>
      <c r="E20" s="16" t="s">
        <v>309</v>
      </c>
      <c r="F20" s="16" t="s">
        <v>269</v>
      </c>
      <c r="G20" s="16" t="s">
        <v>320</v>
      </c>
      <c r="H20" s="16" t="s">
        <v>321</v>
      </c>
    </row>
    <row r="21" spans="4:8">
      <c r="D21" s="16" t="str">
        <f t="shared" si="1"/>
        <v>Gol</v>
      </c>
      <c r="E21" s="16" t="s">
        <v>309</v>
      </c>
      <c r="F21" s="16" t="s">
        <v>271</v>
      </c>
      <c r="G21" s="16" t="s">
        <v>210</v>
      </c>
      <c r="H21" s="16" t="s">
        <v>322</v>
      </c>
    </row>
    <row r="22" spans="4:8">
      <c r="D22" s="16" t="str">
        <f t="shared" si="1"/>
        <v>Fuera</v>
      </c>
      <c r="E22" s="16" t="s">
        <v>309</v>
      </c>
      <c r="F22" s="16" t="s">
        <v>323</v>
      </c>
      <c r="G22" s="16" t="s">
        <v>324</v>
      </c>
      <c r="H22" s="16" t="s">
        <v>325</v>
      </c>
    </row>
    <row r="23" spans="4:8">
      <c r="D23" s="16" t="str">
        <f t="shared" si="1"/>
        <v>Grupo</v>
      </c>
      <c r="E23" s="16" t="s">
        <v>309</v>
      </c>
      <c r="F23" s="16" t="s">
        <v>326</v>
      </c>
      <c r="G23" s="16" t="s">
        <v>327</v>
      </c>
      <c r="H23" s="16" t="s">
        <v>328</v>
      </c>
    </row>
    <row r="24" spans="4:8">
      <c r="D24" s="16" t="str">
        <f t="shared" si="1"/>
        <v>¡EMPATE! Puedes seleccionar el orden de los empatados.</v>
      </c>
      <c r="E24" s="16" t="s">
        <v>309</v>
      </c>
      <c r="F24" s="16" t="s">
        <v>329</v>
      </c>
      <c r="G24" s="16" t="s">
        <v>330</v>
      </c>
      <c r="H24" s="16" t="s">
        <v>331</v>
      </c>
    </row>
    <row r="25" spans="4:8">
      <c r="D25" s="16" t="str">
        <f t="shared" si="1"/>
        <v>¡EMPATE! Puedes seleccionar el orden de los empatados entre los terceros.</v>
      </c>
      <c r="E25" s="16" t="s">
        <v>309</v>
      </c>
      <c r="F25" s="16" t="s">
        <v>332</v>
      </c>
      <c r="G25" s="16" t="s">
        <v>333</v>
      </c>
      <c r="H25" s="16" t="s">
        <v>331</v>
      </c>
    </row>
    <row r="26" spans="4:8">
      <c r="D26" s="16" t="str">
        <f t="shared" si="1"/>
        <v>Mejores terceros</v>
      </c>
      <c r="E26" s="16" t="s">
        <v>309</v>
      </c>
      <c r="F26" s="16" t="s">
        <v>334</v>
      </c>
      <c r="G26" s="16" t="s">
        <v>335</v>
      </c>
      <c r="H26" s="16" t="s">
        <v>336</v>
      </c>
    </row>
    <row r="27" spans="4:8">
      <c r="D27" s="16" t="str">
        <f t="shared" si="1"/>
        <v>Dieciseisavos de final</v>
      </c>
      <c r="E27" s="16" t="s">
        <v>309</v>
      </c>
      <c r="G27" s="16" t="s">
        <v>337</v>
      </c>
      <c r="H27" s="16" t="s">
        <v>338</v>
      </c>
    </row>
    <row r="28" spans="4:8">
      <c r="D28" s="16" t="str">
        <f t="shared" si="1"/>
        <v>Octavos de final</v>
      </c>
      <c r="E28" s="16" t="s">
        <v>309</v>
      </c>
      <c r="F28" s="16" t="s">
        <v>339</v>
      </c>
      <c r="G28" s="16" t="s">
        <v>340</v>
      </c>
      <c r="H28" s="16" t="s">
        <v>341</v>
      </c>
    </row>
    <row r="29" spans="4:8">
      <c r="D29" s="16" t="str">
        <f t="shared" si="1"/>
        <v>Cuartos de final</v>
      </c>
      <c r="E29" s="16" t="s">
        <v>309</v>
      </c>
      <c r="F29" s="16" t="s">
        <v>342</v>
      </c>
      <c r="G29" s="16" t="s">
        <v>343</v>
      </c>
      <c r="H29" s="16" t="s">
        <v>344</v>
      </c>
    </row>
    <row r="30" spans="4:8">
      <c r="D30" s="16" t="str">
        <f t="shared" si="1"/>
        <v>Semifinales</v>
      </c>
      <c r="E30" s="16" t="s">
        <v>309</v>
      </c>
      <c r="F30" s="16" t="s">
        <v>345</v>
      </c>
      <c r="G30" s="16" t="s">
        <v>346</v>
      </c>
      <c r="H30" s="16" t="s">
        <v>347</v>
      </c>
    </row>
    <row r="31" spans="4:8">
      <c r="D31" s="16" t="str">
        <f t="shared" si="1"/>
        <v>3º y 4º puesto</v>
      </c>
      <c r="E31" s="16" t="s">
        <v>309</v>
      </c>
      <c r="G31" s="16" t="s">
        <v>348</v>
      </c>
      <c r="H31" s="16" t="s">
        <v>349</v>
      </c>
    </row>
    <row r="32" spans="4:8">
      <c r="D32" s="16" t="str">
        <f t="shared" si="1"/>
        <v>Final</v>
      </c>
      <c r="E32" s="16" t="s">
        <v>309</v>
      </c>
      <c r="F32" s="16" t="s">
        <v>350</v>
      </c>
      <c r="G32" s="16" t="s">
        <v>351</v>
      </c>
      <c r="H32" s="16" t="s">
        <v>351</v>
      </c>
    </row>
    <row r="33" spans="4:8">
      <c r="D33" s="16" t="str">
        <f t="shared" si="1"/>
        <v>Cuadro de honor</v>
      </c>
      <c r="E33" s="16" t="s">
        <v>309</v>
      </c>
      <c r="F33" s="16" t="s">
        <v>352</v>
      </c>
      <c r="G33" s="16" t="s">
        <v>353</v>
      </c>
      <c r="H33" s="16" t="s">
        <v>354</v>
      </c>
    </row>
    <row r="34" spans="4:8">
      <c r="D34" s="16" t="str">
        <f t="shared" si="1"/>
        <v>Campeón</v>
      </c>
      <c r="E34" s="16" t="s">
        <v>309</v>
      </c>
      <c r="F34" s="16" t="s">
        <v>355</v>
      </c>
      <c r="G34" s="16" t="s">
        <v>356</v>
      </c>
      <c r="H34" s="16" t="s">
        <v>357</v>
      </c>
    </row>
    <row r="35" spans="4:8">
      <c r="D35" s="16" t="str">
        <f t="shared" si="1"/>
        <v>Subcampeón</v>
      </c>
      <c r="E35" s="16" t="s">
        <v>309</v>
      </c>
      <c r="F35" s="16" t="s">
        <v>358</v>
      </c>
      <c r="G35" s="16" t="s">
        <v>359</v>
      </c>
      <c r="H35" s="16" t="s">
        <v>360</v>
      </c>
    </row>
    <row r="36" spans="4:8">
      <c r="D36" s="16" t="str">
        <f t="shared" si="1"/>
        <v>3º puesto</v>
      </c>
      <c r="E36" s="16" t="s">
        <v>309</v>
      </c>
      <c r="G36" s="16" t="s">
        <v>361</v>
      </c>
      <c r="H36" s="16" t="s">
        <v>362</v>
      </c>
    </row>
    <row r="37" spans="4:8">
      <c r="D37" s="16" t="str">
        <f t="shared" si="1"/>
        <v>Bota de Oro  (máximo goleador)</v>
      </c>
      <c r="E37" s="16" t="s">
        <v>309</v>
      </c>
      <c r="F37" s="16" t="s">
        <v>363</v>
      </c>
      <c r="G37" s="9" t="s">
        <v>364</v>
      </c>
      <c r="H37" s="16" t="s">
        <v>365</v>
      </c>
    </row>
    <row r="38" spans="4:8">
      <c r="D38" s="16" t="str">
        <f t="shared" si="1"/>
        <v>Bota de Plata (2º máximo goleador)</v>
      </c>
      <c r="E38" s="16" t="s">
        <v>309</v>
      </c>
      <c r="F38" s="16" t="s">
        <v>366</v>
      </c>
      <c r="G38" s="9" t="s">
        <v>367</v>
      </c>
      <c r="H38" s="16" t="s">
        <v>368</v>
      </c>
    </row>
    <row r="39" spans="4:8">
      <c r="D39" s="16" t="str">
        <f t="shared" si="1"/>
        <v>Bota de Bronce (3º máximo goleador)</v>
      </c>
      <c r="G39" s="9" t="s">
        <v>369</v>
      </c>
      <c r="H39" s="16" t="s">
        <v>370</v>
      </c>
    </row>
    <row r="40" spans="4:8">
      <c r="D40" s="16" t="str">
        <f t="shared" si="1"/>
        <v>Balón de Oro  (mejor jugador)</v>
      </c>
      <c r="G40" s="9" t="s">
        <v>371</v>
      </c>
      <c r="H40" s="16" t="s">
        <v>372</v>
      </c>
    </row>
    <row r="41" spans="4:8">
      <c r="D41" s="16" t="str">
        <f t="shared" si="1"/>
        <v>Balón de Plata (2º mejor jugador)</v>
      </c>
      <c r="G41" s="9" t="s">
        <v>373</v>
      </c>
      <c r="H41" s="16" t="s">
        <v>374</v>
      </c>
    </row>
    <row r="42" spans="4:8">
      <c r="D42" s="16" t="str">
        <f t="shared" si="1"/>
        <v>Balón de Bronce (3º mejor jugador)</v>
      </c>
      <c r="G42" s="9" t="s">
        <v>375</v>
      </c>
      <c r="H42" s="16" t="s">
        <v>376</v>
      </c>
    </row>
    <row r="43" spans="4:8">
      <c r="D43" s="16" t="str">
        <f t="shared" si="1"/>
        <v>Escribe un jugador</v>
      </c>
      <c r="E43" s="16" t="s">
        <v>309</v>
      </c>
      <c r="F43" s="16" t="s">
        <v>377</v>
      </c>
      <c r="G43" s="16" t="s">
        <v>378</v>
      </c>
      <c r="H43" s="16" t="s">
        <v>379</v>
      </c>
    </row>
    <row r="44" spans="4:8">
      <c r="D44" s="16" t="str">
        <f t="shared" si="1"/>
        <v>Escribe un jugador</v>
      </c>
      <c r="E44" s="16" t="s">
        <v>309</v>
      </c>
      <c r="F44" s="16" t="s">
        <v>380</v>
      </c>
      <c r="G44" s="16" t="s">
        <v>378</v>
      </c>
      <c r="H44" s="16" t="s">
        <v>379</v>
      </c>
    </row>
    <row r="45" spans="4:8">
      <c r="D45" s="16" t="str">
        <f t="shared" si="1"/>
        <v>Nombre</v>
      </c>
      <c r="E45" s="16" t="s">
        <v>309</v>
      </c>
      <c r="F45" s="16" t="s">
        <v>381</v>
      </c>
      <c r="G45" s="16" t="s">
        <v>382</v>
      </c>
      <c r="H45" s="16" t="s">
        <v>383</v>
      </c>
    </row>
    <row r="46" spans="4:8">
      <c r="D46" s="16" t="str">
        <f t="shared" si="1"/>
        <v>Escribe tu nombre</v>
      </c>
      <c r="E46" s="16" t="s">
        <v>309</v>
      </c>
      <c r="F46" s="16" t="s">
        <v>384</v>
      </c>
      <c r="G46" s="16" t="s">
        <v>385</v>
      </c>
      <c r="H46" s="16" t="s">
        <v>386</v>
      </c>
    </row>
    <row r="47" spans="4:8">
      <c r="D47" s="16" t="str">
        <f t="shared" ref="D47:D76" si="2">IF($B$2,G47,H47)</f>
        <v>PORRA INCOMPLETA:</v>
      </c>
      <c r="E47" s="16" t="s">
        <v>309</v>
      </c>
      <c r="F47" s="16" t="s">
        <v>387</v>
      </c>
      <c r="G47" s="16" t="s">
        <v>388</v>
      </c>
      <c r="H47" s="16" t="s">
        <v>389</v>
      </c>
    </row>
    <row r="48" spans="4:8">
      <c r="D48" s="16" t="str">
        <f t="shared" si="2"/>
        <v>Aún falta alguna apuesta</v>
      </c>
      <c r="E48" s="16" t="s">
        <v>309</v>
      </c>
      <c r="F48" s="16" t="s">
        <v>390</v>
      </c>
      <c r="G48" s="16" t="s">
        <v>391</v>
      </c>
      <c r="H48" s="16" t="s">
        <v>392</v>
      </c>
    </row>
    <row r="49" spans="4:11">
      <c r="D49" s="16" t="str">
        <f t="shared" si="2"/>
        <v>PORRA COMPLETA:</v>
      </c>
      <c r="E49" s="16" t="s">
        <v>309</v>
      </c>
      <c r="F49" s="16" t="s">
        <v>393</v>
      </c>
      <c r="G49" s="16" t="s">
        <v>394</v>
      </c>
      <c r="H49" s="16" t="s">
        <v>395</v>
      </c>
    </row>
    <row r="50" spans="4:11">
      <c r="D50" s="16" t="str">
        <f t="shared" si="2"/>
        <v>Guarda el archivo y envialo al administrador de tu porra</v>
      </c>
      <c r="E50" s="16" t="s">
        <v>309</v>
      </c>
      <c r="F50" s="16" t="s">
        <v>396</v>
      </c>
      <c r="G50" s="16" t="s">
        <v>397</v>
      </c>
      <c r="H50" s="16" t="s">
        <v>398</v>
      </c>
    </row>
    <row r="51" spans="4:11">
      <c r="D51" s="16" t="str">
        <f t="shared" si="2"/>
        <v>Pos</v>
      </c>
      <c r="E51" s="16" t="s">
        <v>309</v>
      </c>
      <c r="F51" s="16" t="s">
        <v>399</v>
      </c>
      <c r="G51" s="16" t="s">
        <v>400</v>
      </c>
      <c r="H51" s="16" t="s">
        <v>400</v>
      </c>
    </row>
    <row r="52" spans="4:11">
      <c r="D52" s="16" t="str">
        <f t="shared" si="2"/>
        <v>Selección</v>
      </c>
      <c r="E52" s="16" t="s">
        <v>309</v>
      </c>
      <c r="F52" s="16" t="s">
        <v>401</v>
      </c>
      <c r="G52" s="16" t="s">
        <v>402</v>
      </c>
      <c r="H52" s="16" t="s">
        <v>403</v>
      </c>
    </row>
    <row r="53" spans="4:11">
      <c r="D53" s="16" t="str">
        <f t="shared" si="2"/>
        <v>Pts</v>
      </c>
      <c r="E53" s="16" t="s">
        <v>309</v>
      </c>
      <c r="F53" s="16" t="s">
        <v>404</v>
      </c>
      <c r="G53" s="16" t="s">
        <v>274</v>
      </c>
      <c r="H53" s="16" t="s">
        <v>274</v>
      </c>
    </row>
    <row r="54" spans="4:11">
      <c r="D54" s="16" t="str">
        <f t="shared" si="2"/>
        <v>J</v>
      </c>
      <c r="E54" s="16" t="s">
        <v>309</v>
      </c>
      <c r="F54" s="16" t="s">
        <v>405</v>
      </c>
      <c r="G54" s="16" t="s">
        <v>128</v>
      </c>
      <c r="H54" s="16" t="s">
        <v>406</v>
      </c>
    </row>
    <row r="55" spans="4:11">
      <c r="D55" s="16" t="str">
        <f t="shared" si="2"/>
        <v>G</v>
      </c>
      <c r="E55" s="16" t="s">
        <v>309</v>
      </c>
      <c r="F55" s="16" t="s">
        <v>407</v>
      </c>
      <c r="G55" s="16" t="s">
        <v>121</v>
      </c>
      <c r="H55" s="16" t="s">
        <v>408</v>
      </c>
    </row>
    <row r="56" spans="4:11">
      <c r="D56" s="16" t="str">
        <f t="shared" si="2"/>
        <v>E</v>
      </c>
      <c r="E56" s="16" t="s">
        <v>309</v>
      </c>
      <c r="F56" s="16" t="s">
        <v>409</v>
      </c>
      <c r="G56" s="16" t="s">
        <v>103</v>
      </c>
      <c r="H56" s="16" t="s">
        <v>94</v>
      </c>
      <c r="K56" s="9"/>
    </row>
    <row r="57" spans="4:11">
      <c r="D57" s="16" t="str">
        <f t="shared" si="2"/>
        <v>P</v>
      </c>
      <c r="E57" s="16" t="s">
        <v>309</v>
      </c>
      <c r="F57" s="16" t="s">
        <v>410</v>
      </c>
      <c r="G57" s="16" t="s">
        <v>406</v>
      </c>
      <c r="H57" s="16" t="s">
        <v>130</v>
      </c>
      <c r="K57" s="9"/>
    </row>
    <row r="58" spans="4:11">
      <c r="D58" s="16" t="str">
        <f t="shared" si="2"/>
        <v>GF</v>
      </c>
      <c r="E58" s="16" t="s">
        <v>309</v>
      </c>
      <c r="F58" s="16" t="s">
        <v>411</v>
      </c>
      <c r="G58" s="16" t="s">
        <v>55</v>
      </c>
      <c r="H58" s="16" t="s">
        <v>112</v>
      </c>
      <c r="K58" s="9"/>
    </row>
    <row r="59" spans="4:11">
      <c r="D59" s="16" t="str">
        <f t="shared" si="2"/>
        <v>GC</v>
      </c>
      <c r="E59" s="16" t="s">
        <v>309</v>
      </c>
      <c r="F59" s="16" t="s">
        <v>412</v>
      </c>
      <c r="G59" s="16" t="s">
        <v>413</v>
      </c>
      <c r="H59" s="16" t="s">
        <v>16</v>
      </c>
      <c r="K59" s="9"/>
    </row>
    <row r="60" spans="4:11">
      <c r="D60" s="16" t="str">
        <f t="shared" si="2"/>
        <v>DG</v>
      </c>
      <c r="E60" s="16" t="s">
        <v>309</v>
      </c>
      <c r="F60" s="16" t="s">
        <v>414</v>
      </c>
      <c r="G60" s="16" t="s">
        <v>52</v>
      </c>
      <c r="H60" s="16" t="s">
        <v>415</v>
      </c>
      <c r="K60" s="9"/>
    </row>
    <row r="61" spans="4:11">
      <c r="D61" s="16" t="str">
        <f t="shared" si="2"/>
        <v>J1</v>
      </c>
      <c r="E61" s="16" t="s">
        <v>309</v>
      </c>
      <c r="G61" s="16" t="s">
        <v>246</v>
      </c>
      <c r="H61" s="16" t="s">
        <v>416</v>
      </c>
      <c r="K61" s="9"/>
    </row>
    <row r="62" spans="4:11">
      <c r="D62" s="16" t="str">
        <f t="shared" si="2"/>
        <v>J2</v>
      </c>
      <c r="E62" s="16" t="s">
        <v>309</v>
      </c>
      <c r="G62" s="16" t="s">
        <v>258</v>
      </c>
      <c r="H62" s="16" t="s">
        <v>417</v>
      </c>
    </row>
    <row r="63" spans="4:11">
      <c r="D63" s="16" t="str">
        <f t="shared" si="2"/>
        <v>J3</v>
      </c>
      <c r="E63" s="16" t="s">
        <v>309</v>
      </c>
      <c r="G63" s="16" t="s">
        <v>270</v>
      </c>
      <c r="H63" s="16" t="s">
        <v>418</v>
      </c>
    </row>
    <row r="64" spans="4:11">
      <c r="D64" s="16" t="str">
        <f t="shared" si="2"/>
        <v>Instrucciones en video</v>
      </c>
      <c r="E64" s="16" t="s">
        <v>309</v>
      </c>
      <c r="F64" s="16" t="s">
        <v>419</v>
      </c>
      <c r="G64" s="580" t="s">
        <v>420</v>
      </c>
      <c r="H64" s="16" t="s">
        <v>421</v>
      </c>
    </row>
    <row r="65" spans="3:8">
      <c r="D65" s="16" t="str">
        <f t="shared" si="2"/>
        <v>Sí</v>
      </c>
      <c r="E65" s="16" t="s">
        <v>309</v>
      </c>
      <c r="G65" s="16" t="s">
        <v>422</v>
      </c>
      <c r="H65" s="16" t="s">
        <v>423</v>
      </c>
    </row>
    <row r="66" spans="3:8">
      <c r="D66" s="16" t="str">
        <f t="shared" si="2"/>
        <v>No</v>
      </c>
      <c r="E66" s="16" t="s">
        <v>309</v>
      </c>
      <c r="G66" s="16" t="s">
        <v>14</v>
      </c>
      <c r="H66" s="16" t="s">
        <v>14</v>
      </c>
    </row>
    <row r="67" spans="3:8">
      <c r="D67" s="16" t="str">
        <f t="shared" si="2"/>
        <v>Puntos penalizados</v>
      </c>
      <c r="E67" s="16" t="s">
        <v>309</v>
      </c>
      <c r="G67" s="16" t="s">
        <v>424</v>
      </c>
      <c r="H67" s="16" t="s">
        <v>425</v>
      </c>
    </row>
    <row r="68" spans="3:8">
      <c r="D68" s="16" t="str">
        <f t="shared" si="2"/>
        <v xml:space="preserve">Grupos mejores 3ºs: </v>
      </c>
      <c r="E68" s="16" t="s">
        <v>309</v>
      </c>
      <c r="G68" s="16" t="s">
        <v>426</v>
      </c>
      <c r="H68" s="16" t="s">
        <v>427</v>
      </c>
    </row>
    <row r="69" spans="3:8">
      <c r="D69" s="16" t="str">
        <f t="shared" si="2"/>
        <v>La clasificación de los mejores terceros aparece al final de la J1</v>
      </c>
      <c r="E69" s="16" t="s">
        <v>309</v>
      </c>
      <c r="G69" s="16" t="s">
        <v>428</v>
      </c>
      <c r="H69" s="16" t="s">
        <v>429</v>
      </c>
    </row>
    <row r="70" spans="3:8">
      <c r="D70" s="16" t="str">
        <f t="shared" si="2"/>
        <v>Sí</v>
      </c>
      <c r="E70" s="16" t="s">
        <v>309</v>
      </c>
      <c r="G70" s="16" t="s">
        <v>422</v>
      </c>
      <c r="H70" s="16" t="s">
        <v>423</v>
      </c>
    </row>
    <row r="71" spans="3:8">
      <c r="D71" s="16" t="str">
        <f t="shared" si="2"/>
        <v>No</v>
      </c>
      <c r="E71" s="16" t="s">
        <v>309</v>
      </c>
      <c r="G71" s="16" t="s">
        <v>14</v>
      </c>
      <c r="H71" s="16" t="s">
        <v>14</v>
      </c>
    </row>
    <row r="72" spans="3:8">
      <c r="D72" s="16" t="str">
        <f t="shared" si="2"/>
        <v>¿Hay equipos penalizados?</v>
      </c>
      <c r="E72" s="16" t="s">
        <v>309</v>
      </c>
      <c r="G72" s="16" t="s">
        <v>430</v>
      </c>
      <c r="H72" s="16" t="s">
        <v>431</v>
      </c>
    </row>
    <row r="73" spans="3:8">
      <c r="C73" s="16">
        <v>1</v>
      </c>
      <c r="D73" s="16" t="str">
        <f t="shared" si="2"/>
        <v>Normal</v>
      </c>
      <c r="E73" s="16" t="s">
        <v>309</v>
      </c>
      <c r="G73" s="16" t="s">
        <v>432</v>
      </c>
      <c r="H73" s="16" t="s">
        <v>432</v>
      </c>
    </row>
    <row r="74" spans="3:8">
      <c r="C74" s="16">
        <v>2</v>
      </c>
      <c r="D74" s="16" t="str">
        <f t="shared" si="2"/>
        <v>No cuenta el partido contra el último</v>
      </c>
      <c r="E74" s="16" t="s">
        <v>309</v>
      </c>
      <c r="G74" s="16" t="s">
        <v>433</v>
      </c>
      <c r="H74" s="16" t="s">
        <v>434</v>
      </c>
    </row>
    <row r="75" spans="3:8">
      <c r="C75" s="16">
        <v>3</v>
      </c>
      <c r="D75" s="16" t="str">
        <f t="shared" si="2"/>
        <v>Media por partido</v>
      </c>
      <c r="E75" s="16" t="s">
        <v>309</v>
      </c>
      <c r="G75" s="16" t="s">
        <v>435</v>
      </c>
      <c r="H75" s="16" t="s">
        <v>436</v>
      </c>
    </row>
    <row r="76" spans="3:8">
      <c r="D76" s="16" t="str">
        <f t="shared" si="2"/>
        <v>Selecciona criterio:</v>
      </c>
      <c r="E76" s="16" t="s">
        <v>309</v>
      </c>
      <c r="G76" s="16" t="s">
        <v>437</v>
      </c>
      <c r="H76" s="16" t="s">
        <v>438</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c r="D80" s="16" t="str">
        <f t="shared" si="3"/>
        <v>Autor:</v>
      </c>
      <c r="E80" s="16" t="s">
        <v>439</v>
      </c>
      <c r="F80" s="16" t="s">
        <v>442</v>
      </c>
      <c r="G80" s="16" t="s">
        <v>443</v>
      </c>
      <c r="H80" s="16" t="s">
        <v>444</v>
      </c>
    </row>
    <row r="81" spans="4:8">
      <c r="D81" s="16" t="str">
        <f t="shared" si="3"/>
        <v>Útima versión</v>
      </c>
      <c r="E81" s="16" t="s">
        <v>439</v>
      </c>
      <c r="F81" s="16" t="s">
        <v>445</v>
      </c>
      <c r="G81" s="16" t="s">
        <v>446</v>
      </c>
      <c r="H81" s="16" t="s">
        <v>447</v>
      </c>
    </row>
    <row r="82" spans="4:8">
      <c r="D82" s="16" t="str">
        <f t="shared" si="3"/>
        <v>Limitación de responsabilidad:</v>
      </c>
      <c r="E82" s="16" t="s">
        <v>439</v>
      </c>
      <c r="F82" s="16" t="s">
        <v>250</v>
      </c>
      <c r="G82" s="16" t="s">
        <v>448</v>
      </c>
      <c r="H82" s="16" t="s">
        <v>449</v>
      </c>
    </row>
    <row r="83" spans="4:8">
      <c r="D83" s="16" t="str">
        <f t="shared" si="3"/>
        <v>PARA DESCARGAR, CLICK EN</v>
      </c>
      <c r="E83" s="16" t="s">
        <v>439</v>
      </c>
      <c r="G83" s="16" t="s">
        <v>450</v>
      </c>
      <c r="H83" s="16" t="s">
        <v>451</v>
      </c>
    </row>
    <row r="84" spans="4:8">
      <c r="D84" s="16" t="str">
        <f t="shared" si="3"/>
        <v>· Selecciona el idioma y la zona horaria</v>
      </c>
      <c r="E84" s="16" t="s">
        <v>439</v>
      </c>
      <c r="G84" s="16" t="s">
        <v>452</v>
      </c>
      <c r="H84" s="16" t="s">
        <v>453</v>
      </c>
    </row>
    <row r="85" spans="4:8">
      <c r="D85" s="16" t="str">
        <f t="shared" si="3"/>
        <v>· Si vas a participar en una porra escribe tu nombre</v>
      </c>
      <c r="E85" s="16" t="s">
        <v>439</v>
      </c>
      <c r="G85" s="16" t="s">
        <v>454</v>
      </c>
      <c r="H85" s="16" t="s">
        <v>455</v>
      </c>
    </row>
    <row r="86" spans="4:8">
      <c r="D86" s="16" t="str">
        <f t="shared" si="3"/>
        <v>· Si vas a organizar una porra, puedes descargar el archivo excel de administración desde aquí</v>
      </c>
      <c r="E86" s="16" t="s">
        <v>439</v>
      </c>
      <c r="G86" s="16" t="s">
        <v>456</v>
      </c>
      <c r="H86" s="16" t="s">
        <v>457</v>
      </c>
    </row>
    <row r="87" spans="4:8">
      <c r="D87" s="16" t="str">
        <f t="shared" si="3"/>
        <v>· Rellena los cuadros grises con los resultados de la fase de grupos para cada grupo</v>
      </c>
      <c r="E87" s="16" t="s">
        <v>439</v>
      </c>
      <c r="G87" s="16" t="s">
        <v>458</v>
      </c>
      <c r="H87" s="16" t="s">
        <v>459</v>
      </c>
    </row>
    <row r="88" spans="4:8">
      <c r="D88" s="16" t="str">
        <f t="shared" si="3"/>
        <v>· En caso de empate en la posición de un grupo o en los mejores terceros, puedes seleccionar el orden de los empatados</v>
      </c>
      <c r="E88" s="16" t="s">
        <v>439</v>
      </c>
      <c r="G88" s="16" t="s">
        <v>460</v>
      </c>
      <c r="H88" s="16" t="s">
        <v>461</v>
      </c>
    </row>
    <row r="89" spans="4:8">
      <c r="D89" s="16" t="str">
        <f t="shared" si="3"/>
        <v>· Las eliminatorias se establecen de forma automática</v>
      </c>
      <c r="E89" s="16" t="s">
        <v>439</v>
      </c>
      <c r="G89" s="16" t="s">
        <v>462</v>
      </c>
      <c r="H89" s="16" t="s">
        <v>463</v>
      </c>
    </row>
    <row r="90" spans="4:8">
      <c r="D90" s="16" t="str">
        <f t="shared" si="3"/>
        <v>· Rellena los resultados de las fases eliminatorias. En caso de empate, se abren dos celdas a los lados para poner el resultado de los penaltis</v>
      </c>
      <c r="E90" s="16" t="s">
        <v>439</v>
      </c>
      <c r="G90" s="16" t="s">
        <v>464</v>
      </c>
      <c r="H90" s="16" t="s">
        <v>465</v>
      </c>
    </row>
    <row r="91" spans="4:8">
      <c r="D91" s="16" t="str">
        <f t="shared" si="3"/>
        <v>· Si vas a participar en una porra, rellenar los mejores jugadores y los máximos goleadores</v>
      </c>
      <c r="E91" s="16" t="s">
        <v>439</v>
      </c>
      <c r="G91" s="16" t="s">
        <v>466</v>
      </c>
      <c r="H91" s="16" t="s">
        <v>467</v>
      </c>
    </row>
    <row r="92" spans="4:8">
      <c r="D92" s="16" t="str">
        <f t="shared" si="3"/>
        <v>· Esta hoja es independiente a los resultados introducidos en la hoja WORLDCUP y su uso es opcional</v>
      </c>
      <c r="E92" s="16" t="s">
        <v>439</v>
      </c>
      <c r="G92" s="16" t="s">
        <v>468</v>
      </c>
      <c r="H92" s="16" t="s">
        <v>469</v>
      </c>
    </row>
    <row r="93" spans="4:8">
      <c r="D93" s="16" t="str">
        <f t="shared" si="3"/>
        <v>· Las instrucciones de uso de esta hoja se encuentran en la misma hoja</v>
      </c>
      <c r="E93" s="16" t="s">
        <v>439</v>
      </c>
      <c r="G93" s="16" t="s">
        <v>470</v>
      </c>
      <c r="H93" s="16" t="s">
        <v>471</v>
      </c>
    </row>
    <row r="94" spans="4:8">
      <c r="D94" s="16" t="str">
        <f t="shared" si="3"/>
        <v>· En esta hoja no hay que escribir nada</v>
      </c>
      <c r="E94" s="16" t="s">
        <v>439</v>
      </c>
      <c r="G94" s="16" t="s">
        <v>472</v>
      </c>
      <c r="H94" s="16" t="s">
        <v>473</v>
      </c>
    </row>
    <row r="95" spans="4:8">
      <c r="D95" s="16" t="str">
        <f t="shared" si="3"/>
        <v>· Sirve para que el organizador de la porra, copie estos resultados y los pegue en el archivo de administrador</v>
      </c>
      <c r="E95" s="16" t="s">
        <v>439</v>
      </c>
      <c r="G95" s="16" t="s">
        <v>474</v>
      </c>
      <c r="H95" s="16" t="s">
        <v>475</v>
      </c>
    </row>
    <row r="96" spans="4:8">
      <c r="D96" s="16" t="str">
        <f t="shared" si="3"/>
        <v>· En esta hoja se muestran de un vistazo todos los resultados introducidos en la hoja WORLDCUP, en esta hoja no se rellena nada.</v>
      </c>
      <c r="E96" s="16" t="s">
        <v>439</v>
      </c>
      <c r="G96" s="16" t="s">
        <v>476</v>
      </c>
      <c r="H96" s="16" t="s">
        <v>477</v>
      </c>
    </row>
    <row r="102" spans="4:16">
      <c r="D102" s="16" t="str">
        <f t="shared" ref="D102:D133" si="4">IF($B$2,G102,H102)</f>
        <v>Para el administrador de la porra</v>
      </c>
      <c r="E102" s="16" t="s">
        <v>478</v>
      </c>
      <c r="F102" s="16" t="s">
        <v>239</v>
      </c>
      <c r="G102" s="16" t="s">
        <v>479</v>
      </c>
      <c r="H102" s="16" t="s">
        <v>480</v>
      </c>
    </row>
    <row r="103" spans="4:16">
      <c r="D103" s="16" t="str">
        <f t="shared" si="4"/>
        <v>PARTICIPANTE</v>
      </c>
      <c r="E103" s="16" t="s">
        <v>478</v>
      </c>
      <c r="F103" s="16" t="s">
        <v>250</v>
      </c>
      <c r="G103" s="16" t="s">
        <v>481</v>
      </c>
      <c r="H103" s="16" t="s">
        <v>482</v>
      </c>
    </row>
    <row r="104" spans="4:16">
      <c r="D104" s="16" t="str">
        <f t="shared" si="4"/>
        <v>Nombre</v>
      </c>
      <c r="E104" s="16" t="s">
        <v>478</v>
      </c>
      <c r="F104" s="16" t="s">
        <v>262</v>
      </c>
      <c r="G104" s="16" t="s">
        <v>382</v>
      </c>
      <c r="H104" s="16" t="s">
        <v>383</v>
      </c>
    </row>
    <row r="105" spans="4:16">
      <c r="D105" s="16" t="str">
        <f t="shared" si="4"/>
        <v>¡No tocar nada, se rellena solo!</v>
      </c>
      <c r="E105" s="16" t="s">
        <v>478</v>
      </c>
      <c r="F105" s="16" t="s">
        <v>483</v>
      </c>
      <c r="G105" s="16" t="s">
        <v>484</v>
      </c>
      <c r="H105" s="16" t="s">
        <v>485</v>
      </c>
    </row>
    <row r="106" spans="4:16" ht="15" customHeight="1">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c r="D109" s="16" t="str">
        <f t="shared" si="4"/>
        <v>·Si haceis jornada a jornada seguir las instrucciones de cada jornada</v>
      </c>
      <c r="E109" s="16" t="s">
        <v>478</v>
      </c>
      <c r="F109" s="16" t="s">
        <v>493</v>
      </c>
      <c r="G109" s="16" t="s">
        <v>494</v>
      </c>
      <c r="H109" s="16" t="s">
        <v>495</v>
      </c>
      <c r="I109" s="596"/>
      <c r="K109" s="596"/>
      <c r="L109" s="596"/>
    </row>
    <row r="110" spans="4:16">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c r="D111" s="16" t="str">
        <f t="shared" si="4"/>
        <v>·Para la segunda jornada copiar de la C30 a la C53 y pega valores en la plantilla de administrador.</v>
      </c>
      <c r="E111" s="16" t="s">
        <v>478</v>
      </c>
      <c r="F111" s="16" t="s">
        <v>499</v>
      </c>
      <c r="G111" s="16" t="s">
        <v>500</v>
      </c>
      <c r="H111" s="16" t="s">
        <v>501</v>
      </c>
    </row>
    <row r="112" spans="4:16">
      <c r="D112" s="16" t="str">
        <f t="shared" si="4"/>
        <v>·Para la tercera jornada copiar de la C54 a la C161 y pega valores en la plantilla de administrador.</v>
      </c>
      <c r="E112" s="16" t="s">
        <v>478</v>
      </c>
      <c r="F112" s="16" t="s">
        <v>502</v>
      </c>
      <c r="G112" s="16" t="s">
        <v>503</v>
      </c>
      <c r="H112" s="16" t="s">
        <v>504</v>
      </c>
    </row>
    <row r="113" spans="4:8">
      <c r="D113" s="16" t="str">
        <f t="shared" si="4"/>
        <v>·Si haceis todas las eliminatorias de golpe, copiar de la C164 a la C252 y pegar valores en la plantilla de Administrador.</v>
      </c>
      <c r="E113" s="16" t="s">
        <v>478</v>
      </c>
      <c r="F113" s="16" t="s">
        <v>505</v>
      </c>
      <c r="G113" s="16" t="s">
        <v>506</v>
      </c>
      <c r="H113" s="16" t="s">
        <v>507</v>
      </c>
    </row>
    <row r="114" spans="4:8">
      <c r="D114" s="16" t="str">
        <f t="shared" si="4"/>
        <v>·Si haceis eliminatoria a eliminatoria seguir las instrucciones de cada eliminatoria.</v>
      </c>
      <c r="E114" s="16" t="s">
        <v>478</v>
      </c>
      <c r="F114" s="16" t="s">
        <v>508</v>
      </c>
      <c r="G114" s="16" t="s">
        <v>509</v>
      </c>
      <c r="H114" s="16" t="s">
        <v>510</v>
      </c>
    </row>
    <row r="115" spans="4:8">
      <c r="D115" s="16" t="str">
        <f t="shared" si="4"/>
        <v>·Para los dieciseisavos copiar de la C164 a la C197 y pega valores en la plantilla de administrador.</v>
      </c>
      <c r="E115" s="16" t="s">
        <v>478</v>
      </c>
      <c r="F115" s="16" t="s">
        <v>511</v>
      </c>
      <c r="G115" s="16" t="s">
        <v>512</v>
      </c>
      <c r="H115" s="16" t="s">
        <v>513</v>
      </c>
    </row>
    <row r="116" spans="4:8">
      <c r="D116" s="16" t="str">
        <f t="shared" si="4"/>
        <v>·Para los octavos de final copiar de la C200 a la C217 y pega valores en la plantilla de administrador.</v>
      </c>
      <c r="E116" s="16" t="s">
        <v>478</v>
      </c>
      <c r="F116" s="16" t="s">
        <v>514</v>
      </c>
      <c r="G116" s="16" t="s">
        <v>515</v>
      </c>
      <c r="H116" s="16" t="s">
        <v>516</v>
      </c>
    </row>
    <row r="117" spans="4:8">
      <c r="D117" s="16" t="str">
        <f t="shared" si="4"/>
        <v>·Para los cuartos de final copiar de la C220 a la C229 y pega valores en la plantilla de administrador.</v>
      </c>
      <c r="E117" s="16" t="s">
        <v>478</v>
      </c>
      <c r="G117" s="16" t="s">
        <v>517</v>
      </c>
      <c r="H117" s="16" t="s">
        <v>518</v>
      </c>
    </row>
    <row r="118" spans="4:8">
      <c r="D118" s="16" t="str">
        <f t="shared" si="4"/>
        <v>·Para las semifinales copiar de la C232 a la C241 y pega valores en la plantilla de administrador.</v>
      </c>
      <c r="E118" s="16" t="s">
        <v>478</v>
      </c>
      <c r="F118" s="16" t="s">
        <v>519</v>
      </c>
      <c r="G118" s="16" t="s">
        <v>520</v>
      </c>
      <c r="H118" s="16" t="s">
        <v>521</v>
      </c>
    </row>
    <row r="119" spans="4:8">
      <c r="D119" s="16" t="str">
        <f t="shared" si="4"/>
        <v>·Para el 3º y 4º puesto y la Final copiar de la C244 a la C252 y pega valores en la plantilla de administrador.</v>
      </c>
      <c r="E119" s="16" t="s">
        <v>478</v>
      </c>
      <c r="F119" s="16" t="s">
        <v>522</v>
      </c>
      <c r="G119" s="16" t="s">
        <v>523</v>
      </c>
      <c r="H119" s="16" t="s">
        <v>524</v>
      </c>
    </row>
    <row r="120" spans="4:8">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c r="D121" s="16" t="str">
        <f t="shared" si="4"/>
        <v>·Copiar de la C261 a la C258 y pegar valores en el administrador donde el Predictor</v>
      </c>
      <c r="E121" s="16" t="s">
        <v>478</v>
      </c>
      <c r="G121" s="16" t="s">
        <v>528</v>
      </c>
      <c r="H121" s="16" t="s">
        <v>529</v>
      </c>
    </row>
    <row r="122" spans="4:8">
      <c r="D122" s="16" t="str">
        <f t="shared" si="4"/>
        <v>J1</v>
      </c>
      <c r="E122" s="16" t="s">
        <v>478</v>
      </c>
      <c r="F122" s="16" t="s">
        <v>530</v>
      </c>
      <c r="G122" s="16" t="s">
        <v>246</v>
      </c>
      <c r="H122" s="16" t="s">
        <v>416</v>
      </c>
    </row>
    <row r="123" spans="4:8">
      <c r="D123" s="16" t="str">
        <f t="shared" si="4"/>
        <v>J2</v>
      </c>
      <c r="E123" s="16" t="s">
        <v>478</v>
      </c>
      <c r="F123" s="16" t="s">
        <v>531</v>
      </c>
      <c r="G123" s="16" t="s">
        <v>258</v>
      </c>
      <c r="H123" s="16" t="s">
        <v>417</v>
      </c>
    </row>
    <row r="124" spans="4:8">
      <c r="D124" s="16" t="str">
        <f t="shared" si="4"/>
        <v>J3</v>
      </c>
      <c r="E124" s="16" t="s">
        <v>478</v>
      </c>
      <c r="F124" s="16" t="s">
        <v>532</v>
      </c>
      <c r="G124" s="16" t="s">
        <v>270</v>
      </c>
      <c r="H124" s="16" t="s">
        <v>418</v>
      </c>
    </row>
    <row r="125" spans="4:8">
      <c r="D125" s="16" t="str">
        <f t="shared" si="4"/>
        <v>FASE DE GRUPOS</v>
      </c>
      <c r="E125" s="16" t="s">
        <v>478</v>
      </c>
      <c r="F125" s="16" t="s">
        <v>533</v>
      </c>
      <c r="G125" s="16" t="s">
        <v>534</v>
      </c>
      <c r="H125" s="16" t="s">
        <v>535</v>
      </c>
    </row>
    <row r="126" spans="4:8">
      <c r="D126" s="16" t="str">
        <f t="shared" si="4"/>
        <v>POSICIÓN GRUPOS</v>
      </c>
      <c r="E126" s="16" t="s">
        <v>478</v>
      </c>
      <c r="F126" s="16" t="s">
        <v>536</v>
      </c>
      <c r="G126" s="16" t="s">
        <v>537</v>
      </c>
      <c r="H126" s="16" t="s">
        <v>538</v>
      </c>
    </row>
    <row r="127" spans="4:8">
      <c r="D127" s="16" t="str">
        <f t="shared" si="4"/>
        <v>CLASIFICADOS PARA DIECISEISAVOS</v>
      </c>
      <c r="E127" s="16" t="s">
        <v>478</v>
      </c>
      <c r="F127" s="16" t="s">
        <v>539</v>
      </c>
      <c r="G127" s="16" t="s">
        <v>540</v>
      </c>
      <c r="H127" s="16" t="s">
        <v>541</v>
      </c>
    </row>
    <row r="128" spans="4:8">
      <c r="D128" s="16" t="str">
        <f t="shared" si="4"/>
        <v>ENFRENTAMIENTOS DIECISEISAVOS</v>
      </c>
      <c r="E128" s="16" t="s">
        <v>478</v>
      </c>
      <c r="F128" s="16" t="s">
        <v>542</v>
      </c>
      <c r="G128" s="16" t="s">
        <v>543</v>
      </c>
      <c r="H128" s="16" t="s">
        <v>544</v>
      </c>
    </row>
    <row r="129" spans="4:8">
      <c r="D129" s="16" t="str">
        <f t="shared" si="4"/>
        <v>CLASIFICADOS PARA OCTAVOS</v>
      </c>
      <c r="E129" s="16" t="s">
        <v>478</v>
      </c>
      <c r="G129" s="16" t="s">
        <v>545</v>
      </c>
      <c r="H129" s="16" t="s">
        <v>546</v>
      </c>
    </row>
    <row r="130" spans="4:8">
      <c r="D130" s="16" t="str">
        <f t="shared" si="4"/>
        <v>ENFRENTAMIENTOS OCTAVOS</v>
      </c>
      <c r="E130" s="16" t="s">
        <v>478</v>
      </c>
      <c r="G130" s="16" t="s">
        <v>547</v>
      </c>
      <c r="H130" s="16" t="s">
        <v>548</v>
      </c>
    </row>
    <row r="131" spans="4:8">
      <c r="D131" s="16" t="str">
        <f t="shared" si="4"/>
        <v>CLASIFICADOS PARA CUARTOS</v>
      </c>
      <c r="E131" s="16" t="s">
        <v>478</v>
      </c>
      <c r="F131" s="16" t="s">
        <v>549</v>
      </c>
      <c r="G131" s="16" t="s">
        <v>550</v>
      </c>
      <c r="H131" s="16" t="s">
        <v>551</v>
      </c>
    </row>
    <row r="132" spans="4:8">
      <c r="D132" s="16" t="str">
        <f t="shared" si="4"/>
        <v>ENFRENTAMIENTOS CUARTOS</v>
      </c>
      <c r="E132" s="16" t="s">
        <v>478</v>
      </c>
      <c r="F132" s="16" t="s">
        <v>552</v>
      </c>
      <c r="G132" s="16" t="s">
        <v>553</v>
      </c>
      <c r="H132" s="16" t="s">
        <v>554</v>
      </c>
    </row>
    <row r="133" spans="4:8">
      <c r="D133" s="16" t="str">
        <f t="shared" si="4"/>
        <v>CLASIFICADOS PARA SEMIFINALES</v>
      </c>
      <c r="E133" s="16" t="s">
        <v>478</v>
      </c>
      <c r="F133" s="16" t="s">
        <v>555</v>
      </c>
      <c r="G133" s="16" t="s">
        <v>556</v>
      </c>
      <c r="H133" s="16" t="s">
        <v>557</v>
      </c>
    </row>
    <row r="134" spans="4:8">
      <c r="D134" s="16" t="str">
        <f t="shared" ref="D134:D165" si="5">IF($B$2,G134,H134)</f>
        <v>ENFRENTAMIENTOS SEMIFINALES</v>
      </c>
      <c r="E134" s="16" t="s">
        <v>478</v>
      </c>
      <c r="F134" s="16" t="s">
        <v>558</v>
      </c>
      <c r="G134" s="16" t="s">
        <v>559</v>
      </c>
      <c r="H134" s="16" t="s">
        <v>560</v>
      </c>
    </row>
    <row r="135" spans="4:8">
      <c r="D135" s="16" t="str">
        <f t="shared" si="5"/>
        <v>CLASIFICADOS PARA EL 3º y 4º PUESTO</v>
      </c>
      <c r="E135" s="16" t="s">
        <v>478</v>
      </c>
      <c r="G135" s="16" t="s">
        <v>561</v>
      </c>
      <c r="H135" s="16" t="s">
        <v>562</v>
      </c>
    </row>
    <row r="136" spans="4:8">
      <c r="D136" s="16" t="str">
        <f t="shared" si="5"/>
        <v>CLASIFICADOS PARA LA FINAL</v>
      </c>
      <c r="E136" s="16" t="s">
        <v>478</v>
      </c>
      <c r="F136" s="16" t="s">
        <v>563</v>
      </c>
      <c r="G136" s="16" t="s">
        <v>564</v>
      </c>
      <c r="H136" s="16" t="s">
        <v>565</v>
      </c>
    </row>
    <row r="137" spans="4:8">
      <c r="D137" s="16" t="str">
        <f t="shared" si="5"/>
        <v>3º-4º puesto</v>
      </c>
      <c r="E137" s="16" t="s">
        <v>478</v>
      </c>
      <c r="G137" s="16" t="s">
        <v>566</v>
      </c>
      <c r="H137" s="16" t="s">
        <v>349</v>
      </c>
    </row>
    <row r="138" spans="4:8">
      <c r="D138" s="16" t="str">
        <f t="shared" si="5"/>
        <v>ENFRENTAMIENTO FINAL</v>
      </c>
      <c r="E138" s="16" t="s">
        <v>478</v>
      </c>
      <c r="F138" s="16" t="s">
        <v>567</v>
      </c>
      <c r="G138" s="16" t="s">
        <v>568</v>
      </c>
      <c r="H138" s="16" t="s">
        <v>569</v>
      </c>
    </row>
    <row r="139" spans="4:8">
      <c r="D139" s="16" t="str">
        <f t="shared" si="5"/>
        <v>CUADRO DE HONOR</v>
      </c>
      <c r="E139" s="16" t="s">
        <v>478</v>
      </c>
      <c r="F139" s="16" t="s">
        <v>570</v>
      </c>
      <c r="G139" s="16" t="s">
        <v>571</v>
      </c>
      <c r="H139" s="16" t="s">
        <v>572</v>
      </c>
    </row>
    <row r="140" spans="4:8">
      <c r="D140" s="16" t="str">
        <f t="shared" si="5"/>
        <v>1º GRUPO A</v>
      </c>
      <c r="E140" s="16" t="s">
        <v>478</v>
      </c>
      <c r="F140" s="16" t="s">
        <v>573</v>
      </c>
      <c r="G140" s="16" t="s">
        <v>574</v>
      </c>
      <c r="H140" s="9" t="s">
        <v>575</v>
      </c>
    </row>
    <row r="141" spans="4:8">
      <c r="D141" s="16" t="str">
        <f t="shared" si="5"/>
        <v>2º GRUPO A</v>
      </c>
      <c r="E141" s="16" t="s">
        <v>478</v>
      </c>
      <c r="F141" s="16" t="s">
        <v>576</v>
      </c>
      <c r="G141" s="16" t="s">
        <v>577</v>
      </c>
      <c r="H141" s="9" t="s">
        <v>578</v>
      </c>
    </row>
    <row r="142" spans="4:8">
      <c r="D142" s="16" t="str">
        <f t="shared" si="5"/>
        <v>3º GRUPO A</v>
      </c>
      <c r="E142" s="16" t="s">
        <v>478</v>
      </c>
      <c r="F142" s="16" t="s">
        <v>579</v>
      </c>
      <c r="G142" s="16" t="s">
        <v>580</v>
      </c>
      <c r="H142" s="9" t="s">
        <v>581</v>
      </c>
    </row>
    <row r="143" spans="4:8">
      <c r="D143" s="16" t="str">
        <f t="shared" si="5"/>
        <v>4º GRUPO A</v>
      </c>
      <c r="E143" s="16" t="s">
        <v>478</v>
      </c>
      <c r="F143" s="16" t="s">
        <v>582</v>
      </c>
      <c r="G143" s="16" t="s">
        <v>583</v>
      </c>
      <c r="H143" s="9" t="s">
        <v>584</v>
      </c>
    </row>
    <row r="144" spans="4:8">
      <c r="D144" s="16" t="str">
        <f t="shared" si="5"/>
        <v>1º GRUPO B</v>
      </c>
      <c r="E144" s="16" t="s">
        <v>478</v>
      </c>
      <c r="F144" s="16" t="s">
        <v>585</v>
      </c>
      <c r="G144" s="16" t="s">
        <v>586</v>
      </c>
      <c r="H144" s="9" t="s">
        <v>587</v>
      </c>
    </row>
    <row r="145" spans="4:8">
      <c r="D145" s="16" t="str">
        <f t="shared" si="5"/>
        <v>2º GRUPO B</v>
      </c>
      <c r="E145" s="16" t="s">
        <v>478</v>
      </c>
      <c r="F145" s="16" t="s">
        <v>588</v>
      </c>
      <c r="G145" s="16" t="s">
        <v>589</v>
      </c>
      <c r="H145" s="9" t="s">
        <v>590</v>
      </c>
    </row>
    <row r="146" spans="4:8">
      <c r="D146" s="16" t="str">
        <f t="shared" si="5"/>
        <v>3º GRUPO B</v>
      </c>
      <c r="E146" s="16" t="s">
        <v>478</v>
      </c>
      <c r="F146" s="16" t="s">
        <v>591</v>
      </c>
      <c r="G146" s="16" t="s">
        <v>592</v>
      </c>
      <c r="H146" s="9" t="s">
        <v>593</v>
      </c>
    </row>
    <row r="147" spans="4:8">
      <c r="D147" s="16" t="str">
        <f t="shared" si="5"/>
        <v>4º GRUPO B</v>
      </c>
      <c r="E147" s="16" t="s">
        <v>478</v>
      </c>
      <c r="F147" s="16" t="s">
        <v>594</v>
      </c>
      <c r="G147" s="16" t="s">
        <v>595</v>
      </c>
      <c r="H147" s="9" t="s">
        <v>596</v>
      </c>
    </row>
    <row r="148" spans="4:8">
      <c r="D148" s="16" t="str">
        <f t="shared" si="5"/>
        <v>1º GRUPO C</v>
      </c>
      <c r="E148" s="16" t="s">
        <v>478</v>
      </c>
      <c r="F148" s="16" t="s">
        <v>597</v>
      </c>
      <c r="G148" s="16" t="s">
        <v>598</v>
      </c>
      <c r="H148" s="9" t="s">
        <v>599</v>
      </c>
    </row>
    <row r="149" spans="4:8">
      <c r="D149" s="16" t="str">
        <f t="shared" si="5"/>
        <v>2º GRUPO C</v>
      </c>
      <c r="E149" s="16" t="s">
        <v>478</v>
      </c>
      <c r="F149" s="16" t="s">
        <v>600</v>
      </c>
      <c r="G149" s="16" t="s">
        <v>601</v>
      </c>
      <c r="H149" s="9" t="s">
        <v>602</v>
      </c>
    </row>
    <row r="150" spans="4:8">
      <c r="D150" s="16" t="str">
        <f t="shared" si="5"/>
        <v>3º GRUPO C</v>
      </c>
      <c r="E150" s="16" t="s">
        <v>478</v>
      </c>
      <c r="F150" s="16" t="s">
        <v>603</v>
      </c>
      <c r="G150" s="16" t="s">
        <v>604</v>
      </c>
      <c r="H150" s="9" t="s">
        <v>605</v>
      </c>
    </row>
    <row r="151" spans="4:8">
      <c r="D151" s="16" t="str">
        <f t="shared" si="5"/>
        <v>4º GRUPO C</v>
      </c>
      <c r="E151" s="16" t="s">
        <v>478</v>
      </c>
      <c r="F151" s="16" t="s">
        <v>606</v>
      </c>
      <c r="G151" s="16" t="s">
        <v>607</v>
      </c>
      <c r="H151" s="9" t="s">
        <v>608</v>
      </c>
    </row>
    <row r="152" spans="4:8">
      <c r="D152" s="16" t="str">
        <f t="shared" si="5"/>
        <v>1º GRUPO D</v>
      </c>
      <c r="E152" s="16" t="s">
        <v>478</v>
      </c>
      <c r="F152" s="16" t="s">
        <v>609</v>
      </c>
      <c r="G152" s="16" t="s">
        <v>610</v>
      </c>
      <c r="H152" s="9" t="s">
        <v>611</v>
      </c>
    </row>
    <row r="153" spans="4:8">
      <c r="D153" s="16" t="str">
        <f t="shared" si="5"/>
        <v>2º GRUPO D</v>
      </c>
      <c r="E153" s="16" t="s">
        <v>478</v>
      </c>
      <c r="F153" s="16" t="s">
        <v>612</v>
      </c>
      <c r="G153" s="16" t="s">
        <v>613</v>
      </c>
      <c r="H153" s="9" t="s">
        <v>614</v>
      </c>
    </row>
    <row r="154" spans="4:8">
      <c r="D154" s="16" t="str">
        <f t="shared" si="5"/>
        <v>3º GRUPO D</v>
      </c>
      <c r="E154" s="16" t="s">
        <v>478</v>
      </c>
      <c r="F154" s="16" t="s">
        <v>615</v>
      </c>
      <c r="G154" s="16" t="s">
        <v>616</v>
      </c>
      <c r="H154" s="9" t="s">
        <v>617</v>
      </c>
    </row>
    <row r="155" spans="4:8">
      <c r="D155" s="16" t="str">
        <f t="shared" si="5"/>
        <v>4º GRUPO D</v>
      </c>
      <c r="E155" s="16" t="s">
        <v>478</v>
      </c>
      <c r="F155" s="16" t="s">
        <v>618</v>
      </c>
      <c r="G155" s="16" t="s">
        <v>619</v>
      </c>
      <c r="H155" s="9" t="s">
        <v>620</v>
      </c>
    </row>
    <row r="156" spans="4:8">
      <c r="D156" s="16" t="str">
        <f t="shared" si="5"/>
        <v>1º GRUPO E</v>
      </c>
      <c r="E156" s="16" t="s">
        <v>478</v>
      </c>
      <c r="F156" s="16" t="s">
        <v>621</v>
      </c>
      <c r="G156" s="16" t="s">
        <v>622</v>
      </c>
      <c r="H156" s="9" t="s">
        <v>623</v>
      </c>
    </row>
    <row r="157" spans="4:8">
      <c r="D157" s="16" t="str">
        <f t="shared" si="5"/>
        <v>2º GRUPO E</v>
      </c>
      <c r="E157" s="16" t="s">
        <v>478</v>
      </c>
      <c r="F157" s="16" t="s">
        <v>624</v>
      </c>
      <c r="G157" s="16" t="s">
        <v>625</v>
      </c>
      <c r="H157" s="9" t="s">
        <v>626</v>
      </c>
    </row>
    <row r="158" spans="4:8">
      <c r="D158" s="16" t="str">
        <f t="shared" si="5"/>
        <v>3º GRUPO E</v>
      </c>
      <c r="E158" s="16" t="s">
        <v>478</v>
      </c>
      <c r="F158" s="16" t="s">
        <v>627</v>
      </c>
      <c r="G158" s="16" t="s">
        <v>628</v>
      </c>
      <c r="H158" s="9" t="s">
        <v>629</v>
      </c>
    </row>
    <row r="159" spans="4:8">
      <c r="D159" s="16" t="str">
        <f t="shared" si="5"/>
        <v>4º GRUPO E</v>
      </c>
      <c r="E159" s="16" t="s">
        <v>478</v>
      </c>
      <c r="F159" s="16" t="s">
        <v>630</v>
      </c>
      <c r="G159" s="16" t="s">
        <v>631</v>
      </c>
      <c r="H159" s="9" t="s">
        <v>632</v>
      </c>
    </row>
    <row r="160" spans="4:8">
      <c r="D160" s="16" t="str">
        <f t="shared" si="5"/>
        <v>1º GRUPO F</v>
      </c>
      <c r="E160" s="16" t="s">
        <v>478</v>
      </c>
      <c r="F160" s="16" t="s">
        <v>633</v>
      </c>
      <c r="G160" s="16" t="s">
        <v>634</v>
      </c>
      <c r="H160" s="9" t="s">
        <v>635</v>
      </c>
    </row>
    <row r="161" spans="4:8">
      <c r="D161" s="16" t="str">
        <f t="shared" si="5"/>
        <v>2º GRUPO F</v>
      </c>
      <c r="E161" s="16" t="s">
        <v>478</v>
      </c>
      <c r="F161" s="16" t="s">
        <v>636</v>
      </c>
      <c r="G161" s="16" t="s">
        <v>637</v>
      </c>
      <c r="H161" s="9" t="s">
        <v>638</v>
      </c>
    </row>
    <row r="162" spans="4:8">
      <c r="D162" s="16" t="str">
        <f t="shared" si="5"/>
        <v>3º GRUPO F</v>
      </c>
      <c r="E162" s="16" t="s">
        <v>478</v>
      </c>
      <c r="F162" s="16" t="s">
        <v>639</v>
      </c>
      <c r="G162" s="16" t="s">
        <v>640</v>
      </c>
      <c r="H162" s="9" t="s">
        <v>641</v>
      </c>
    </row>
    <row r="163" spans="4:8">
      <c r="D163" s="16" t="str">
        <f t="shared" si="5"/>
        <v>4º GRUPO F</v>
      </c>
      <c r="E163" s="16" t="s">
        <v>478</v>
      </c>
      <c r="F163" s="16" t="s">
        <v>642</v>
      </c>
      <c r="G163" s="16" t="s">
        <v>643</v>
      </c>
      <c r="H163" s="9" t="s">
        <v>644</v>
      </c>
    </row>
    <row r="164" spans="4:8">
      <c r="D164" s="16" t="str">
        <f t="shared" si="5"/>
        <v>1º GRUPO G</v>
      </c>
      <c r="E164" s="16" t="s">
        <v>478</v>
      </c>
      <c r="G164" s="16" t="s">
        <v>645</v>
      </c>
      <c r="H164" s="9" t="s">
        <v>646</v>
      </c>
    </row>
    <row r="165" spans="4:8">
      <c r="D165" s="16" t="str">
        <f t="shared" si="5"/>
        <v>2º GRUPO G</v>
      </c>
      <c r="E165" s="16" t="s">
        <v>478</v>
      </c>
      <c r="G165" s="16" t="s">
        <v>647</v>
      </c>
      <c r="H165" s="9" t="s">
        <v>648</v>
      </c>
    </row>
    <row r="166" spans="4:8">
      <c r="D166" s="16" t="str">
        <f t="shared" ref="D166:D193" si="6">IF($B$2,G166,H166)</f>
        <v>3º GRUPO G</v>
      </c>
      <c r="E166" s="16" t="s">
        <v>478</v>
      </c>
      <c r="G166" s="16" t="s">
        <v>649</v>
      </c>
      <c r="H166" s="9" t="s">
        <v>650</v>
      </c>
    </row>
    <row r="167" spans="4:8">
      <c r="D167" s="16" t="str">
        <f t="shared" si="6"/>
        <v>4º GRUPO G</v>
      </c>
      <c r="E167" s="16" t="s">
        <v>478</v>
      </c>
      <c r="G167" s="16" t="s">
        <v>651</v>
      </c>
      <c r="H167" s="9" t="s">
        <v>652</v>
      </c>
    </row>
    <row r="168" spans="4:8">
      <c r="D168" s="16" t="str">
        <f t="shared" si="6"/>
        <v>1º GRUPO H</v>
      </c>
      <c r="E168" s="16" t="s">
        <v>478</v>
      </c>
      <c r="G168" s="16" t="s">
        <v>653</v>
      </c>
      <c r="H168" s="9" t="s">
        <v>654</v>
      </c>
    </row>
    <row r="169" spans="4:8">
      <c r="D169" s="16" t="str">
        <f t="shared" si="6"/>
        <v>2º GRUPO H</v>
      </c>
      <c r="E169" s="16" t="s">
        <v>478</v>
      </c>
      <c r="G169" s="16" t="s">
        <v>655</v>
      </c>
      <c r="H169" s="9" t="s">
        <v>656</v>
      </c>
    </row>
    <row r="170" spans="4:8">
      <c r="D170" s="16" t="str">
        <f t="shared" si="6"/>
        <v>3º GRUPO H</v>
      </c>
      <c r="E170" s="16" t="s">
        <v>478</v>
      </c>
      <c r="G170" s="16" t="s">
        <v>657</v>
      </c>
      <c r="H170" s="9" t="s">
        <v>658</v>
      </c>
    </row>
    <row r="171" spans="4:8">
      <c r="D171" s="16" t="str">
        <f t="shared" si="6"/>
        <v>4º GRUPO H</v>
      </c>
      <c r="E171" s="16" t="s">
        <v>478</v>
      </c>
      <c r="G171" s="16" t="s">
        <v>659</v>
      </c>
      <c r="H171" s="9" t="s">
        <v>660</v>
      </c>
    </row>
    <row r="172" spans="4:8">
      <c r="D172" s="16" t="str">
        <f t="shared" si="6"/>
        <v>1º GRUPO I</v>
      </c>
      <c r="E172" s="16" t="s">
        <v>478</v>
      </c>
      <c r="G172" s="16" t="s">
        <v>661</v>
      </c>
      <c r="H172" s="9" t="s">
        <v>662</v>
      </c>
    </row>
    <row r="173" spans="4:8">
      <c r="D173" s="16" t="str">
        <f t="shared" si="6"/>
        <v>2º GRUPO I</v>
      </c>
      <c r="E173" s="16" t="s">
        <v>478</v>
      </c>
      <c r="G173" s="16" t="s">
        <v>663</v>
      </c>
      <c r="H173" s="9" t="s">
        <v>664</v>
      </c>
    </row>
    <row r="174" spans="4:8">
      <c r="D174" s="16" t="str">
        <f t="shared" si="6"/>
        <v>3º GRUPO I</v>
      </c>
      <c r="E174" s="16" t="s">
        <v>478</v>
      </c>
      <c r="G174" s="16" t="s">
        <v>665</v>
      </c>
      <c r="H174" s="9" t="s">
        <v>666</v>
      </c>
    </row>
    <row r="175" spans="4:8">
      <c r="D175" s="16" t="str">
        <f t="shared" si="6"/>
        <v>4º GRUPO I</v>
      </c>
      <c r="E175" s="16" t="s">
        <v>478</v>
      </c>
      <c r="G175" s="16" t="s">
        <v>667</v>
      </c>
      <c r="H175" s="9" t="s">
        <v>668</v>
      </c>
    </row>
    <row r="176" spans="4:8">
      <c r="D176" s="16" t="str">
        <f t="shared" si="6"/>
        <v>1º GRUPO J</v>
      </c>
      <c r="E176" s="16" t="s">
        <v>478</v>
      </c>
      <c r="G176" s="16" t="s">
        <v>669</v>
      </c>
      <c r="H176" s="9" t="s">
        <v>670</v>
      </c>
    </row>
    <row r="177" spans="4:8">
      <c r="D177" s="16" t="str">
        <f t="shared" si="6"/>
        <v>2º GRUPO J</v>
      </c>
      <c r="E177" s="16" t="s">
        <v>478</v>
      </c>
      <c r="G177" s="16" t="s">
        <v>671</v>
      </c>
      <c r="H177" s="9" t="s">
        <v>672</v>
      </c>
    </row>
    <row r="178" spans="4:8">
      <c r="D178" s="16" t="str">
        <f t="shared" si="6"/>
        <v>3º GRUPO J</v>
      </c>
      <c r="E178" s="16" t="s">
        <v>478</v>
      </c>
      <c r="G178" s="16" t="s">
        <v>673</v>
      </c>
      <c r="H178" s="9" t="s">
        <v>674</v>
      </c>
    </row>
    <row r="179" spans="4:8">
      <c r="D179" s="16" t="str">
        <f t="shared" si="6"/>
        <v>4º GRUPO J</v>
      </c>
      <c r="E179" s="16" t="s">
        <v>478</v>
      </c>
      <c r="G179" s="16" t="s">
        <v>675</v>
      </c>
      <c r="H179" s="9" t="s">
        <v>676</v>
      </c>
    </row>
    <row r="180" spans="4:8">
      <c r="D180" s="16" t="str">
        <f t="shared" si="6"/>
        <v>1º GRUPO K</v>
      </c>
      <c r="E180" s="16" t="s">
        <v>478</v>
      </c>
      <c r="G180" s="16" t="s">
        <v>677</v>
      </c>
      <c r="H180" s="9" t="s">
        <v>678</v>
      </c>
    </row>
    <row r="181" spans="4:8">
      <c r="D181" s="16" t="str">
        <f t="shared" si="6"/>
        <v>2º GRUPO K</v>
      </c>
      <c r="E181" s="16" t="s">
        <v>478</v>
      </c>
      <c r="G181" s="16" t="s">
        <v>679</v>
      </c>
      <c r="H181" s="9" t="s">
        <v>680</v>
      </c>
    </row>
    <row r="182" spans="4:8">
      <c r="D182" s="16" t="str">
        <f t="shared" si="6"/>
        <v>3º GRUPO K</v>
      </c>
      <c r="E182" s="16" t="s">
        <v>478</v>
      </c>
      <c r="G182" s="16" t="s">
        <v>681</v>
      </c>
      <c r="H182" s="9" t="s">
        <v>682</v>
      </c>
    </row>
    <row r="183" spans="4:8">
      <c r="D183" s="16" t="str">
        <f t="shared" si="6"/>
        <v>4º GRUPO K</v>
      </c>
      <c r="E183" s="16" t="s">
        <v>478</v>
      </c>
      <c r="G183" s="16" t="s">
        <v>683</v>
      </c>
      <c r="H183" s="9" t="s">
        <v>684</v>
      </c>
    </row>
    <row r="184" spans="4:8">
      <c r="D184" s="16" t="str">
        <f t="shared" si="6"/>
        <v>1º GRUPO L</v>
      </c>
      <c r="E184" s="16" t="s">
        <v>478</v>
      </c>
      <c r="G184" s="16" t="s">
        <v>685</v>
      </c>
      <c r="H184" s="9" t="s">
        <v>686</v>
      </c>
    </row>
    <row r="185" spans="4:8">
      <c r="D185" s="16" t="str">
        <f t="shared" si="6"/>
        <v>2º GRUPO L</v>
      </c>
      <c r="E185" s="16" t="s">
        <v>478</v>
      </c>
      <c r="G185" s="16" t="s">
        <v>687</v>
      </c>
      <c r="H185" s="9" t="s">
        <v>688</v>
      </c>
    </row>
    <row r="186" spans="4:8">
      <c r="D186" s="16" t="str">
        <f t="shared" si="6"/>
        <v>3º GRUPO L</v>
      </c>
      <c r="E186" s="16" t="s">
        <v>478</v>
      </c>
      <c r="G186" s="16" t="s">
        <v>689</v>
      </c>
      <c r="H186" s="9" t="s">
        <v>690</v>
      </c>
    </row>
    <row r="187" spans="4:8">
      <c r="D187" s="16" t="str">
        <f t="shared" si="6"/>
        <v>4º GRUPO L</v>
      </c>
      <c r="E187" s="16" t="s">
        <v>478</v>
      </c>
      <c r="G187" s="16" t="s">
        <v>691</v>
      </c>
      <c r="H187" s="9" t="s">
        <v>692</v>
      </c>
    </row>
    <row r="188" spans="4:8">
      <c r="D188" s="16" t="str">
        <f t="shared" si="6"/>
        <v>Dieciseisavofinalista</v>
      </c>
      <c r="E188" s="16" t="s">
        <v>478</v>
      </c>
      <c r="F188" s="16" t="s">
        <v>693</v>
      </c>
      <c r="G188" s="16" t="s">
        <v>694</v>
      </c>
      <c r="H188" s="9" t="s">
        <v>695</v>
      </c>
    </row>
    <row r="189" spans="4:8">
      <c r="D189" s="16" t="str">
        <f t="shared" si="6"/>
        <v>Octavofinalista</v>
      </c>
      <c r="E189" s="16" t="s">
        <v>478</v>
      </c>
      <c r="G189" s="16" t="s">
        <v>696</v>
      </c>
      <c r="H189" s="9" t="s">
        <v>697</v>
      </c>
    </row>
    <row r="190" spans="4:8">
      <c r="D190" s="16" t="str">
        <f t="shared" si="6"/>
        <v>Cuartofinalista</v>
      </c>
      <c r="E190" s="16" t="s">
        <v>478</v>
      </c>
      <c r="F190" s="16" t="s">
        <v>698</v>
      </c>
      <c r="G190" s="16" t="s">
        <v>699</v>
      </c>
      <c r="H190" s="9" t="s">
        <v>700</v>
      </c>
    </row>
    <row r="191" spans="4:8">
      <c r="D191" s="16" t="str">
        <f t="shared" si="6"/>
        <v>Semifinalista</v>
      </c>
      <c r="E191" s="16" t="s">
        <v>478</v>
      </c>
      <c r="F191" s="16" t="s">
        <v>701</v>
      </c>
      <c r="G191" s="16" t="s">
        <v>702</v>
      </c>
      <c r="H191" s="9" t="s">
        <v>703</v>
      </c>
    </row>
    <row r="192" spans="4:8">
      <c r="D192" s="16" t="str">
        <f t="shared" si="6"/>
        <v>3º y 4º puesto</v>
      </c>
      <c r="E192" s="16" t="s">
        <v>478</v>
      </c>
      <c r="G192" s="16" t="s">
        <v>348</v>
      </c>
      <c r="H192" s="9" t="s">
        <v>349</v>
      </c>
    </row>
    <row r="193" spans="2:11">
      <c r="D193" s="16" t="str">
        <f t="shared" si="6"/>
        <v>Finalista</v>
      </c>
      <c r="E193" s="16" t="s">
        <v>478</v>
      </c>
      <c r="F193" s="16" t="s">
        <v>704</v>
      </c>
      <c r="G193" s="16" t="s">
        <v>705</v>
      </c>
      <c r="H193" s="9" t="s">
        <v>706</v>
      </c>
    </row>
    <row r="197" spans="2:11">
      <c r="J197" s="593"/>
      <c r="K197" s="581"/>
    </row>
    <row r="199" spans="2:11">
      <c r="J199" s="593"/>
    </row>
    <row r="201" spans="2:11">
      <c r="C201" s="16" t="s">
        <v>707</v>
      </c>
    </row>
    <row r="202" spans="2:11">
      <c r="B202" s="16">
        <v>1</v>
      </c>
      <c r="C202" s="16">
        <v>17</v>
      </c>
      <c r="D202" s="16" t="str">
        <f t="shared" ref="D202:D249" ca="1" si="7">IF($B$2,G202,H202)</f>
        <v>Alemania</v>
      </c>
      <c r="E202" s="16" t="s">
        <v>708</v>
      </c>
      <c r="F202" s="16" t="s">
        <v>259</v>
      </c>
      <c r="G202" s="16" t="str">
        <f ca="1">Credits!EU6119</f>
        <v>Alemania</v>
      </c>
      <c r="H202" s="16" t="str">
        <f ca="1">Credits!EV6119</f>
        <v>Germany</v>
      </c>
    </row>
    <row r="203" spans="2:11">
      <c r="B203" s="16">
        <v>2</v>
      </c>
      <c r="C203" s="16">
        <v>31</v>
      </c>
      <c r="D203" s="16" t="str">
        <f t="shared" ca="1" si="7"/>
        <v>Arabia Saudita</v>
      </c>
      <c r="E203" s="16" t="s">
        <v>708</v>
      </c>
      <c r="F203" s="16" t="s">
        <v>271</v>
      </c>
      <c r="G203" s="16" t="str">
        <f ca="1">Credits!EU6120</f>
        <v>Arabia Saudita</v>
      </c>
      <c r="H203" s="16" t="str">
        <f ca="1">Credits!EV6120</f>
        <v>Saudi Arabia</v>
      </c>
    </row>
    <row r="204" spans="2:11">
      <c r="B204" s="16">
        <v>3</v>
      </c>
      <c r="C204" s="16">
        <v>38</v>
      </c>
      <c r="D204" s="16" t="str">
        <f t="shared" ca="1" si="7"/>
        <v>Argelia</v>
      </c>
      <c r="E204" s="16" t="s">
        <v>708</v>
      </c>
      <c r="F204" s="16" t="s">
        <v>709</v>
      </c>
      <c r="G204" s="16" t="str">
        <f ca="1">Credits!EU6121</f>
        <v>Argelia</v>
      </c>
      <c r="H204" s="16" t="str">
        <f ca="1">Credits!EV6121</f>
        <v>Algeria</v>
      </c>
    </row>
    <row r="205" spans="2:11">
      <c r="B205" s="16">
        <v>4</v>
      </c>
      <c r="C205" s="16">
        <v>37</v>
      </c>
      <c r="D205" s="16" t="str">
        <f t="shared" ca="1" si="7"/>
        <v>Argentina</v>
      </c>
      <c r="E205" s="16" t="s">
        <v>708</v>
      </c>
      <c r="F205" s="16" t="s">
        <v>710</v>
      </c>
      <c r="G205" s="16" t="str">
        <f ca="1">Credits!EU6122</f>
        <v>Argentina</v>
      </c>
      <c r="H205" s="16" t="str">
        <f ca="1">Credits!EV6122</f>
        <v>Argentina</v>
      </c>
    </row>
    <row r="206" spans="2:11">
      <c r="B206" s="16">
        <v>5</v>
      </c>
      <c r="C206" s="16">
        <v>15</v>
      </c>
      <c r="D206" s="16" t="str">
        <f t="shared" ca="1" si="7"/>
        <v>Australia</v>
      </c>
      <c r="E206" s="16" t="s">
        <v>708</v>
      </c>
      <c r="F206" s="16" t="s">
        <v>711</v>
      </c>
      <c r="G206" s="16" t="str">
        <f ca="1">Credits!EU6123</f>
        <v>Australia</v>
      </c>
      <c r="H206" s="16" t="str">
        <f ca="1">Credits!EV6123</f>
        <v>Australia</v>
      </c>
    </row>
    <row r="207" spans="2:11">
      <c r="B207" s="16">
        <v>6</v>
      </c>
      <c r="C207" s="16">
        <v>39</v>
      </c>
      <c r="D207" s="16" t="str">
        <f t="shared" ca="1" si="7"/>
        <v>Austria</v>
      </c>
      <c r="E207" s="16" t="s">
        <v>708</v>
      </c>
      <c r="F207" s="16" t="s">
        <v>712</v>
      </c>
      <c r="G207" s="16" t="str">
        <f ca="1">Credits!EU6124</f>
        <v>Austria</v>
      </c>
      <c r="H207" s="16" t="str">
        <f ca="1">Credits!EV6124</f>
        <v>Austria</v>
      </c>
    </row>
    <row r="208" spans="2:11">
      <c r="B208" s="16">
        <v>7</v>
      </c>
      <c r="C208" s="16">
        <v>25</v>
      </c>
      <c r="D208" s="16" t="str">
        <f t="shared" ca="1" si="7"/>
        <v>Bélgica</v>
      </c>
      <c r="E208" s="16" t="s">
        <v>708</v>
      </c>
      <c r="F208" s="16" t="s">
        <v>713</v>
      </c>
      <c r="G208" s="16" t="str">
        <f ca="1">Credits!EU6125</f>
        <v>Bélgica</v>
      </c>
      <c r="H208" s="16" t="str">
        <f ca="1">Credits!EV6125</f>
        <v>Belgium</v>
      </c>
    </row>
    <row r="209" spans="2:8">
      <c r="B209" s="16">
        <v>8</v>
      </c>
      <c r="C209" s="16">
        <v>9</v>
      </c>
      <c r="D209" s="16" t="str">
        <f t="shared" ca="1" si="7"/>
        <v>Brasil</v>
      </c>
      <c r="E209" s="16" t="s">
        <v>708</v>
      </c>
      <c r="F209" s="16" t="s">
        <v>714</v>
      </c>
      <c r="G209" s="16" t="str">
        <f ca="1">Credits!EU6126</f>
        <v>Brasil</v>
      </c>
      <c r="H209" s="16" t="str">
        <f ca="1">Credits!EV6126</f>
        <v>Brazil</v>
      </c>
    </row>
    <row r="210" spans="2:8">
      <c r="B210" s="16">
        <v>9</v>
      </c>
      <c r="C210" s="16">
        <v>30</v>
      </c>
      <c r="D210" s="16" t="str">
        <f t="shared" ca="1" si="7"/>
        <v>Cabo Verde</v>
      </c>
      <c r="E210" s="16" t="s">
        <v>708</v>
      </c>
      <c r="F210" s="16" t="s">
        <v>715</v>
      </c>
      <c r="G210" s="16" t="str">
        <f ca="1">Credits!EU6127</f>
        <v>Cabo Verde</v>
      </c>
      <c r="H210" s="16" t="str">
        <f ca="1">Credits!EV6127</f>
        <v>Cape Verde</v>
      </c>
    </row>
    <row r="211" spans="2:8">
      <c r="B211" s="16">
        <v>10</v>
      </c>
      <c r="C211" s="16">
        <v>5</v>
      </c>
      <c r="D211" s="16" t="str">
        <f t="shared" ca="1" si="7"/>
        <v>Canadá</v>
      </c>
      <c r="E211" s="16" t="s">
        <v>708</v>
      </c>
      <c r="F211" s="16" t="s">
        <v>716</v>
      </c>
      <c r="G211" s="16" t="str">
        <f ca="1">Credits!EU6128</f>
        <v>Canadá</v>
      </c>
      <c r="H211" s="16" t="str">
        <f ca="1">Credits!EV6128</f>
        <v>Canada</v>
      </c>
    </row>
    <row r="212" spans="2:8">
      <c r="B212" s="16">
        <v>11</v>
      </c>
      <c r="C212" s="16">
        <v>7</v>
      </c>
      <c r="D212" s="16" t="str">
        <f t="shared" ca="1" si="7"/>
        <v>Catar</v>
      </c>
      <c r="E212" s="16" t="s">
        <v>708</v>
      </c>
      <c r="F212" s="16" t="s">
        <v>717</v>
      </c>
      <c r="G212" s="16" t="str">
        <f ca="1">Credits!EU6129</f>
        <v>Catar</v>
      </c>
      <c r="H212" s="16" t="str">
        <f ca="1">Credits!EV6129</f>
        <v>Qatar</v>
      </c>
    </row>
    <row r="213" spans="2:8">
      <c r="B213" s="16">
        <v>12</v>
      </c>
      <c r="C213" s="16">
        <v>44</v>
      </c>
      <c r="D213" s="16" t="str">
        <f t="shared" ca="1" si="7"/>
        <v>Colombia</v>
      </c>
      <c r="E213" s="16" t="s">
        <v>708</v>
      </c>
      <c r="F213" s="16" t="s">
        <v>718</v>
      </c>
      <c r="G213" s="16" t="str">
        <f ca="1">Credits!EU6130</f>
        <v>Colombia</v>
      </c>
      <c r="H213" s="16" t="str">
        <f ca="1">Credits!EV6130</f>
        <v>Colombia</v>
      </c>
    </row>
    <row r="214" spans="2:8">
      <c r="B214" s="16">
        <v>13</v>
      </c>
      <c r="C214" s="16">
        <v>3</v>
      </c>
      <c r="D214" s="16" t="str">
        <f t="shared" ca="1" si="7"/>
        <v>Corea del Sur</v>
      </c>
      <c r="E214" s="16" t="s">
        <v>708</v>
      </c>
      <c r="F214" s="16" t="s">
        <v>719</v>
      </c>
      <c r="G214" s="16" t="str">
        <f ca="1">Credits!EU6131</f>
        <v>Corea del Sur</v>
      </c>
      <c r="H214" s="16" t="str">
        <f ca="1">Credits!EV6131</f>
        <v>South Korea</v>
      </c>
    </row>
    <row r="215" spans="2:8">
      <c r="B215" s="16">
        <v>14</v>
      </c>
      <c r="C215" s="16">
        <v>19</v>
      </c>
      <c r="D215" s="16" t="str">
        <f t="shared" ca="1" si="7"/>
        <v>Costa de Marfil</v>
      </c>
      <c r="E215" s="16" t="s">
        <v>708</v>
      </c>
      <c r="F215" s="16" t="s">
        <v>720</v>
      </c>
      <c r="G215" s="16" t="str">
        <f ca="1">Credits!EU6132</f>
        <v>Costa de Marfil</v>
      </c>
      <c r="H215" s="16" t="str">
        <f ca="1">Credits!EV6132</f>
        <v>Ivory Coast</v>
      </c>
    </row>
    <row r="216" spans="2:8">
      <c r="B216" s="16">
        <v>15</v>
      </c>
      <c r="C216" s="16">
        <v>46</v>
      </c>
      <c r="D216" s="16" t="str">
        <f t="shared" ca="1" si="7"/>
        <v>Croacia</v>
      </c>
      <c r="E216" s="16" t="s">
        <v>708</v>
      </c>
      <c r="F216" s="16" t="s">
        <v>721</v>
      </c>
      <c r="G216" s="16" t="str">
        <f ca="1">Credits!EU6133</f>
        <v>Croacia</v>
      </c>
      <c r="H216" s="16" t="str">
        <f ca="1">Credits!EV6133</f>
        <v>Croatia</v>
      </c>
    </row>
    <row r="217" spans="2:8">
      <c r="B217" s="16">
        <v>16</v>
      </c>
      <c r="C217" s="16">
        <v>18</v>
      </c>
      <c r="D217" s="16" t="str">
        <f t="shared" ca="1" si="7"/>
        <v>Curazao</v>
      </c>
      <c r="E217" s="16" t="s">
        <v>708</v>
      </c>
      <c r="F217" s="16" t="s">
        <v>722</v>
      </c>
      <c r="G217" s="16" t="str">
        <f ca="1">Credits!EU6134</f>
        <v>Curazao</v>
      </c>
      <c r="H217" s="16" t="str">
        <f ca="1">Credits!EV6134</f>
        <v>Curaçao</v>
      </c>
    </row>
    <row r="218" spans="2:8">
      <c r="B218" s="16">
        <v>17</v>
      </c>
      <c r="C218" s="16">
        <v>20</v>
      </c>
      <c r="D218" s="16" t="str">
        <f t="shared" ca="1" si="7"/>
        <v>Ecuador</v>
      </c>
      <c r="E218" s="16" t="s">
        <v>708</v>
      </c>
      <c r="F218" s="16" t="s">
        <v>723</v>
      </c>
      <c r="G218" s="16" t="str">
        <f ca="1">Credits!EU6135</f>
        <v>Ecuador</v>
      </c>
      <c r="H218" s="16" t="str">
        <f ca="1">Credits!EV6135</f>
        <v>Ecuador</v>
      </c>
    </row>
    <row r="219" spans="2:8">
      <c r="B219" s="16">
        <v>18</v>
      </c>
      <c r="C219" s="16">
        <v>26</v>
      </c>
      <c r="D219" s="16" t="str">
        <f t="shared" ca="1" si="7"/>
        <v>Egipto</v>
      </c>
      <c r="E219" s="16" t="s">
        <v>708</v>
      </c>
      <c r="F219" s="16" t="s">
        <v>724</v>
      </c>
      <c r="G219" s="16" t="str">
        <f ca="1">Credits!EU6136</f>
        <v>Egipto</v>
      </c>
      <c r="H219" s="16" t="str">
        <f ca="1">Credits!EV6136</f>
        <v>Egypt</v>
      </c>
    </row>
    <row r="220" spans="2:8">
      <c r="B220" s="16">
        <v>19</v>
      </c>
      <c r="C220" s="16">
        <v>12</v>
      </c>
      <c r="D220" s="16" t="str">
        <f t="shared" ca="1" si="7"/>
        <v>Escocia</v>
      </c>
      <c r="E220" s="16" t="s">
        <v>708</v>
      </c>
      <c r="F220" s="16" t="s">
        <v>725</v>
      </c>
      <c r="G220" s="16" t="str">
        <f ca="1">Credits!EU6137</f>
        <v>Escocia</v>
      </c>
      <c r="H220" s="16" t="str">
        <f ca="1">Credits!EV6137</f>
        <v>Scotland</v>
      </c>
    </row>
    <row r="221" spans="2:8">
      <c r="B221" s="16">
        <v>20</v>
      </c>
      <c r="C221" s="16">
        <v>29</v>
      </c>
      <c r="D221" s="16" t="str">
        <f t="shared" ca="1" si="7"/>
        <v>España</v>
      </c>
      <c r="E221" s="16" t="s">
        <v>708</v>
      </c>
      <c r="F221" s="16" t="s">
        <v>726</v>
      </c>
      <c r="G221" s="16" t="str">
        <f ca="1">Credits!EU6138</f>
        <v>España</v>
      </c>
      <c r="H221" s="16" t="str">
        <f ca="1">Credits!EV6138</f>
        <v>Spain</v>
      </c>
    </row>
    <row r="222" spans="2:8">
      <c r="B222" s="16">
        <v>21</v>
      </c>
      <c r="C222" s="16">
        <v>13</v>
      </c>
      <c r="D222" s="16" t="str">
        <f t="shared" ca="1" si="7"/>
        <v>Estados Unidos</v>
      </c>
      <c r="E222" s="16" t="s">
        <v>708</v>
      </c>
      <c r="F222" s="16" t="s">
        <v>727</v>
      </c>
      <c r="G222" s="16" t="str">
        <f ca="1">Credits!EU6139</f>
        <v>Estados Unidos</v>
      </c>
      <c r="H222" s="16" t="str">
        <f ca="1">Credits!EV6139</f>
        <v>United States</v>
      </c>
    </row>
    <row r="223" spans="2:8">
      <c r="B223" s="16">
        <v>22</v>
      </c>
      <c r="C223" s="16">
        <v>33</v>
      </c>
      <c r="D223" s="16" t="str">
        <f t="shared" ca="1" si="7"/>
        <v>Francia</v>
      </c>
      <c r="E223" s="16" t="s">
        <v>708</v>
      </c>
      <c r="F223" s="16" t="s">
        <v>728</v>
      </c>
      <c r="G223" s="16" t="str">
        <f ca="1">Credits!EU6140</f>
        <v>Francia</v>
      </c>
      <c r="H223" s="16" t="str">
        <f ca="1">Credits!EV6140</f>
        <v>France</v>
      </c>
    </row>
    <row r="224" spans="2:8">
      <c r="B224" s="16">
        <v>23</v>
      </c>
      <c r="C224" s="16">
        <v>47</v>
      </c>
      <c r="D224" s="16" t="str">
        <f t="shared" ca="1" si="7"/>
        <v>Ghana</v>
      </c>
      <c r="E224" s="16" t="s">
        <v>708</v>
      </c>
      <c r="F224" s="16" t="s">
        <v>729</v>
      </c>
      <c r="G224" s="16" t="str">
        <f ca="1">Credits!EU6141</f>
        <v>Ghana</v>
      </c>
      <c r="H224" s="16" t="str">
        <f ca="1">Credits!EV6141</f>
        <v>Ghana</v>
      </c>
    </row>
    <row r="225" spans="2:8">
      <c r="B225" s="16">
        <v>24</v>
      </c>
      <c r="C225" s="16">
        <v>11</v>
      </c>
      <c r="D225" s="16" t="str">
        <f t="shared" ca="1" si="7"/>
        <v>Haití</v>
      </c>
      <c r="E225" s="16" t="s">
        <v>708</v>
      </c>
      <c r="F225" s="16" t="s">
        <v>730</v>
      </c>
      <c r="G225" s="16" t="str">
        <f ca="1">Credits!EU6142</f>
        <v>Haití</v>
      </c>
      <c r="H225" s="16" t="str">
        <f ca="1">Credits!EV6142</f>
        <v>Haiti</v>
      </c>
    </row>
    <row r="226" spans="2:8">
      <c r="B226" s="16">
        <v>25</v>
      </c>
      <c r="C226" s="16">
        <v>45</v>
      </c>
      <c r="D226" s="16" t="str">
        <f t="shared" ca="1" si="7"/>
        <v>Inglaterra</v>
      </c>
      <c r="E226" s="16" t="s">
        <v>708</v>
      </c>
      <c r="F226" s="16" t="s">
        <v>731</v>
      </c>
      <c r="G226" s="16" t="str">
        <f ca="1">Credits!EU6143</f>
        <v>Inglaterra</v>
      </c>
      <c r="H226" s="16" t="str">
        <f ca="1">Credits!EV6143</f>
        <v>England</v>
      </c>
    </row>
    <row r="227" spans="2:8">
      <c r="B227" s="16">
        <v>26</v>
      </c>
      <c r="C227" s="16">
        <v>27</v>
      </c>
      <c r="D227" s="16" t="str">
        <f t="shared" ca="1" si="7"/>
        <v>Irán</v>
      </c>
      <c r="E227" s="16" t="s">
        <v>708</v>
      </c>
      <c r="F227" s="16" t="s">
        <v>732</v>
      </c>
      <c r="G227" s="16" t="str">
        <f ca="1">Credits!EU6144</f>
        <v>Irán</v>
      </c>
      <c r="H227" s="16" t="str">
        <f ca="1">Credits!EV6144</f>
        <v>Iran</v>
      </c>
    </row>
    <row r="228" spans="2:8">
      <c r="B228" s="16">
        <v>27</v>
      </c>
      <c r="C228" s="16">
        <v>22</v>
      </c>
      <c r="D228" s="16" t="str">
        <f t="shared" ca="1" si="7"/>
        <v>Japón</v>
      </c>
      <c r="E228" s="16" t="s">
        <v>708</v>
      </c>
      <c r="F228" s="16" t="s">
        <v>733</v>
      </c>
      <c r="G228" s="16" t="str">
        <f ca="1">Credits!EU6145</f>
        <v>Japón</v>
      </c>
      <c r="H228" s="16" t="str">
        <f ca="1">Credits!EV6145</f>
        <v>Japan</v>
      </c>
    </row>
    <row r="229" spans="2:8">
      <c r="B229" s="16">
        <v>28</v>
      </c>
      <c r="C229" s="16">
        <v>40</v>
      </c>
      <c r="D229" s="16" t="str">
        <f t="shared" ca="1" si="7"/>
        <v>Jordania</v>
      </c>
      <c r="E229" s="16" t="s">
        <v>708</v>
      </c>
      <c r="F229" s="16" t="s">
        <v>734</v>
      </c>
      <c r="G229" s="16" t="str">
        <f ca="1">Credits!EU6146</f>
        <v>Jordania</v>
      </c>
      <c r="H229" s="16" t="str">
        <f ca="1">Credits!EV6146</f>
        <v>Jordan</v>
      </c>
    </row>
    <row r="230" spans="2:8">
      <c r="B230" s="16">
        <v>29</v>
      </c>
      <c r="C230" s="16">
        <v>10</v>
      </c>
      <c r="D230" s="16" t="str">
        <f t="shared" ca="1" si="7"/>
        <v>Marruecos</v>
      </c>
      <c r="E230" s="16" t="s">
        <v>708</v>
      </c>
      <c r="F230" s="16" t="s">
        <v>735</v>
      </c>
      <c r="G230" s="16" t="str">
        <f ca="1">Credits!EU6147</f>
        <v>Marruecos</v>
      </c>
      <c r="H230" s="16" t="str">
        <f ca="1">Credits!EV6147</f>
        <v>Morocco</v>
      </c>
    </row>
    <row r="231" spans="2:8">
      <c r="B231" s="16">
        <v>30</v>
      </c>
      <c r="C231" s="16">
        <v>1</v>
      </c>
      <c r="D231" s="16" t="str">
        <f t="shared" ca="1" si="7"/>
        <v>México</v>
      </c>
      <c r="E231" s="16" t="s">
        <v>708</v>
      </c>
      <c r="F231" s="16" t="s">
        <v>736</v>
      </c>
      <c r="G231" s="16" t="str">
        <f ca="1">Credits!EU6148</f>
        <v>México</v>
      </c>
      <c r="H231" s="16" t="str">
        <f ca="1">Credits!EV6148</f>
        <v>Mexico</v>
      </c>
    </row>
    <row r="232" spans="2:8">
      <c r="B232" s="16">
        <v>31</v>
      </c>
      <c r="C232" s="16">
        <v>36</v>
      </c>
      <c r="D232" s="16" t="str">
        <f t="shared" ca="1" si="7"/>
        <v>Noruega</v>
      </c>
      <c r="E232" s="16" t="s">
        <v>708</v>
      </c>
      <c r="F232" s="16" t="s">
        <v>737</v>
      </c>
      <c r="G232" s="16" t="str">
        <f ca="1">Credits!EU6149</f>
        <v>Noruega</v>
      </c>
      <c r="H232" s="16" t="str">
        <f ca="1">Credits!EV6149</f>
        <v>Norway</v>
      </c>
    </row>
    <row r="233" spans="2:8">
      <c r="B233" s="16">
        <v>32</v>
      </c>
      <c r="C233" s="16">
        <v>28</v>
      </c>
      <c r="D233" s="16" t="str">
        <f t="shared" ca="1" si="7"/>
        <v>Nueva Zelanda</v>
      </c>
      <c r="E233" s="16" t="s">
        <v>708</v>
      </c>
      <c r="F233" s="16" t="s">
        <v>738</v>
      </c>
      <c r="G233" s="16" t="str">
        <f ca="1">Credits!EU6150</f>
        <v>Nueva Zelanda</v>
      </c>
      <c r="H233" s="16" t="str">
        <f ca="1">Credits!EV6150</f>
        <v>New Zealand</v>
      </c>
    </row>
    <row r="234" spans="2:8">
      <c r="B234" s="16">
        <v>33</v>
      </c>
      <c r="C234" s="16">
        <v>21</v>
      </c>
      <c r="D234" s="16" t="str">
        <f t="shared" ca="1" si="7"/>
        <v>Países Bajos</v>
      </c>
      <c r="E234" s="16" t="s">
        <v>708</v>
      </c>
      <c r="F234" s="16" t="s">
        <v>739</v>
      </c>
      <c r="G234" s="16" t="str">
        <f ca="1">Credits!EU6151</f>
        <v>Países Bajos</v>
      </c>
      <c r="H234" s="16" t="str">
        <f ca="1">Credits!EV6151</f>
        <v>Netherlands</v>
      </c>
    </row>
    <row r="235" spans="2:8">
      <c r="B235" s="16">
        <v>34</v>
      </c>
      <c r="C235" s="16">
        <v>48</v>
      </c>
      <c r="D235" s="16" t="str">
        <f t="shared" ca="1" si="7"/>
        <v>Panamá</v>
      </c>
      <c r="E235" s="16" t="s">
        <v>708</v>
      </c>
      <c r="F235" s="16" t="s">
        <v>740</v>
      </c>
      <c r="G235" s="16" t="str">
        <f ca="1">Credits!EU6152</f>
        <v>Panamá</v>
      </c>
      <c r="H235" s="16" t="str">
        <f ca="1">Credits!EV6152</f>
        <v>Panama</v>
      </c>
    </row>
    <row r="236" spans="2:8">
      <c r="B236" s="16">
        <v>35</v>
      </c>
      <c r="C236" s="16">
        <v>14</v>
      </c>
      <c r="D236" s="16" t="str">
        <f t="shared" ca="1" si="7"/>
        <v>Paraguay</v>
      </c>
      <c r="E236" s="16" t="s">
        <v>708</v>
      </c>
      <c r="F236" s="16" t="s">
        <v>741</v>
      </c>
      <c r="G236" s="16" t="str">
        <f ca="1">Credits!EU6153</f>
        <v>Paraguay</v>
      </c>
      <c r="H236" s="16" t="str">
        <f ca="1">Credits!EV6153</f>
        <v>Paraguay</v>
      </c>
    </row>
    <row r="237" spans="2:8">
      <c r="B237" s="16">
        <v>36</v>
      </c>
      <c r="C237" s="16">
        <v>41</v>
      </c>
      <c r="D237" s="16" t="str">
        <f t="shared" ca="1" si="7"/>
        <v>Portugal</v>
      </c>
      <c r="E237" s="16" t="s">
        <v>708</v>
      </c>
      <c r="F237" s="16" t="s">
        <v>742</v>
      </c>
      <c r="G237" s="16" t="str">
        <f ca="1">Credits!EU6154</f>
        <v>Portugal</v>
      </c>
      <c r="H237" s="16" t="str">
        <f ca="1">Credits!EV6154</f>
        <v>Portugal</v>
      </c>
    </row>
    <row r="238" spans="2:8">
      <c r="B238" s="16">
        <v>37</v>
      </c>
      <c r="C238" s="16">
        <v>34</v>
      </c>
      <c r="D238" s="16" t="str">
        <f t="shared" ca="1" si="7"/>
        <v>Senegal</v>
      </c>
      <c r="E238" s="16" t="s">
        <v>708</v>
      </c>
      <c r="F238" s="16" t="s">
        <v>743</v>
      </c>
      <c r="G238" s="16" t="str">
        <f ca="1">Credits!EU6155</f>
        <v>Senegal</v>
      </c>
      <c r="H238" s="16" t="str">
        <f ca="1">Credits!EV6155</f>
        <v>Senegal</v>
      </c>
    </row>
    <row r="239" spans="2:8">
      <c r="B239" s="16">
        <v>38</v>
      </c>
      <c r="C239" s="16">
        <v>2</v>
      </c>
      <c r="D239" s="16" t="str">
        <f t="shared" ca="1" si="7"/>
        <v>Sudáfrica</v>
      </c>
      <c r="E239" s="16" t="s">
        <v>708</v>
      </c>
      <c r="F239" s="16" t="s">
        <v>744</v>
      </c>
      <c r="G239" s="16" t="str">
        <f ca="1">Credits!EU6156</f>
        <v>Sudáfrica</v>
      </c>
      <c r="H239" s="16" t="str">
        <f ca="1">Credits!EV6156</f>
        <v>South Africa</v>
      </c>
    </row>
    <row r="240" spans="2:8">
      <c r="B240" s="16">
        <v>39</v>
      </c>
      <c r="C240" s="16">
        <v>8</v>
      </c>
      <c r="D240" s="16" t="str">
        <f t="shared" ca="1" si="7"/>
        <v>Suiza</v>
      </c>
      <c r="E240" s="16" t="s">
        <v>708</v>
      </c>
      <c r="F240" s="16" t="s">
        <v>745</v>
      </c>
      <c r="G240" s="16" t="str">
        <f ca="1">Credits!EU6157</f>
        <v>Suiza</v>
      </c>
      <c r="H240" s="16" t="str">
        <f ca="1">Credits!EV6157</f>
        <v>Switzerland</v>
      </c>
    </row>
    <row r="241" spans="2:8">
      <c r="B241" s="16">
        <v>40</v>
      </c>
      <c r="C241" s="16">
        <v>24</v>
      </c>
      <c r="D241" s="16" t="str">
        <f t="shared" ca="1" si="7"/>
        <v>Túnez</v>
      </c>
      <c r="E241" s="16" t="s">
        <v>708</v>
      </c>
      <c r="F241" s="16" t="s">
        <v>746</v>
      </c>
      <c r="G241" s="16" t="str">
        <f ca="1">Credits!EU6158</f>
        <v>Túnez</v>
      </c>
      <c r="H241" s="16" t="str">
        <f ca="1">Credits!EV6158</f>
        <v>Tunisia</v>
      </c>
    </row>
    <row r="242" spans="2:8">
      <c r="B242" s="16">
        <v>41</v>
      </c>
      <c r="C242" s="16">
        <v>32</v>
      </c>
      <c r="D242" s="16" t="str">
        <f t="shared" ca="1" si="7"/>
        <v>Uruguay</v>
      </c>
      <c r="E242" s="16" t="s">
        <v>708</v>
      </c>
      <c r="F242" s="16" t="s">
        <v>747</v>
      </c>
      <c r="G242" s="16" t="str">
        <f ca="1">Credits!EU6159</f>
        <v>Uruguay</v>
      </c>
      <c r="H242" s="16" t="str">
        <f ca="1">Credits!EV6159</f>
        <v>Uruguay</v>
      </c>
    </row>
    <row r="243" spans="2:8">
      <c r="B243" s="16">
        <v>42</v>
      </c>
      <c r="C243" s="16">
        <v>43</v>
      </c>
      <c r="D243" s="16" t="str">
        <f t="shared" ca="1" si="7"/>
        <v>Uzbekistán</v>
      </c>
      <c r="E243" s="16" t="s">
        <v>708</v>
      </c>
      <c r="F243" s="16" t="s">
        <v>748</v>
      </c>
      <c r="G243" s="16" t="str">
        <f ca="1">Credits!EU6160</f>
        <v>Uzbekistán</v>
      </c>
      <c r="H243" s="16" t="str">
        <f ca="1">Credits!EV6160</f>
        <v>Uzbekistan</v>
      </c>
    </row>
    <row r="244" spans="2:8">
      <c r="B244" s="16">
        <v>43</v>
      </c>
      <c r="C244" s="16">
        <v>42</v>
      </c>
      <c r="D244" s="16" t="str">
        <f t="shared" ca="1" si="7"/>
        <v>RD Congo</v>
      </c>
      <c r="E244" s="16" t="s">
        <v>708</v>
      </c>
      <c r="F244" s="16" t="s">
        <v>749</v>
      </c>
      <c r="G244" s="16" t="str">
        <f ca="1">Credits!EU6161</f>
        <v>RD Congo</v>
      </c>
      <c r="H244" s="16" t="str">
        <f ca="1">Credits!EV6161</f>
        <v>DR Congo</v>
      </c>
    </row>
    <row r="245" spans="2:8">
      <c r="B245" s="16">
        <v>44</v>
      </c>
      <c r="C245" s="16">
        <v>35</v>
      </c>
      <c r="D245" s="16" t="str">
        <f t="shared" ca="1" si="7"/>
        <v>Irak</v>
      </c>
      <c r="E245" s="16" t="s">
        <v>708</v>
      </c>
      <c r="F245" s="16" t="s">
        <v>750</v>
      </c>
      <c r="G245" s="16" t="str">
        <f ca="1">Credits!EU6162</f>
        <v>Irak</v>
      </c>
      <c r="H245" s="16" t="str">
        <f ca="1">Credits!EV6162</f>
        <v>Iraq</v>
      </c>
    </row>
    <row r="246" spans="2:8">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c r="B247" s="16">
        <v>46</v>
      </c>
      <c r="C247" s="16">
        <v>23</v>
      </c>
      <c r="D247" s="16" t="str">
        <f t="shared" ca="1" si="7"/>
        <v>Suecia</v>
      </c>
      <c r="E247" s="16" t="s">
        <v>708</v>
      </c>
      <c r="F247" s="16" t="s">
        <v>752</v>
      </c>
      <c r="G247" s="16" t="str">
        <f ca="1">Credits!EU6164</f>
        <v>Suecia</v>
      </c>
      <c r="H247" s="16" t="str">
        <f ca="1">Credits!EV6164</f>
        <v>Sweden</v>
      </c>
    </row>
    <row r="248" spans="2:8">
      <c r="B248" s="16">
        <v>47</v>
      </c>
      <c r="C248" s="16">
        <v>16</v>
      </c>
      <c r="D248" s="16" t="str">
        <f t="shared" ca="1" si="7"/>
        <v>Turquía</v>
      </c>
      <c r="E248" s="16" t="s">
        <v>708</v>
      </c>
      <c r="F248" s="16" t="s">
        <v>753</v>
      </c>
      <c r="G248" s="16" t="str">
        <f ca="1">Credits!EU6165</f>
        <v>Turquía</v>
      </c>
      <c r="H248" s="16" t="str">
        <f ca="1">Credits!EV6165</f>
        <v>Turkey</v>
      </c>
    </row>
    <row r="249" spans="2:8">
      <c r="B249" s="16">
        <v>48</v>
      </c>
      <c r="C249" s="16">
        <v>4</v>
      </c>
      <c r="D249" s="16" t="str">
        <f t="shared" ca="1" si="7"/>
        <v>República Checa</v>
      </c>
      <c r="E249" s="16" t="s">
        <v>708</v>
      </c>
      <c r="F249" s="16" t="s">
        <v>754</v>
      </c>
      <c r="G249" s="16" t="str">
        <f ca="1">Credits!EU6166</f>
        <v>República Checa</v>
      </c>
      <c r="H249" s="16" t="str">
        <f ca="1">Credits!EV6166</f>
        <v>Czech Republic</v>
      </c>
    </row>
    <row r="252" spans="2:8">
      <c r="C252" s="16" t="s">
        <v>755</v>
      </c>
      <c r="D252" s="16" t="str">
        <f>IF($B$2,G252,H252)</f>
        <v>Estados Unidos</v>
      </c>
      <c r="E252" s="16" t="s">
        <v>756</v>
      </c>
      <c r="F252" s="16" t="s">
        <v>757</v>
      </c>
      <c r="G252" s="16" t="s">
        <v>758</v>
      </c>
      <c r="H252" s="16" t="s">
        <v>759</v>
      </c>
    </row>
    <row r="255" spans="2:8">
      <c r="D255" s="16" t="str">
        <f t="shared" ref="D255:D271" si="8">IF($B$2,G255,H255)</f>
        <v>Campeón</v>
      </c>
      <c r="E255" s="16" t="s">
        <v>760</v>
      </c>
      <c r="G255" s="16" t="s">
        <v>356</v>
      </c>
      <c r="H255" s="16" t="s">
        <v>357</v>
      </c>
    </row>
    <row r="256" spans="2:8">
      <c r="D256" s="16" t="str">
        <f t="shared" si="8"/>
        <v>Subcampeón</v>
      </c>
      <c r="E256" s="16" t="s">
        <v>760</v>
      </c>
      <c r="G256" s="16" t="s">
        <v>359</v>
      </c>
      <c r="H256" s="16" t="s">
        <v>360</v>
      </c>
    </row>
    <row r="257" spans="4:8">
      <c r="D257" s="16" t="str">
        <f t="shared" si="8"/>
        <v>3º puesto</v>
      </c>
      <c r="E257" s="16" t="s">
        <v>760</v>
      </c>
      <c r="G257" s="16" t="s">
        <v>361</v>
      </c>
      <c r="H257" s="16" t="s">
        <v>362</v>
      </c>
    </row>
    <row r="258" spans="4:8">
      <c r="D258" s="16" t="str">
        <f t="shared" si="8"/>
        <v>Semifinales</v>
      </c>
      <c r="E258" s="16" t="s">
        <v>760</v>
      </c>
      <c r="G258" s="16" t="s">
        <v>346</v>
      </c>
      <c r="H258" s="16" t="s">
        <v>347</v>
      </c>
    </row>
    <row r="259" spans="4:8">
      <c r="D259" s="16" t="str">
        <f t="shared" si="8"/>
        <v>Cuartos de final</v>
      </c>
      <c r="E259" s="16" t="s">
        <v>760</v>
      </c>
      <c r="G259" s="16" t="s">
        <v>343</v>
      </c>
      <c r="H259" s="16" t="s">
        <v>344</v>
      </c>
    </row>
    <row r="260" spans="4:8">
      <c r="D260" s="16" t="str">
        <f t="shared" si="8"/>
        <v>Octavos de final</v>
      </c>
      <c r="E260" s="16" t="s">
        <v>760</v>
      </c>
      <c r="G260" s="16" t="s">
        <v>340</v>
      </c>
      <c r="H260" s="16" t="s">
        <v>341</v>
      </c>
    </row>
    <row r="261" spans="4:8">
      <c r="D261" s="16" t="str">
        <f t="shared" si="8"/>
        <v>Dieciseisavos de final</v>
      </c>
      <c r="E261" s="16" t="s">
        <v>760</v>
      </c>
      <c r="G261" s="16" t="s">
        <v>337</v>
      </c>
      <c r="H261" s="16" t="s">
        <v>338</v>
      </c>
    </row>
    <row r="262" spans="4:8">
      <c r="D262" s="16" t="str">
        <f t="shared" si="8"/>
        <v>Fase de grupos</v>
      </c>
      <c r="E262" s="16" t="s">
        <v>760</v>
      </c>
      <c r="G262" s="16" t="s">
        <v>761</v>
      </c>
      <c r="H262" s="16" t="s">
        <v>762</v>
      </c>
    </row>
    <row r="263" spans="4:8">
      <c r="D263" s="16" t="str">
        <f t="shared" si="8"/>
        <v>Pronóstica la ronda</v>
      </c>
      <c r="E263" s="16" t="s">
        <v>760</v>
      </c>
      <c r="G263" s="16" t="s">
        <v>763</v>
      </c>
      <c r="H263" s="16" t="s">
        <v>764</v>
      </c>
    </row>
    <row r="264" spans="4:8">
      <c r="D264" s="16" t="str">
        <f t="shared" si="8"/>
        <v>Predice la selección</v>
      </c>
      <c r="E264" s="16" t="s">
        <v>760</v>
      </c>
      <c r="G264" s="16" t="s">
        <v>765</v>
      </c>
      <c r="H264" s="16" t="s">
        <v>766</v>
      </c>
    </row>
    <row r="265" spans="4:8">
      <c r="D265" s="16" t="str">
        <f t="shared" si="8"/>
        <v>Ronda</v>
      </c>
      <c r="E265" s="16" t="s">
        <v>760</v>
      </c>
      <c r="G265" s="16" t="s">
        <v>767</v>
      </c>
      <c r="H265" s="16" t="s">
        <v>768</v>
      </c>
    </row>
    <row r="266" spans="4:8">
      <c r="D266" s="16" t="str">
        <f t="shared" si="8"/>
        <v>·Selecciona para cada ronda el la selección o selecciones que crees que van a llegar hasta esa ronda.</v>
      </c>
      <c r="E266" s="16" t="s">
        <v>760</v>
      </c>
      <c r="G266" s="16" t="s">
        <v>769</v>
      </c>
      <c r="H266" s="16" t="s">
        <v>770</v>
      </c>
    </row>
    <row r="267" spans="4:8">
      <c r="D267" s="16" t="str">
        <f t="shared" si="8"/>
        <v>·Una vez elijas una selección, dejará de aparecer en la lista</v>
      </c>
      <c r="E267" s="16" t="s">
        <v>760</v>
      </c>
      <c r="G267" s="16" t="s">
        <v>771</v>
      </c>
      <c r="H267" s="16" t="s">
        <v>772</v>
      </c>
    </row>
    <row r="268" spans="4:8">
      <c r="D268" s="16" t="str">
        <f t="shared" si="8"/>
        <v xml:space="preserve">·Si has rellenado todos y quieres hacer un cambio, </v>
      </c>
      <c r="E268" s="16" t="s">
        <v>760</v>
      </c>
      <c r="G268" s="16" t="s">
        <v>773</v>
      </c>
      <c r="H268" s="16" t="s">
        <v>774</v>
      </c>
    </row>
    <row r="269" spans="4:8">
      <c r="D269" s="16" t="str">
        <f t="shared" si="8"/>
        <v xml:space="preserve"> borra las selecciones que quieras cambiar y podrás volver a elegirlas</v>
      </c>
      <c r="E269" s="16" t="s">
        <v>760</v>
      </c>
      <c r="G269" s="16" t="s">
        <v>775</v>
      </c>
      <c r="H269" s="16" t="s">
        <v>776</v>
      </c>
    </row>
    <row r="270" spans="4:8">
      <c r="D270" s="16" t="str">
        <f t="shared" si="8"/>
        <v>Rellenar antes del comienzo del Mundial</v>
      </c>
      <c r="E270" s="16" t="s">
        <v>760</v>
      </c>
      <c r="G270" s="16" t="s">
        <v>777</v>
      </c>
      <c r="H270" s="16" t="s">
        <v>778</v>
      </c>
    </row>
    <row r="271" spans="4:8">
      <c r="D271" s="16" t="str">
        <f t="shared" si="8"/>
        <v>·Si en tu grupo no vais a usar el predictor, puedes dejarlo sin rellenar</v>
      </c>
      <c r="E271" s="16" t="s">
        <v>760</v>
      </c>
      <c r="G271" s="16" t="s">
        <v>779</v>
      </c>
      <c r="H271" s="16" t="s">
        <v>780</v>
      </c>
    </row>
    <row r="273" spans="4:8">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c r="D922" s="16" t="s">
        <v>236</v>
      </c>
    </row>
    <row r="923" spans="4:4">
      <c r="D923" s="16" t="s">
        <v>783</v>
      </c>
    </row>
  </sheetData>
  <conditionalFormatting sqref="C202:C249">
    <cfRule type="duplicateValues" dxfId="11"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77734375" defaultRowHeight="14.4"/>
  <cols>
    <col min="1" max="1" width="9.44140625" style="16" bestFit="1" customWidth="1"/>
    <col min="2" max="2" width="6" style="16" bestFit="1" customWidth="1"/>
    <col min="3" max="13" width="10.77734375" style="16" customWidth="1"/>
    <col min="14" max="14" width="9.44140625" style="16" bestFit="1" customWidth="1"/>
    <col min="15" max="15" width="6.44140625" style="16" bestFit="1" customWidth="1"/>
    <col min="16" max="18" width="10.77734375" style="16" customWidth="1"/>
    <col min="19" max="16384" width="10.77734375" style="16"/>
  </cols>
  <sheetData>
    <row r="1" spans="1:23">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c r="A2" s="9" t="s">
        <v>787</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c r="A3" s="9" t="s">
        <v>788</v>
      </c>
      <c r="B3" s="9">
        <f ca="1">+IF(A3=WORLDCUP!$BI$112,1,0)</f>
        <v>0</v>
      </c>
      <c r="C3" s="9" t="str">
        <f ca="1">+WORLDCUP!BD65</f>
        <v>España</v>
      </c>
      <c r="D3" s="9" t="str">
        <f ca="1">+WORLDCUP!BD64</f>
        <v>Bélgica</v>
      </c>
      <c r="E3" s="9" t="str">
        <f ca="1">+WORLDCUP!BD66</f>
        <v>Senegal</v>
      </c>
      <c r="F3" s="9" t="str">
        <f ca="1">+WORLDCUP!BD61</f>
        <v>Turquía</v>
      </c>
      <c r="G3" s="9" t="str">
        <f ca="1">+WORLDCUP!BD67</f>
        <v>Jordania</v>
      </c>
      <c r="H3" s="9" t="str">
        <f ca="1">+WORLDCUP!BD63</f>
        <v>Japón</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c r="A4" s="9" t="s">
        <v>789</v>
      </c>
      <c r="B4" s="9">
        <f ca="1">+IF(A4=WORLDCUP!$BI$112,1,0)</f>
        <v>0</v>
      </c>
      <c r="C4" s="9" t="str">
        <f ca="1">+WORLDCUP!BD62</f>
        <v>Ecuador</v>
      </c>
      <c r="D4" s="9" t="str">
        <f ca="1">+WORLDCUP!BD67</f>
        <v>Jordania</v>
      </c>
      <c r="E4" s="9" t="str">
        <f ca="1">+WORLDCUP!BD66</f>
        <v>Senegal</v>
      </c>
      <c r="F4" s="9" t="str">
        <f ca="1">+WORLDCUP!BD61</f>
        <v>Turquía</v>
      </c>
      <c r="G4" s="9" t="str">
        <f ca="1">+WORLDCUP!BD65</f>
        <v>España</v>
      </c>
      <c r="H4" s="9" t="str">
        <f ca="1">+WORLDCUP!BD64</f>
        <v>Bélgica</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c r="A5" s="9" t="s">
        <v>790</v>
      </c>
      <c r="B5" s="9">
        <f ca="1">+IF(A5=WORLDCUP!$BI$112,1,0)</f>
        <v>0</v>
      </c>
      <c r="C5" s="9" t="str">
        <f ca="1">+WORLDCUP!BD62</f>
        <v>Ecuador</v>
      </c>
      <c r="D5" s="9" t="str">
        <f ca="1">+WORLDCUP!BD67</f>
        <v>Jordania</v>
      </c>
      <c r="E5" s="9" t="str">
        <f ca="1">+WORLDCUP!BD66</f>
        <v>Senegal</v>
      </c>
      <c r="F5" s="9" t="str">
        <f ca="1">+WORLDCUP!BD61</f>
        <v>Turquía</v>
      </c>
      <c r="G5" s="9" t="str">
        <f ca="1">+WORLDCUP!BD65</f>
        <v>España</v>
      </c>
      <c r="H5" s="9" t="str">
        <f ca="1">+WORLDCUP!BD63</f>
        <v>Japón</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c r="A6" s="9" t="s">
        <v>791</v>
      </c>
      <c r="B6" s="9">
        <f ca="1">+IF(A6=WORLDCUP!$BI$112,1,0)</f>
        <v>0</v>
      </c>
      <c r="C6" s="9" t="str">
        <f ca="1">+WORLDCUP!BD62</f>
        <v>Ecuador</v>
      </c>
      <c r="D6" s="9" t="str">
        <f ca="1">+WORLDCUP!BD64</f>
        <v>Bélgica</v>
      </c>
      <c r="E6" s="9" t="str">
        <f ca="1">+WORLDCUP!BD66</f>
        <v>Senegal</v>
      </c>
      <c r="F6" s="9" t="str">
        <f ca="1">+WORLDCUP!BD61</f>
        <v>Turquía</v>
      </c>
      <c r="G6" s="9" t="str">
        <f ca="1">+WORLDCUP!BD67</f>
        <v>Jordania</v>
      </c>
      <c r="H6" s="9" t="str">
        <f ca="1">+WORLDCUP!BD63</f>
        <v>Japón</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c r="A7" s="9" t="s">
        <v>792</v>
      </c>
      <c r="B7" s="9">
        <f ca="1">+IF(A7=WORLDCUP!$BI$112,1,0)</f>
        <v>0</v>
      </c>
      <c r="C7" s="9" t="str">
        <f ca="1">+WORLDCUP!BD62</f>
        <v>Ecuador</v>
      </c>
      <c r="D7" s="9" t="str">
        <f ca="1">+WORLDCUP!BD64</f>
        <v>Bélgica</v>
      </c>
      <c r="E7" s="9" t="str">
        <f ca="1">+WORLDCUP!BD67</f>
        <v>Jordania</v>
      </c>
      <c r="F7" s="9" t="str">
        <f ca="1">+WORLDCUP!BD61</f>
        <v>Turquía</v>
      </c>
      <c r="G7" s="9" t="str">
        <f ca="1">+WORLDCUP!BD65</f>
        <v>España</v>
      </c>
      <c r="H7" s="9" t="str">
        <f ca="1">+WORLDCUP!BD63</f>
        <v>Japón</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c r="A8" s="9" t="s">
        <v>793</v>
      </c>
      <c r="B8" s="9">
        <f ca="1">+IF(A8=WORLDCUP!$BI$112,1,0)</f>
        <v>0</v>
      </c>
      <c r="C8" s="9" t="str">
        <f ca="1">+WORLDCUP!BD62</f>
        <v>Ecuador</v>
      </c>
      <c r="D8" s="9" t="str">
        <f ca="1">+WORLDCUP!BD64</f>
        <v>Bélgica</v>
      </c>
      <c r="E8" s="9" t="str">
        <f ca="1">+WORLDCUP!BD66</f>
        <v>Senegal</v>
      </c>
      <c r="F8" s="9" t="str">
        <f ca="1">+WORLDCUP!BD61</f>
        <v>Turquía</v>
      </c>
      <c r="G8" s="9" t="str">
        <f ca="1">+WORLDCUP!BD65</f>
        <v>España</v>
      </c>
      <c r="H8" s="9" t="str">
        <f ca="1">+WORLDCUP!BD63</f>
        <v>Japón</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c r="A9" s="9" t="s">
        <v>794</v>
      </c>
      <c r="B9" s="9">
        <f ca="1">+IF(A9=WORLDCUP!$BI$112,1,0)</f>
        <v>0</v>
      </c>
      <c r="C9" s="9" t="str">
        <f ca="1">+WORLDCUP!BD62</f>
        <v>Ecuador</v>
      </c>
      <c r="D9" s="9" t="str">
        <f ca="1">+WORLDCUP!BD64</f>
        <v>Bélgica</v>
      </c>
      <c r="E9" s="9" t="str">
        <f ca="1">+WORLDCUP!BD67</f>
        <v>Jordania</v>
      </c>
      <c r="F9" s="9" t="str">
        <f ca="1">+WORLDCUP!BD61</f>
        <v>Turquía</v>
      </c>
      <c r="G9" s="9" t="str">
        <f ca="1">+WORLDCUP!BD65</f>
        <v>España</v>
      </c>
      <c r="H9" s="9" t="str">
        <f ca="1">+WORLDCUP!BD63</f>
        <v>Japón</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c r="A10" s="9" t="s">
        <v>795</v>
      </c>
      <c r="B10" s="9">
        <f ca="1">+IF(A10=WORLDCUP!$BI$112,1,0)</f>
        <v>0</v>
      </c>
      <c r="C10" s="9" t="str">
        <f ca="1">+WORLDCUP!BD62</f>
        <v>Ecuador</v>
      </c>
      <c r="D10" s="9" t="str">
        <f ca="1">+WORLDCUP!BD64</f>
        <v>Bélgica</v>
      </c>
      <c r="E10" s="9" t="str">
        <f ca="1">+WORLDCUP!BD67</f>
        <v>Jordania</v>
      </c>
      <c r="F10" s="9" t="str">
        <f ca="1">+WORLDCUP!BD61</f>
        <v>Turquía</v>
      </c>
      <c r="G10" s="9" t="str">
        <f ca="1">+WORLDCUP!BD65</f>
        <v>España</v>
      </c>
      <c r="H10" s="9" t="str">
        <f ca="1">+WORLDCUP!BD63</f>
        <v>Japón</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c r="A11" s="9" t="s">
        <v>796</v>
      </c>
      <c r="B11" s="9">
        <f ca="1">+IF(A11=WORLDCUP!$BI$112,1,0)</f>
        <v>0</v>
      </c>
      <c r="C11" s="9" t="str">
        <f ca="1">+WORLDCUP!BD65</f>
        <v>España</v>
      </c>
      <c r="D11" s="9" t="str">
        <f ca="1">+WORLDCUP!BD64</f>
        <v>Bélgica</v>
      </c>
      <c r="E11" s="9" t="str">
        <f ca="1">+WORLDCUP!BD66</f>
        <v>Senegal</v>
      </c>
      <c r="F11" s="9" t="str">
        <f ca="1">+WORLDCUP!BD60</f>
        <v>Marruecos</v>
      </c>
      <c r="G11" s="9" t="str">
        <f ca="1">+WORLDCUP!BD67</f>
        <v>Jordania</v>
      </c>
      <c r="H11" s="9" t="str">
        <f ca="1">+WORLDCUP!BD63</f>
        <v>Japón</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c r="A12" s="9" t="s">
        <v>797</v>
      </c>
      <c r="B12" s="9">
        <f ca="1">+IF(A12=WORLDCUP!$BI$112,1,0)</f>
        <v>0</v>
      </c>
      <c r="C12" s="9" t="str">
        <f ca="1">+WORLDCUP!BD62</f>
        <v>Ecuador</v>
      </c>
      <c r="D12" s="9" t="str">
        <f ca="1">+WORLDCUP!BD67</f>
        <v>Jordania</v>
      </c>
      <c r="E12" s="9" t="str">
        <f ca="1">+WORLDCUP!BD66</f>
        <v>Senegal</v>
      </c>
      <c r="F12" s="9" t="str">
        <f ca="1">+WORLDCUP!BD60</f>
        <v>Marruecos</v>
      </c>
      <c r="G12" s="9" t="str">
        <f ca="1">+WORLDCUP!BD65</f>
        <v>España</v>
      </c>
      <c r="H12" s="9" t="str">
        <f ca="1">+WORLDCUP!BD64</f>
        <v>Bélgica</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c r="A13" s="9" t="s">
        <v>798</v>
      </c>
      <c r="B13" s="9">
        <f ca="1">+IF(A13=WORLDCUP!$BI$112,1,0)</f>
        <v>0</v>
      </c>
      <c r="C13" s="9" t="str">
        <f ca="1">+WORLDCUP!BD62</f>
        <v>Ecuador</v>
      </c>
      <c r="D13" s="9" t="str">
        <f ca="1">+WORLDCUP!BD67</f>
        <v>Jordania</v>
      </c>
      <c r="E13" s="9" t="str">
        <f ca="1">+WORLDCUP!BD66</f>
        <v>Senegal</v>
      </c>
      <c r="F13" s="9" t="str">
        <f ca="1">+WORLDCUP!BD60</f>
        <v>Marruecos</v>
      </c>
      <c r="G13" s="9" t="str">
        <f ca="1">+WORLDCUP!BD65</f>
        <v>España</v>
      </c>
      <c r="H13" s="9" t="str">
        <f ca="1">+WORLDCUP!BD63</f>
        <v>Japón</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c r="A14" s="9" t="s">
        <v>799</v>
      </c>
      <c r="B14" s="9">
        <f ca="1">+IF(A14=WORLDCUP!$BI$112,1,0)</f>
        <v>0</v>
      </c>
      <c r="C14" s="9" t="str">
        <f ca="1">+WORLDCUP!BD62</f>
        <v>Ecuador</v>
      </c>
      <c r="D14" s="9" t="str">
        <f ca="1">+WORLDCUP!BD64</f>
        <v>Bélgica</v>
      </c>
      <c r="E14" s="9" t="str">
        <f ca="1">+WORLDCUP!BD66</f>
        <v>Senegal</v>
      </c>
      <c r="F14" s="9" t="str">
        <f ca="1">+WORLDCUP!BD60</f>
        <v>Marruecos</v>
      </c>
      <c r="G14" s="9" t="str">
        <f ca="1">+WORLDCUP!BD67</f>
        <v>Jordania</v>
      </c>
      <c r="H14" s="9" t="str">
        <f ca="1">+WORLDCUP!BD63</f>
        <v>Japón</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c r="A15" s="9" t="s">
        <v>800</v>
      </c>
      <c r="B15" s="9">
        <f ca="1">+IF(A15=WORLDCUP!$BI$112,1,0)</f>
        <v>0</v>
      </c>
      <c r="C15" s="9" t="str">
        <f ca="1">+WORLDCUP!BD62</f>
        <v>Ecuador</v>
      </c>
      <c r="D15" s="9" t="str">
        <f ca="1">+WORLDCUP!BD64</f>
        <v>Bélgica</v>
      </c>
      <c r="E15" s="9" t="str">
        <f ca="1">+WORLDCUP!BD67</f>
        <v>Jordania</v>
      </c>
      <c r="F15" s="9" t="str">
        <f ca="1">+WORLDCUP!BD60</f>
        <v>Marruecos</v>
      </c>
      <c r="G15" s="9" t="str">
        <f ca="1">+WORLDCUP!BD65</f>
        <v>España</v>
      </c>
      <c r="H15" s="9" t="str">
        <f ca="1">+WORLDCUP!BD63</f>
        <v>Japón</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c r="A16" s="9" t="s">
        <v>801</v>
      </c>
      <c r="B16" s="9">
        <f ca="1">+IF(A16=WORLDCUP!$BI$112,1,0)</f>
        <v>0</v>
      </c>
      <c r="C16" s="9" t="str">
        <f ca="1">+WORLDCUP!BD62</f>
        <v>Ecuador</v>
      </c>
      <c r="D16" s="9" t="str">
        <f ca="1">+WORLDCUP!BD64</f>
        <v>Bélgica</v>
      </c>
      <c r="E16" s="9" t="str">
        <f ca="1">+WORLDCUP!BD66</f>
        <v>Senegal</v>
      </c>
      <c r="F16" s="9" t="str">
        <f ca="1">+WORLDCUP!BD60</f>
        <v>Marruecos</v>
      </c>
      <c r="G16" s="9" t="str">
        <f ca="1">+WORLDCUP!BD65</f>
        <v>España</v>
      </c>
      <c r="H16" s="9" t="str">
        <f ca="1">+WORLDCUP!BD63</f>
        <v>Japón</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c r="A17" s="9" t="s">
        <v>802</v>
      </c>
      <c r="B17" s="9">
        <f ca="1">+IF(A17=WORLDCUP!$BI$112,1,0)</f>
        <v>0</v>
      </c>
      <c r="C17" s="9" t="str">
        <f ca="1">+WORLDCUP!BD62</f>
        <v>Ecuador</v>
      </c>
      <c r="D17" s="9" t="str">
        <f ca="1">+WORLDCUP!BD64</f>
        <v>Bélgica</v>
      </c>
      <c r="E17" s="9" t="str">
        <f ca="1">+WORLDCUP!BD67</f>
        <v>Jordania</v>
      </c>
      <c r="F17" s="9" t="str">
        <f ca="1">+WORLDCUP!BD60</f>
        <v>Marruecos</v>
      </c>
      <c r="G17" s="9" t="str">
        <f ca="1">+WORLDCUP!BD65</f>
        <v>España</v>
      </c>
      <c r="H17" s="9" t="str">
        <f ca="1">+WORLDCUP!BD63</f>
        <v>Japón</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c r="A18" s="9" t="s">
        <v>803</v>
      </c>
      <c r="B18" s="9">
        <f ca="1">+IF(A18=WORLDCUP!$BI$112,1,0)</f>
        <v>0</v>
      </c>
      <c r="C18" s="9" t="str">
        <f ca="1">+WORLDCUP!BD62</f>
        <v>Ecuador</v>
      </c>
      <c r="D18" s="9" t="str">
        <f ca="1">+WORLDCUP!BD64</f>
        <v>Bélgica</v>
      </c>
      <c r="E18" s="9" t="str">
        <f ca="1">+WORLDCUP!BD67</f>
        <v>Jordania</v>
      </c>
      <c r="F18" s="9" t="str">
        <f ca="1">+WORLDCUP!BD60</f>
        <v>Marruecos</v>
      </c>
      <c r="G18" s="9" t="str">
        <f ca="1">+WORLDCUP!BD65</f>
        <v>España</v>
      </c>
      <c r="H18" s="9" t="str">
        <f ca="1">+WORLDCUP!BD63</f>
        <v>Japón</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c r="A19" s="9" t="s">
        <v>804</v>
      </c>
      <c r="B19" s="9">
        <f ca="1">+IF(A19=WORLDCUP!$BI$112,1,0)</f>
        <v>0</v>
      </c>
      <c r="C19" s="9" t="str">
        <f ca="1">+WORLDCUP!BD65</f>
        <v>España</v>
      </c>
      <c r="D19" s="9" t="str">
        <f ca="1">+WORLDCUP!BD64</f>
        <v>Bélgica</v>
      </c>
      <c r="E19" s="9" t="str">
        <f ca="1">+WORLDCUP!BD66</f>
        <v>Senegal</v>
      </c>
      <c r="F19" s="9" t="str">
        <f ca="1">+WORLDCUP!BD60</f>
        <v>Marruecos</v>
      </c>
      <c r="G19" s="9" t="str">
        <f ca="1">+WORLDCUP!BD67</f>
        <v>Jordania</v>
      </c>
      <c r="H19" s="9" t="str">
        <f ca="1">+WORLDCUP!BD61</f>
        <v>Turquía</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c r="A20" s="9" t="s">
        <v>805</v>
      </c>
      <c r="B20" s="9">
        <f ca="1">+IF(A20=WORLDCUP!$BI$112,1,0)</f>
        <v>0</v>
      </c>
      <c r="C20" s="9" t="str">
        <f ca="1">+WORLDCUP!BD60</f>
        <v>Marruecos</v>
      </c>
      <c r="D20" s="9" t="str">
        <f ca="1">+WORLDCUP!BD67</f>
        <v>Jordania</v>
      </c>
      <c r="E20" s="9" t="str">
        <f ca="1">+WORLDCUP!BD66</f>
        <v>Senegal</v>
      </c>
      <c r="F20" s="9" t="str">
        <f ca="1">+WORLDCUP!BD61</f>
        <v>Turquía</v>
      </c>
      <c r="G20" s="9" t="str">
        <f ca="1">+WORLDCUP!BD65</f>
        <v>España</v>
      </c>
      <c r="H20" s="9" t="str">
        <f ca="1">+WORLDCUP!BD63</f>
        <v>Japón</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c r="A21" s="9" t="s">
        <v>806</v>
      </c>
      <c r="B21" s="9">
        <f ca="1">+IF(A21=WORLDCUP!$BI$112,1,0)</f>
        <v>0</v>
      </c>
      <c r="C21" s="9" t="str">
        <f ca="1">+WORLDCUP!BD60</f>
        <v>Marruecos</v>
      </c>
      <c r="D21" s="9" t="str">
        <f ca="1">+WORLDCUP!BD64</f>
        <v>Bélgica</v>
      </c>
      <c r="E21" s="9" t="str">
        <f ca="1">+WORLDCUP!BD66</f>
        <v>Senegal</v>
      </c>
      <c r="F21" s="9" t="str">
        <f ca="1">+WORLDCUP!BD61</f>
        <v>Turquía</v>
      </c>
      <c r="G21" s="9" t="str">
        <f ca="1">+WORLDCUP!BD67</f>
        <v>Jordania</v>
      </c>
      <c r="H21" s="9" t="str">
        <f ca="1">+WORLDCUP!BD63</f>
        <v>Japón</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c r="A22" s="9" t="s">
        <v>807</v>
      </c>
      <c r="B22" s="9">
        <f ca="1">+IF(A22=WORLDCUP!$BI$112,1,0)</f>
        <v>0</v>
      </c>
      <c r="C22" s="9" t="str">
        <f ca="1">+WORLDCUP!BD60</f>
        <v>Marruecos</v>
      </c>
      <c r="D22" s="9" t="str">
        <f ca="1">+WORLDCUP!BD64</f>
        <v>Bélgica</v>
      </c>
      <c r="E22" s="9" t="str">
        <f ca="1">+WORLDCUP!BD67</f>
        <v>Jordania</v>
      </c>
      <c r="F22" s="9" t="str">
        <f ca="1">+WORLDCUP!BD61</f>
        <v>Turquía</v>
      </c>
      <c r="G22" s="9" t="str">
        <f ca="1">+WORLDCUP!BD65</f>
        <v>España</v>
      </c>
      <c r="H22" s="9" t="str">
        <f ca="1">+WORLDCUP!BD63</f>
        <v>Japón</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c r="A23" s="9" t="s">
        <v>808</v>
      </c>
      <c r="B23" s="9">
        <f ca="1">+IF(A23=WORLDCUP!$BI$112,1,0)</f>
        <v>0</v>
      </c>
      <c r="C23" s="9" t="str">
        <f ca="1">+WORLDCUP!BD60</f>
        <v>Marruecos</v>
      </c>
      <c r="D23" s="9" t="str">
        <f ca="1">+WORLDCUP!BD64</f>
        <v>Bélgica</v>
      </c>
      <c r="E23" s="9" t="str">
        <f ca="1">+WORLDCUP!BD66</f>
        <v>Senegal</v>
      </c>
      <c r="F23" s="9" t="str">
        <f ca="1">+WORLDCUP!BD61</f>
        <v>Turquía</v>
      </c>
      <c r="G23" s="9" t="str">
        <f ca="1">+WORLDCUP!BD65</f>
        <v>España</v>
      </c>
      <c r="H23" s="9" t="str">
        <f ca="1">+WORLDCUP!BD63</f>
        <v>Japón</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c r="A24" s="9" t="s">
        <v>809</v>
      </c>
      <c r="B24" s="9">
        <f ca="1">+IF(A24=WORLDCUP!$BI$112,1,0)</f>
        <v>0</v>
      </c>
      <c r="C24" s="9" t="str">
        <f ca="1">+WORLDCUP!BD60</f>
        <v>Marruecos</v>
      </c>
      <c r="D24" s="9" t="str">
        <f ca="1">+WORLDCUP!BD64</f>
        <v>Bélgica</v>
      </c>
      <c r="E24" s="9" t="str">
        <f ca="1">+WORLDCUP!BD67</f>
        <v>Jordania</v>
      </c>
      <c r="F24" s="9" t="str">
        <f ca="1">+WORLDCUP!BD61</f>
        <v>Turquía</v>
      </c>
      <c r="G24" s="9" t="str">
        <f ca="1">+WORLDCUP!BD65</f>
        <v>España</v>
      </c>
      <c r="H24" s="9" t="str">
        <f ca="1">+WORLDCUP!BD63</f>
        <v>Japón</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c r="A25" s="9" t="s">
        <v>810</v>
      </c>
      <c r="B25" s="9">
        <f ca="1">+IF(A25=WORLDCUP!$BI$112,1,0)</f>
        <v>0</v>
      </c>
      <c r="C25" s="9" t="str">
        <f ca="1">+WORLDCUP!BD60</f>
        <v>Marruecos</v>
      </c>
      <c r="D25" s="9" t="str">
        <f ca="1">+WORLDCUP!BD64</f>
        <v>Bélgica</v>
      </c>
      <c r="E25" s="9" t="str">
        <f ca="1">+WORLDCUP!BD67</f>
        <v>Jordania</v>
      </c>
      <c r="F25" s="9" t="str">
        <f ca="1">+WORLDCUP!BD61</f>
        <v>Turquía</v>
      </c>
      <c r="G25" s="9" t="str">
        <f ca="1">+WORLDCUP!BD65</f>
        <v>España</v>
      </c>
      <c r="H25" s="9" t="str">
        <f ca="1">+WORLDCUP!BD63</f>
        <v>Japón</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c r="A26" s="9" t="s">
        <v>811</v>
      </c>
      <c r="B26" s="9">
        <f ca="1">+IF(A26=WORLDCUP!$BI$112,1,0)</f>
        <v>0</v>
      </c>
      <c r="C26" s="9" t="str">
        <f ca="1">+WORLDCUP!BD62</f>
        <v>Ecuador</v>
      </c>
      <c r="D26" s="9" t="str">
        <f ca="1">+WORLDCUP!BD67</f>
        <v>Jordania</v>
      </c>
      <c r="E26" s="9" t="str">
        <f ca="1">+WORLDCUP!BD66</f>
        <v>Senegal</v>
      </c>
      <c r="F26" s="9" t="str">
        <f ca="1">+WORLDCUP!BD60</f>
        <v>Marruecos</v>
      </c>
      <c r="G26" s="9" t="str">
        <f ca="1">+WORLDCUP!BD65</f>
        <v>España</v>
      </c>
      <c r="H26" s="9" t="str">
        <f ca="1">+WORLDCUP!BD61</f>
        <v>Turquía</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c r="A27" s="9" t="s">
        <v>812</v>
      </c>
      <c r="B27" s="9">
        <f ca="1">+IF(A27=WORLDCUP!$BI$112,1,0)</f>
        <v>0</v>
      </c>
      <c r="C27" s="9" t="str">
        <f ca="1">+WORLDCUP!BD62</f>
        <v>Ecuador</v>
      </c>
      <c r="D27" s="9" t="str">
        <f ca="1">+WORLDCUP!BD64</f>
        <v>Bélgica</v>
      </c>
      <c r="E27" s="9" t="str">
        <f ca="1">+WORLDCUP!BD66</f>
        <v>Senegal</v>
      </c>
      <c r="F27" s="9" t="str">
        <f ca="1">+WORLDCUP!BD60</f>
        <v>Marruecos</v>
      </c>
      <c r="G27" s="9" t="str">
        <f ca="1">+WORLDCUP!BD67</f>
        <v>Jordania</v>
      </c>
      <c r="H27" s="9" t="str">
        <f ca="1">+WORLDCUP!BD61</f>
        <v>Turquía</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c r="A28" s="9" t="s">
        <v>813</v>
      </c>
      <c r="B28" s="9">
        <f ca="1">+IF(A28=WORLDCUP!$BI$112,1,0)</f>
        <v>0</v>
      </c>
      <c r="C28" s="9" t="str">
        <f ca="1">+WORLDCUP!BD62</f>
        <v>Ecuador</v>
      </c>
      <c r="D28" s="9" t="str">
        <f ca="1">+WORLDCUP!BD64</f>
        <v>Bélgica</v>
      </c>
      <c r="E28" s="9" t="str">
        <f ca="1">+WORLDCUP!BD67</f>
        <v>Jordania</v>
      </c>
      <c r="F28" s="9" t="str">
        <f ca="1">+WORLDCUP!BD60</f>
        <v>Marruecos</v>
      </c>
      <c r="G28" s="9" t="str">
        <f ca="1">+WORLDCUP!BD65</f>
        <v>España</v>
      </c>
      <c r="H28" s="9" t="str">
        <f ca="1">+WORLDCUP!BD61</f>
        <v>Turquía</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c r="A29" s="9" t="s">
        <v>814</v>
      </c>
      <c r="B29" s="9">
        <f ca="1">+IF(A29=WORLDCUP!$BI$112,1,0)</f>
        <v>0</v>
      </c>
      <c r="C29" s="9" t="str">
        <f ca="1">+WORLDCUP!BD62</f>
        <v>Ecuador</v>
      </c>
      <c r="D29" s="9" t="str">
        <f ca="1">+WORLDCUP!BD64</f>
        <v>Bélgica</v>
      </c>
      <c r="E29" s="9" t="str">
        <f ca="1">+WORLDCUP!BD66</f>
        <v>Senegal</v>
      </c>
      <c r="F29" s="9" t="str">
        <f ca="1">+WORLDCUP!BD60</f>
        <v>Marruecos</v>
      </c>
      <c r="G29" s="9" t="str">
        <f ca="1">+WORLDCUP!BD65</f>
        <v>España</v>
      </c>
      <c r="H29" s="9" t="str">
        <f ca="1">+WORLDCUP!BD61</f>
        <v>Turquía</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c r="A30" s="9" t="s">
        <v>815</v>
      </c>
      <c r="B30" s="9">
        <f ca="1">+IF(A30=WORLDCUP!$BI$112,1,0)</f>
        <v>0</v>
      </c>
      <c r="C30" s="9" t="str">
        <f ca="1">+WORLDCUP!BD62</f>
        <v>Ecuador</v>
      </c>
      <c r="D30" s="9" t="str">
        <f ca="1">+WORLDCUP!BD64</f>
        <v>Bélgica</v>
      </c>
      <c r="E30" s="9" t="str">
        <f ca="1">+WORLDCUP!BD67</f>
        <v>Jordania</v>
      </c>
      <c r="F30" s="9" t="str">
        <f ca="1">+WORLDCUP!BD60</f>
        <v>Marruecos</v>
      </c>
      <c r="G30" s="9" t="str">
        <f ca="1">+WORLDCUP!BD65</f>
        <v>España</v>
      </c>
      <c r="H30" s="9" t="str">
        <f ca="1">+WORLDCUP!BD61</f>
        <v>Turquía</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c r="A31" s="9" t="s">
        <v>816</v>
      </c>
      <c r="B31" s="9">
        <f ca="1">+IF(A31=WORLDCUP!$BI$112,1,0)</f>
        <v>0</v>
      </c>
      <c r="C31" s="9" t="str">
        <f ca="1">+WORLDCUP!BD62</f>
        <v>Ecuador</v>
      </c>
      <c r="D31" s="9" t="str">
        <f ca="1">+WORLDCUP!BD64</f>
        <v>Bélgica</v>
      </c>
      <c r="E31" s="9" t="str">
        <f ca="1">+WORLDCUP!BD67</f>
        <v>Jordania</v>
      </c>
      <c r="F31" s="9" t="str">
        <f ca="1">+WORLDCUP!BD60</f>
        <v>Marruecos</v>
      </c>
      <c r="G31" s="9" t="str">
        <f ca="1">+WORLDCUP!BD65</f>
        <v>España</v>
      </c>
      <c r="H31" s="9" t="str">
        <f ca="1">+WORLDCUP!BD61</f>
        <v>Turquía</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c r="A32" s="9" t="s">
        <v>817</v>
      </c>
      <c r="B32" s="9">
        <f ca="1">+IF(A32=WORLDCUP!$BI$112,1,0)</f>
        <v>0</v>
      </c>
      <c r="C32" s="9" t="str">
        <f ca="1">+WORLDCUP!BD60</f>
        <v>Marruecos</v>
      </c>
      <c r="D32" s="9" t="str">
        <f ca="1">+WORLDCUP!BD67</f>
        <v>Jordania</v>
      </c>
      <c r="E32" s="9" t="str">
        <f ca="1">+WORLDCUP!BD62</f>
        <v>Ecuador</v>
      </c>
      <c r="F32" s="9" t="str">
        <f ca="1">+WORLDCUP!BD61</f>
        <v>Turquía</v>
      </c>
      <c r="G32" s="9" t="str">
        <f ca="1">+WORLDCUP!BD66</f>
        <v>Senegal</v>
      </c>
      <c r="H32" s="9" t="str">
        <f ca="1">+WORLDCUP!BD63</f>
        <v>Japón</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c r="A33" s="9" t="s">
        <v>818</v>
      </c>
      <c r="B33" s="9">
        <f ca="1">+IF(A33=WORLDCUP!$BI$112,1,0)</f>
        <v>0</v>
      </c>
      <c r="C33" s="9" t="str">
        <f ca="1">+WORLDCUP!BD60</f>
        <v>Marruecos</v>
      </c>
      <c r="D33" s="9" t="str">
        <f ca="1">+WORLDCUP!BD67</f>
        <v>Jordania</v>
      </c>
      <c r="E33" s="9" t="str">
        <f ca="1">+WORLDCUP!BD62</f>
        <v>Ecuador</v>
      </c>
      <c r="F33" s="9" t="str">
        <f ca="1">+WORLDCUP!BD61</f>
        <v>Turquía</v>
      </c>
      <c r="G33" s="9" t="str">
        <f ca="1">+WORLDCUP!BD65</f>
        <v>España</v>
      </c>
      <c r="H33" s="9" t="str">
        <f ca="1">+WORLDCUP!BD63</f>
        <v>Japón</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c r="A34" s="9" t="s">
        <v>819</v>
      </c>
      <c r="B34" s="9">
        <f ca="1">+IF(A34=WORLDCUP!$BI$112,1,0)</f>
        <v>0</v>
      </c>
      <c r="C34" s="9" t="str">
        <f ca="1">+WORLDCUP!BD60</f>
        <v>Marruecos</v>
      </c>
      <c r="D34" s="9" t="str">
        <f ca="1">+WORLDCUP!BD62</f>
        <v>Ecuador</v>
      </c>
      <c r="E34" s="9" t="str">
        <f ca="1">+WORLDCUP!BD66</f>
        <v>Senegal</v>
      </c>
      <c r="F34" s="9" t="str">
        <f ca="1">+WORLDCUP!BD61</f>
        <v>Turquía</v>
      </c>
      <c r="G34" s="9" t="str">
        <f ca="1">+WORLDCUP!BD65</f>
        <v>España</v>
      </c>
      <c r="H34" s="9" t="str">
        <f ca="1">+WORLDCUP!BD63</f>
        <v>Japón</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c r="A35" s="9" t="s">
        <v>820</v>
      </c>
      <c r="B35" s="9">
        <f ca="1">+IF(A35=WORLDCUP!$BI$112,1,0)</f>
        <v>0</v>
      </c>
      <c r="C35" s="9" t="str">
        <f ca="1">+WORLDCUP!BD60</f>
        <v>Marruecos</v>
      </c>
      <c r="D35" s="9" t="str">
        <f ca="1">+WORLDCUP!BD67</f>
        <v>Jordania</v>
      </c>
      <c r="E35" s="9" t="str">
        <f ca="1">+WORLDCUP!BD62</f>
        <v>Ecuador</v>
      </c>
      <c r="F35" s="9" t="str">
        <f ca="1">+WORLDCUP!BD61</f>
        <v>Turquía</v>
      </c>
      <c r="G35" s="9" t="str">
        <f ca="1">+WORLDCUP!BD65</f>
        <v>España</v>
      </c>
      <c r="H35" s="9" t="str">
        <f ca="1">+WORLDCUP!BD63</f>
        <v>Japón</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c r="A36" s="9" t="s">
        <v>821</v>
      </c>
      <c r="B36" s="9">
        <f ca="1">+IF(A36=WORLDCUP!$BI$112,1,0)</f>
        <v>0</v>
      </c>
      <c r="C36" s="9" t="str">
        <f ca="1">+WORLDCUP!BD60</f>
        <v>Marruecos</v>
      </c>
      <c r="D36" s="9" t="str">
        <f ca="1">+WORLDCUP!BD67</f>
        <v>Jordania</v>
      </c>
      <c r="E36" s="9" t="str">
        <f ca="1">+WORLDCUP!BD62</f>
        <v>Ecuador</v>
      </c>
      <c r="F36" s="9" t="str">
        <f ca="1">+WORLDCUP!BD61</f>
        <v>Turquía</v>
      </c>
      <c r="G36" s="9" t="str">
        <f ca="1">+WORLDCUP!BD65</f>
        <v>España</v>
      </c>
      <c r="H36" s="9" t="str">
        <f ca="1">+WORLDCUP!BD63</f>
        <v>Japón</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c r="A37" s="9" t="s">
        <v>822</v>
      </c>
      <c r="B37" s="9">
        <f ca="1">+IF(A37=WORLDCUP!$BI$112,1,0)</f>
        <v>0</v>
      </c>
      <c r="C37" s="9" t="str">
        <f ca="1">+WORLDCUP!BD60</f>
        <v>Marruecos</v>
      </c>
      <c r="D37" s="9" t="str">
        <f ca="1">+WORLDCUP!BD64</f>
        <v>Bélgica</v>
      </c>
      <c r="E37" s="9" t="str">
        <f ca="1">+WORLDCUP!BD62</f>
        <v>Ecuador</v>
      </c>
      <c r="F37" s="9" t="str">
        <f ca="1">+WORLDCUP!BD61</f>
        <v>Turquía</v>
      </c>
      <c r="G37" s="9" t="str">
        <f ca="1">+WORLDCUP!BD67</f>
        <v>Jordania</v>
      </c>
      <c r="H37" s="9" t="str">
        <f ca="1">+WORLDCUP!BD63</f>
        <v>Japón</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c r="A38" s="9" t="s">
        <v>823</v>
      </c>
      <c r="B38" s="9">
        <f ca="1">+IF(A38=WORLDCUP!$BI$112,1,0)</f>
        <v>0</v>
      </c>
      <c r="C38" s="9" t="str">
        <f ca="1">+WORLDCUP!BD60</f>
        <v>Marruecos</v>
      </c>
      <c r="D38" s="9" t="str">
        <f ca="1">+WORLDCUP!BD64</f>
        <v>Bélgica</v>
      </c>
      <c r="E38" s="9" t="str">
        <f ca="1">+WORLDCUP!BD62</f>
        <v>Ecuador</v>
      </c>
      <c r="F38" s="9" t="str">
        <f ca="1">+WORLDCUP!BD61</f>
        <v>Turquía</v>
      </c>
      <c r="G38" s="9" t="str">
        <f ca="1">+WORLDCUP!BD66</f>
        <v>Senegal</v>
      </c>
      <c r="H38" s="9" t="str">
        <f ca="1">+WORLDCUP!BD63</f>
        <v>Japón</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c r="A39" s="9" t="s">
        <v>824</v>
      </c>
      <c r="B39" s="9">
        <f ca="1">+IF(A39=WORLDCUP!$BI$112,1,0)</f>
        <v>0</v>
      </c>
      <c r="C39" s="9" t="str">
        <f ca="1">+WORLDCUP!BD60</f>
        <v>Marruecos</v>
      </c>
      <c r="D39" s="9" t="str">
        <f ca="1">+WORLDCUP!BD64</f>
        <v>Bélgica</v>
      </c>
      <c r="E39" s="9" t="str">
        <f ca="1">+WORLDCUP!BD62</f>
        <v>Ecuador</v>
      </c>
      <c r="F39" s="9" t="str">
        <f ca="1">+WORLDCUP!BD61</f>
        <v>Turquía</v>
      </c>
      <c r="G39" s="9" t="str">
        <f ca="1">+WORLDCUP!BD67</f>
        <v>Jordania</v>
      </c>
      <c r="H39" s="9" t="str">
        <f ca="1">+WORLDCUP!BD63</f>
        <v>Japón</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c r="A40" s="9" t="s">
        <v>825</v>
      </c>
      <c r="B40" s="9">
        <f ca="1">+IF(A40=WORLDCUP!$BI$112,1,0)</f>
        <v>0</v>
      </c>
      <c r="C40" s="9" t="str">
        <f ca="1">+WORLDCUP!BD60</f>
        <v>Marruecos</v>
      </c>
      <c r="D40" s="9" t="str">
        <f ca="1">+WORLDCUP!BD64</f>
        <v>Bélgica</v>
      </c>
      <c r="E40" s="9" t="str">
        <f ca="1">+WORLDCUP!BD62</f>
        <v>Ecuador</v>
      </c>
      <c r="F40" s="9" t="str">
        <f ca="1">+WORLDCUP!BD61</f>
        <v>Turquía</v>
      </c>
      <c r="G40" s="9" t="str">
        <f ca="1">+WORLDCUP!BD67</f>
        <v>Jordania</v>
      </c>
      <c r="H40" s="9" t="str">
        <f ca="1">+WORLDCUP!BD63</f>
        <v>Japón</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c r="A41" s="9" t="s">
        <v>826</v>
      </c>
      <c r="B41" s="9">
        <f ca="1">+IF(A41=WORLDCUP!$BI$112,1,0)</f>
        <v>0</v>
      </c>
      <c r="C41" s="9" t="str">
        <f ca="1">+WORLDCUP!BD60</f>
        <v>Marruecos</v>
      </c>
      <c r="D41" s="9" t="str">
        <f ca="1">+WORLDCUP!BD64</f>
        <v>Bélgica</v>
      </c>
      <c r="E41" s="9" t="str">
        <f ca="1">+WORLDCUP!BD62</f>
        <v>Ecuador</v>
      </c>
      <c r="F41" s="9" t="str">
        <f ca="1">+WORLDCUP!BD61</f>
        <v>Turquía</v>
      </c>
      <c r="G41" s="9" t="str">
        <f ca="1">+WORLDCUP!BD65</f>
        <v>España</v>
      </c>
      <c r="H41" s="9" t="str">
        <f ca="1">+WORLDCUP!BD63</f>
        <v>Japón</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c r="A42" s="9" t="s">
        <v>827</v>
      </c>
      <c r="B42" s="9">
        <f ca="1">+IF(A42=WORLDCUP!$BI$112,1,0)</f>
        <v>0</v>
      </c>
      <c r="C42" s="9" t="str">
        <f ca="1">+WORLDCUP!BD60</f>
        <v>Marruecos</v>
      </c>
      <c r="D42" s="9" t="str">
        <f ca="1">+WORLDCUP!BD64</f>
        <v>Bélgica</v>
      </c>
      <c r="E42" s="9" t="str">
        <f ca="1">+WORLDCUP!BD67</f>
        <v>Jordania</v>
      </c>
      <c r="F42" s="9" t="str">
        <f ca="1">+WORLDCUP!BD61</f>
        <v>Turquía</v>
      </c>
      <c r="G42" s="9" t="str">
        <f ca="1">+WORLDCUP!BD65</f>
        <v>España</v>
      </c>
      <c r="H42" s="9" t="str">
        <f ca="1">+WORLDCUP!BD63</f>
        <v>Japón</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c r="A43" s="9" t="s">
        <v>828</v>
      </c>
      <c r="B43" s="9">
        <f ca="1">+IF(A43=WORLDCUP!$BI$112,1,0)</f>
        <v>0</v>
      </c>
      <c r="C43" s="9" t="str">
        <f ca="1">+WORLDCUP!BD60</f>
        <v>Marruecos</v>
      </c>
      <c r="D43" s="9" t="str">
        <f ca="1">+WORLDCUP!BD64</f>
        <v>Bélgica</v>
      </c>
      <c r="E43" s="9" t="str">
        <f ca="1">+WORLDCUP!BD67</f>
        <v>Jordania</v>
      </c>
      <c r="F43" s="9" t="str">
        <f ca="1">+WORLDCUP!BD61</f>
        <v>Turquía</v>
      </c>
      <c r="G43" s="9" t="str">
        <f ca="1">+WORLDCUP!BD65</f>
        <v>España</v>
      </c>
      <c r="H43" s="9" t="str">
        <f ca="1">+WORLDCUP!BD63</f>
        <v>Japón</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c r="A44" s="9" t="s">
        <v>829</v>
      </c>
      <c r="B44" s="9">
        <f ca="1">+IF(A44=WORLDCUP!$BI$112,1,0)</f>
        <v>0</v>
      </c>
      <c r="C44" s="9" t="str">
        <f ca="1">+WORLDCUP!BD60</f>
        <v>Marruecos</v>
      </c>
      <c r="D44" s="9" t="str">
        <f ca="1">+WORLDCUP!BD64</f>
        <v>Bélgica</v>
      </c>
      <c r="E44" s="9" t="str">
        <f ca="1">+WORLDCUP!BD62</f>
        <v>Ecuador</v>
      </c>
      <c r="F44" s="9" t="str">
        <f ca="1">+WORLDCUP!BD61</f>
        <v>Turquía</v>
      </c>
      <c r="G44" s="9" t="str">
        <f ca="1">+WORLDCUP!BD65</f>
        <v>España</v>
      </c>
      <c r="H44" s="9" t="str">
        <f ca="1">+WORLDCUP!BD63</f>
        <v>Japón</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c r="A45" s="9" t="s">
        <v>830</v>
      </c>
      <c r="B45" s="9">
        <f ca="1">+IF(A45=WORLDCUP!$BI$112,1,0)</f>
        <v>0</v>
      </c>
      <c r="C45" s="9" t="str">
        <f ca="1">+WORLDCUP!BD60</f>
        <v>Marruecos</v>
      </c>
      <c r="D45" s="9" t="str">
        <f ca="1">+WORLDCUP!BD64</f>
        <v>Bélgica</v>
      </c>
      <c r="E45" s="9" t="str">
        <f ca="1">+WORLDCUP!BD62</f>
        <v>Ecuador</v>
      </c>
      <c r="F45" s="9" t="str">
        <f ca="1">+WORLDCUP!BD61</f>
        <v>Turquía</v>
      </c>
      <c r="G45" s="9" t="str">
        <f ca="1">+WORLDCUP!BD65</f>
        <v>España</v>
      </c>
      <c r="H45" s="9" t="str">
        <f ca="1">+WORLDCUP!BD63</f>
        <v>Japón</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c r="A46" s="9" t="s">
        <v>831</v>
      </c>
      <c r="B46" s="9">
        <f ca="1">+IF(A46=WORLDCUP!$BI$112,1,0)</f>
        <v>0</v>
      </c>
      <c r="C46" s="9" t="str">
        <f ca="1">+WORLDCUP!BD60</f>
        <v>Marruecos</v>
      </c>
      <c r="D46" s="9" t="str">
        <f ca="1">+WORLDCUP!BD64</f>
        <v>Bélgica</v>
      </c>
      <c r="E46" s="9" t="str">
        <f ca="1">+WORLDCUP!BD67</f>
        <v>Jordania</v>
      </c>
      <c r="F46" s="9" t="str">
        <f ca="1">+WORLDCUP!BD61</f>
        <v>Turquía</v>
      </c>
      <c r="G46" s="9" t="str">
        <f ca="1">+WORLDCUP!BD65</f>
        <v>España</v>
      </c>
      <c r="H46" s="9" t="str">
        <f ca="1">+WORLDCUP!BD63</f>
        <v>Japón</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c r="A47" s="9" t="s">
        <v>832</v>
      </c>
      <c r="B47" s="9">
        <f ca="1">+IF(A47=WORLDCUP!$BI$112,1,0)</f>
        <v>0</v>
      </c>
      <c r="C47" s="9" t="str">
        <f ca="1">+WORLDCUP!BD65</f>
        <v>España</v>
      </c>
      <c r="D47" s="9" t="str">
        <f ca="1">+WORLDCUP!BD67</f>
        <v>Jordania</v>
      </c>
      <c r="E47" s="9" t="str">
        <f ca="1">+WORLDCUP!BD59</f>
        <v>Bosnia y Herzegovina</v>
      </c>
      <c r="F47" s="9" t="str">
        <f ca="1">+WORLDCUP!BD63</f>
        <v>Japón</v>
      </c>
      <c r="G47" s="9" t="str">
        <f ca="1">+WORLDCUP!BD66</f>
        <v>Senegal</v>
      </c>
      <c r="H47" s="9" t="str">
        <f ca="1">+WORLDCUP!BD64</f>
        <v>Bélgica</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c r="A48" s="9" t="s">
        <v>833</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España</v>
      </c>
      <c r="H48" s="9" t="str">
        <f ca="1">+WORLDCUP!BD64</f>
        <v>Bélgica</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c r="A49" s="9" t="s">
        <v>834</v>
      </c>
      <c r="B49" s="9">
        <f ca="1">+IF(A49=WORLDCUP!$BI$112,1,0)</f>
        <v>0</v>
      </c>
      <c r="C49" s="9" t="str">
        <f ca="1">+WORLDCUP!BD62</f>
        <v>Ecuador</v>
      </c>
      <c r="D49" s="9" t="str">
        <f ca="1">+WORLDCUP!BD67</f>
        <v>Jordania</v>
      </c>
      <c r="E49" s="9" t="str">
        <f ca="1">+WORLDCUP!BD59</f>
        <v>Bosnia y Herzegovina</v>
      </c>
      <c r="F49" s="9" t="str">
        <f ca="1">+WORLDCUP!BD63</f>
        <v>Japón</v>
      </c>
      <c r="G49" s="9" t="str">
        <f ca="1">+WORLDCUP!BD66</f>
        <v>Senegal</v>
      </c>
      <c r="H49" s="9" t="str">
        <f ca="1">+WORLDCUP!BD65</f>
        <v>España</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c r="A50" s="9" t="s">
        <v>835</v>
      </c>
      <c r="B50" s="9">
        <f ca="1">+IF(A50=WORLDCUP!$BI$112,1,0)</f>
        <v>0</v>
      </c>
      <c r="C50" s="9" t="str">
        <f ca="1">+WORLDCUP!BD62</f>
        <v>Ecuador</v>
      </c>
      <c r="D50" s="9" t="str">
        <f ca="1">+WORLDCUP!BD67</f>
        <v>Jordania</v>
      </c>
      <c r="E50" s="9" t="str">
        <f ca="1">+WORLDCUP!BD59</f>
        <v>Bosnia y Herzegovina</v>
      </c>
      <c r="F50" s="9" t="str">
        <f ca="1">+WORLDCUP!BD63</f>
        <v>Japón</v>
      </c>
      <c r="G50" s="9" t="str">
        <f ca="1">+WORLDCUP!BD66</f>
        <v>Senegal</v>
      </c>
      <c r="H50" s="9" t="str">
        <f ca="1">+WORLDCUP!BD64</f>
        <v>Bélgica</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c r="A51" s="9" t="s">
        <v>836</v>
      </c>
      <c r="B51" s="9">
        <f ca="1">+IF(A51=WORLDCUP!$BI$112,1,0)</f>
        <v>0</v>
      </c>
      <c r="C51" s="9" t="str">
        <f ca="1">+WORLDCUP!BD62</f>
        <v>Ecuador</v>
      </c>
      <c r="D51" s="9" t="str">
        <f ca="1">+WORLDCUP!BD67</f>
        <v>Jordania</v>
      </c>
      <c r="E51" s="9" t="str">
        <f ca="1">+WORLDCUP!BD59</f>
        <v>Bosnia y Herzegovina</v>
      </c>
      <c r="F51" s="9" t="str">
        <f ca="1">+WORLDCUP!BD63</f>
        <v>Japón</v>
      </c>
      <c r="G51" s="9" t="str">
        <f ca="1">+WORLDCUP!BD65</f>
        <v>España</v>
      </c>
      <c r="H51" s="9" t="str">
        <f ca="1">+WORLDCUP!BD64</f>
        <v>Bélgica</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c r="A52" s="9" t="s">
        <v>837</v>
      </c>
      <c r="B52" s="9">
        <f ca="1">+IF(A52=WORLDCUP!$BI$112,1,0)</f>
        <v>0</v>
      </c>
      <c r="C52" s="9" t="str">
        <f ca="1">+WORLDCUP!BD62</f>
        <v>Ecuador</v>
      </c>
      <c r="D52" s="9" t="str">
        <f ca="1">+WORLDCUP!BD64</f>
        <v>Bélgica</v>
      </c>
      <c r="E52" s="9" t="str">
        <f ca="1">+WORLDCUP!BD59</f>
        <v>Bosnia y Herzegovina</v>
      </c>
      <c r="F52" s="9" t="str">
        <f ca="1">+WORLDCUP!BD63</f>
        <v>Japón</v>
      </c>
      <c r="G52" s="9" t="str">
        <f ca="1">+WORLDCUP!BD66</f>
        <v>Senegal</v>
      </c>
      <c r="H52" s="9" t="str">
        <f ca="1">+WORLDCUP!BD65</f>
        <v>España</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c r="A53" s="9" t="s">
        <v>838</v>
      </c>
      <c r="B53" s="9">
        <f ca="1">+IF(A53=WORLDCUP!$BI$112,1,0)</f>
        <v>0</v>
      </c>
      <c r="C53" s="9" t="str">
        <f ca="1">+WORLDCUP!BD62</f>
        <v>Ecuador</v>
      </c>
      <c r="D53" s="9" t="str">
        <f ca="1">+WORLDCUP!BD67</f>
        <v>Jordania</v>
      </c>
      <c r="E53" s="9" t="str">
        <f ca="1">+WORLDCUP!BD59</f>
        <v>Bosnia y Herzegovina</v>
      </c>
      <c r="F53" s="9" t="str">
        <f ca="1">+WORLDCUP!BD63</f>
        <v>Japón</v>
      </c>
      <c r="G53" s="9" t="str">
        <f ca="1">+WORLDCUP!BD65</f>
        <v>España</v>
      </c>
      <c r="H53" s="9" t="str">
        <f ca="1">+WORLDCUP!BD64</f>
        <v>Bélgica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c r="A54" s="9" t="s">
        <v>839</v>
      </c>
      <c r="B54" s="9">
        <f ca="1">+IF(A54=WORLDCUP!$BI$112,1,0)</f>
        <v>0</v>
      </c>
      <c r="C54" s="9" t="str">
        <f ca="1">+WORLDCUP!BD62</f>
        <v>Ecuador</v>
      </c>
      <c r="D54" s="9" t="str">
        <f ca="1">+WORLDCUP!BD67</f>
        <v>Jordania</v>
      </c>
      <c r="E54" s="9" t="str">
        <f ca="1">+WORLDCUP!BD59</f>
        <v>Bosnia y Herzegovina</v>
      </c>
      <c r="F54" s="9" t="str">
        <f ca="1">+WORLDCUP!BD63</f>
        <v>Japón</v>
      </c>
      <c r="G54" s="9" t="str">
        <f ca="1">+WORLDCUP!BD65</f>
        <v>España</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c r="A55" s="9" t="s">
        <v>840</v>
      </c>
      <c r="B55" s="9">
        <f ca="1">+IF(A55=WORLDCUP!$BI$112,1,0)</f>
        <v>0</v>
      </c>
      <c r="C55" s="9" t="str">
        <f ca="1">+WORLDCUP!BD65</f>
        <v>España</v>
      </c>
      <c r="D55" s="9" t="str">
        <f ca="1">+WORLDCUP!BD67</f>
        <v>Jordania</v>
      </c>
      <c r="E55" s="9" t="str">
        <f ca="1">+WORLDCUP!BD59</f>
        <v>Bosnia y Herzegovina</v>
      </c>
      <c r="F55" s="9" t="str">
        <f ca="1">+WORLDCUP!BD61</f>
        <v>Turquía</v>
      </c>
      <c r="G55" s="9" t="str">
        <f ca="1">+WORLDCUP!BD66</f>
        <v>Senegal</v>
      </c>
      <c r="H55" s="9" t="str">
        <f ca="1">+WORLDCUP!BD64</f>
        <v>Bélgica</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c r="A56" s="9" t="s">
        <v>841</v>
      </c>
      <c r="B56" s="9">
        <f ca="1">+IF(A56=WORLDCUP!$BI$112,1,0)</f>
        <v>0</v>
      </c>
      <c r="C56" s="9" t="str">
        <f ca="1">+WORLDCUP!BD65</f>
        <v>España</v>
      </c>
      <c r="D56" s="9" t="str">
        <f ca="1">+WORLDCUP!BD67</f>
        <v>Jordania</v>
      </c>
      <c r="E56" s="9" t="str">
        <f ca="1">+WORLDCUP!BD59</f>
        <v>Bosnia y Herzegovina</v>
      </c>
      <c r="F56" s="9" t="str">
        <f ca="1">+WORLDCUP!BD61</f>
        <v>Turquía</v>
      </c>
      <c r="G56" s="9" t="str">
        <f ca="1">+WORLDCUP!BD66</f>
        <v>Senegal</v>
      </c>
      <c r="H56" s="9" t="str">
        <f ca="1">+WORLDCUP!BD63</f>
        <v>Japón</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c r="A57" s="9" t="s">
        <v>842</v>
      </c>
      <c r="B57" s="9">
        <f ca="1">+IF(A57=WORLDCUP!$BI$112,1,0)</f>
        <v>0</v>
      </c>
      <c r="C57" s="9" t="str">
        <f ca="1">+WORLDCUP!BD66</f>
        <v>Senegal</v>
      </c>
      <c r="D57" s="9" t="str">
        <f ca="1">+WORLDCUP!BD64</f>
        <v>Bélgica</v>
      </c>
      <c r="E57" s="9" t="str">
        <f ca="1">+WORLDCUP!BD59</f>
        <v>Bosnia y Herzegovina</v>
      </c>
      <c r="F57" s="9" t="str">
        <f ca="1">+WORLDCUP!BD61</f>
        <v>Turquía</v>
      </c>
      <c r="G57" s="9" t="str">
        <f ca="1">+WORLDCUP!BD67</f>
        <v>Jordania</v>
      </c>
      <c r="H57" s="9" t="str">
        <f ca="1">+WORLDCUP!BD63</f>
        <v>Japón</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c r="A58" s="9" t="s">
        <v>843</v>
      </c>
      <c r="B58" s="9">
        <f ca="1">+IF(A58=WORLDCUP!$BI$112,1,0)</f>
        <v>0</v>
      </c>
      <c r="C58" s="9" t="str">
        <f ca="1">+WORLDCUP!BD65</f>
        <v>España</v>
      </c>
      <c r="D58" s="9" t="str">
        <f ca="1">+WORLDCUP!BD64</f>
        <v>Bélgica</v>
      </c>
      <c r="E58" s="9" t="str">
        <f ca="1">+WORLDCUP!BD59</f>
        <v>Bosnia y Herzegovina</v>
      </c>
      <c r="F58" s="9" t="str">
        <f ca="1">+WORLDCUP!BD61</f>
        <v>Turquía</v>
      </c>
      <c r="G58" s="9" t="str">
        <f ca="1">+WORLDCUP!BD67</f>
        <v>Jordania</v>
      </c>
      <c r="H58" s="9" t="str">
        <f ca="1">+WORLDCUP!BD63</f>
        <v>Japón</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c r="A59" s="9" t="s">
        <v>844</v>
      </c>
      <c r="B59" s="9">
        <f ca="1">+IF(A59=WORLDCUP!$BI$112,1,0)</f>
        <v>0</v>
      </c>
      <c r="C59" s="9" t="str">
        <f ca="1">+WORLDCUP!BD65</f>
        <v>España</v>
      </c>
      <c r="D59" s="9" t="str">
        <f ca="1">+WORLDCUP!BD64</f>
        <v>Bélgica</v>
      </c>
      <c r="E59" s="9" t="str">
        <f ca="1">+WORLDCUP!BD59</f>
        <v>Bosnia y Herzegovina</v>
      </c>
      <c r="F59" s="9" t="str">
        <f ca="1">+WORLDCUP!BD61</f>
        <v>Turquía</v>
      </c>
      <c r="G59" s="9" t="str">
        <f ca="1">+WORLDCUP!BD66</f>
        <v>Senegal</v>
      </c>
      <c r="H59" s="9" t="str">
        <f ca="1">+WORLDCUP!BD63</f>
        <v>Japón</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c r="A60" s="9" t="s">
        <v>845</v>
      </c>
      <c r="B60" s="9">
        <f ca="1">+IF(A60=WORLDCUP!$BI$112,1,0)</f>
        <v>0</v>
      </c>
      <c r="C60" s="9" t="str">
        <f ca="1">+WORLDCUP!BD65</f>
        <v>España</v>
      </c>
      <c r="D60" s="9" t="str">
        <f ca="1">+WORLDCUP!BD64</f>
        <v>Bélgica</v>
      </c>
      <c r="E60" s="9" t="str">
        <f ca="1">+WORLDCUP!BD59</f>
        <v>Bosnia y Herzegovina</v>
      </c>
      <c r="F60" s="9" t="str">
        <f ca="1">+WORLDCUP!BD61</f>
        <v>Turquía</v>
      </c>
      <c r="G60" s="9" t="str">
        <f ca="1">+WORLDCUP!BD67</f>
        <v>Jordania</v>
      </c>
      <c r="H60" s="9" t="str">
        <f ca="1">+WORLDCUP!BD63</f>
        <v>Japón</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c r="A61" s="9" t="s">
        <v>846</v>
      </c>
      <c r="B61" s="9">
        <f ca="1">+IF(A61=WORLDCUP!$BI$112,1,0)</f>
        <v>0</v>
      </c>
      <c r="C61" s="9" t="str">
        <f ca="1">+WORLDCUP!BD65</f>
        <v>España</v>
      </c>
      <c r="D61" s="9" t="str">
        <f ca="1">+WORLDCUP!BD64</f>
        <v>Bélgica</v>
      </c>
      <c r="E61" s="9" t="str">
        <f ca="1">+WORLDCUP!BD59</f>
        <v>Bosnia y Herzegovina</v>
      </c>
      <c r="F61" s="9" t="str">
        <f ca="1">+WORLDCUP!BD61</f>
        <v>Turquía</v>
      </c>
      <c r="G61" s="9" t="str">
        <f ca="1">+WORLDCUP!BD67</f>
        <v>Jordania</v>
      </c>
      <c r="H61" s="9" t="str">
        <f ca="1">+WORLDCUP!BD63</f>
        <v>Japón</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c r="A62" s="9" t="s">
        <v>847</v>
      </c>
      <c r="B62" s="9">
        <f ca="1">+IF(A62=WORLDCUP!$BI$112,1,0)</f>
        <v>0</v>
      </c>
      <c r="C62" s="9" t="str">
        <f ca="1">+WORLDCUP!BD62</f>
        <v>Ecuador</v>
      </c>
      <c r="D62" s="9" t="str">
        <f ca="1">+WORLDCUP!BD67</f>
        <v>Jordania</v>
      </c>
      <c r="E62" s="9" t="str">
        <f ca="1">+WORLDCUP!BD59</f>
        <v>Bosnia y Herzegovina</v>
      </c>
      <c r="F62" s="9" t="str">
        <f ca="1">+WORLDCUP!BD61</f>
        <v>Turquía</v>
      </c>
      <c r="G62" s="9" t="str">
        <f ca="1">+WORLDCUP!BD66</f>
        <v>Senegal</v>
      </c>
      <c r="H62" s="9" t="str">
        <f ca="1">+WORLDCUP!BD65</f>
        <v>España</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c r="A63" s="9" t="s">
        <v>848</v>
      </c>
      <c r="B63" s="9">
        <f ca="1">+IF(A63=WORLDCUP!$BI$112,1,0)</f>
        <v>0</v>
      </c>
      <c r="C63" s="9" t="str">
        <f ca="1">+WORLDCUP!BD62</f>
        <v>Ecuador</v>
      </c>
      <c r="D63" s="9" t="str">
        <f ca="1">+WORLDCUP!BD67</f>
        <v>Jordania</v>
      </c>
      <c r="E63" s="9" t="str">
        <f ca="1">+WORLDCUP!BD59</f>
        <v>Bosnia y Herzegovina</v>
      </c>
      <c r="F63" s="9" t="str">
        <f ca="1">+WORLDCUP!BD61</f>
        <v>Turquía</v>
      </c>
      <c r="G63" s="9" t="str">
        <f ca="1">+WORLDCUP!BD66</f>
        <v>Senegal</v>
      </c>
      <c r="H63" s="9" t="str">
        <f ca="1">+WORLDCUP!BD64</f>
        <v>Bélgica</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c r="A64" s="9" t="s">
        <v>849</v>
      </c>
      <c r="B64" s="9">
        <f ca="1">+IF(A64=WORLDCUP!$BI$112,1,0)</f>
        <v>0</v>
      </c>
      <c r="C64" s="9" t="str">
        <f ca="1">+WORLDCUP!BD62</f>
        <v>Ecuador</v>
      </c>
      <c r="D64" s="9" t="str">
        <f ca="1">+WORLDCUP!BD67</f>
        <v>Jordania</v>
      </c>
      <c r="E64" s="9" t="str">
        <f ca="1">+WORLDCUP!BD59</f>
        <v>Bosnia y Herzegovina</v>
      </c>
      <c r="F64" s="9" t="str">
        <f ca="1">+WORLDCUP!BD61</f>
        <v>Turquía</v>
      </c>
      <c r="G64" s="9" t="str">
        <f ca="1">+WORLDCUP!BD65</f>
        <v>España</v>
      </c>
      <c r="H64" s="9" t="str">
        <f ca="1">+WORLDCUP!BD64</f>
        <v>Bélgica</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c r="A65" s="9" t="s">
        <v>850</v>
      </c>
      <c r="B65" s="9">
        <f ca="1">+IF(A65=WORLDCUP!$BI$112,1,0)</f>
        <v>0</v>
      </c>
      <c r="C65" s="9" t="str">
        <f ca="1">+WORLDCUP!BD62</f>
        <v>Ecuador</v>
      </c>
      <c r="D65" s="9" t="str">
        <f ca="1">+WORLDCUP!BD64</f>
        <v>Bélgica</v>
      </c>
      <c r="E65" s="9" t="str">
        <f ca="1">+WORLDCUP!BD59</f>
        <v>Bosnia y Herzegovina</v>
      </c>
      <c r="F65" s="9" t="str">
        <f ca="1">+WORLDCUP!BD61</f>
        <v>Turquía</v>
      </c>
      <c r="G65" s="9" t="str">
        <f ca="1">+WORLDCUP!BD66</f>
        <v>Senegal</v>
      </c>
      <c r="H65" s="9" t="str">
        <f ca="1">+WORLDCUP!BD65</f>
        <v>España</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c r="A66" s="9" t="s">
        <v>851</v>
      </c>
      <c r="B66" s="9">
        <f ca="1">+IF(A66=WORLDCUP!$BI$112,1,0)</f>
        <v>0</v>
      </c>
      <c r="C66" s="9" t="str">
        <f ca="1">+WORLDCUP!BD62</f>
        <v>Ecuador</v>
      </c>
      <c r="D66" s="9" t="str">
        <f ca="1">+WORLDCUP!BD67</f>
        <v>Jordania</v>
      </c>
      <c r="E66" s="9" t="str">
        <f ca="1">+WORLDCUP!BD59</f>
        <v>Bosnia y Herzegovina</v>
      </c>
      <c r="F66" s="9" t="str">
        <f ca="1">+WORLDCUP!BD61</f>
        <v>Turquía</v>
      </c>
      <c r="G66" s="9" t="str">
        <f ca="1">+WORLDCUP!BD65</f>
        <v>España</v>
      </c>
      <c r="H66" s="9" t="str">
        <f ca="1">+WORLDCUP!BD64</f>
        <v>Bélgica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c r="A67" s="9" t="s">
        <v>852</v>
      </c>
      <c r="B67" s="9">
        <f ca="1">+IF(A67=WORLDCUP!$BI$112,1,0)</f>
        <v>0</v>
      </c>
      <c r="C67" s="9" t="str">
        <f ca="1">+WORLDCUP!BD62</f>
        <v>Ecuador</v>
      </c>
      <c r="D67" s="9" t="str">
        <f ca="1">+WORLDCUP!BD67</f>
        <v>Jordania</v>
      </c>
      <c r="E67" s="9" t="str">
        <f ca="1">+WORLDCUP!BD59</f>
        <v>Bosnia y Herzegovina</v>
      </c>
      <c r="F67" s="9" t="str">
        <f ca="1">+WORLDCUP!BD61</f>
        <v>Turquía</v>
      </c>
      <c r="G67" s="9" t="str">
        <f ca="1">+WORLDCUP!BD65</f>
        <v>España</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c r="A68" s="9" t="s">
        <v>853</v>
      </c>
      <c r="B68" s="9">
        <f ca="1">+IF(A68=WORLDCUP!$BI$112,1,0)</f>
        <v>0</v>
      </c>
      <c r="C68" s="9" t="str">
        <f ca="1">+WORLDCUP!BD62</f>
        <v>Ecuador</v>
      </c>
      <c r="D68" s="9" t="str">
        <f ca="1">+WORLDCUP!BD67</f>
        <v>Jordania</v>
      </c>
      <c r="E68" s="9" t="str">
        <f ca="1">+WORLDCUP!BD59</f>
        <v>Bosnia y Herzegovina</v>
      </c>
      <c r="F68" s="9" t="str">
        <f ca="1">+WORLDCUP!BD61</f>
        <v>Turquía</v>
      </c>
      <c r="G68" s="9" t="str">
        <f ca="1">+WORLDCUP!BD66</f>
        <v>Senegal</v>
      </c>
      <c r="H68" s="9" t="str">
        <f ca="1">+WORLDCUP!BD63</f>
        <v>Japón</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c r="A69" s="9" t="s">
        <v>854</v>
      </c>
      <c r="B69" s="9">
        <f ca="1">+IF(A69=WORLDCUP!$BI$112,1,0)</f>
        <v>0</v>
      </c>
      <c r="C69" s="9" t="str">
        <f ca="1">+WORLDCUP!BD62</f>
        <v>Ecuador</v>
      </c>
      <c r="D69" s="9" t="str">
        <f ca="1">+WORLDCUP!BD67</f>
        <v>Jordania</v>
      </c>
      <c r="E69" s="9" t="str">
        <f ca="1">+WORLDCUP!BD59</f>
        <v>Bosnia y Herzegovina</v>
      </c>
      <c r="F69" s="9" t="str">
        <f ca="1">+WORLDCUP!BD61</f>
        <v>Turquía</v>
      </c>
      <c r="G69" s="9" t="str">
        <f ca="1">+WORLDCUP!BD65</f>
        <v>España</v>
      </c>
      <c r="H69" s="9" t="str">
        <f ca="1">+WORLDCUP!BD63</f>
        <v>Japón</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c r="A70" s="9" t="s">
        <v>855</v>
      </c>
      <c r="B70" s="9">
        <f ca="1">+IF(A70=WORLDCUP!$BI$112,1,0)</f>
        <v>0</v>
      </c>
      <c r="C70" s="9" t="str">
        <f ca="1">+WORLDCUP!BD62</f>
        <v>Ecuador</v>
      </c>
      <c r="D70" s="9" t="str">
        <f ca="1">+WORLDCUP!BD66</f>
        <v>Senegal</v>
      </c>
      <c r="E70" s="9" t="str">
        <f ca="1">+WORLDCUP!BD59</f>
        <v>Bosnia y Herzegovina</v>
      </c>
      <c r="F70" s="9" t="str">
        <f ca="1">+WORLDCUP!BD61</f>
        <v>Turquía</v>
      </c>
      <c r="G70" s="9" t="str">
        <f ca="1">+WORLDCUP!BD65</f>
        <v>España</v>
      </c>
      <c r="H70" s="9" t="str">
        <f ca="1">+WORLDCUP!BD63</f>
        <v>Japón</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c r="A71" s="9" t="s">
        <v>856</v>
      </c>
      <c r="B71" s="9">
        <f ca="1">+IF(A71=WORLDCUP!$BI$112,1,0)</f>
        <v>0</v>
      </c>
      <c r="C71" s="9" t="str">
        <f ca="1">+WORLDCUP!BD62</f>
        <v>Ecuador</v>
      </c>
      <c r="D71" s="9" t="str">
        <f ca="1">+WORLDCUP!BD67</f>
        <v>Jordania</v>
      </c>
      <c r="E71" s="9" t="str">
        <f ca="1">+WORLDCUP!BD59</f>
        <v>Bosnia y Herzegovina</v>
      </c>
      <c r="F71" s="9" t="str">
        <f ca="1">+WORLDCUP!BD61</f>
        <v>Turquía</v>
      </c>
      <c r="G71" s="9" t="str">
        <f ca="1">+WORLDCUP!BD65</f>
        <v>España</v>
      </c>
      <c r="H71" s="9" t="str">
        <f ca="1">+WORLDCUP!BD63</f>
        <v>Japón</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c r="A72" s="9" t="s">
        <v>857</v>
      </c>
      <c r="B72" s="9">
        <f ca="1">+IF(A72=WORLDCUP!$BI$112,1,0)</f>
        <v>0</v>
      </c>
      <c r="C72" s="9" t="str">
        <f ca="1">+WORLDCUP!BD62</f>
        <v>Ecuador</v>
      </c>
      <c r="D72" s="9" t="str">
        <f ca="1">+WORLDCUP!BD67</f>
        <v>Jordania</v>
      </c>
      <c r="E72" s="9" t="str">
        <f ca="1">+WORLDCUP!BD59</f>
        <v>Bosnia y Herzegovina</v>
      </c>
      <c r="F72" s="9" t="str">
        <f ca="1">+WORLDCUP!BD61</f>
        <v>Turquía</v>
      </c>
      <c r="G72" s="9" t="str">
        <f ca="1">+WORLDCUP!BD65</f>
        <v>España</v>
      </c>
      <c r="H72" s="9" t="str">
        <f ca="1">+WORLDCUP!BD63</f>
        <v>Japón</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c r="A73" s="9" t="s">
        <v>858</v>
      </c>
      <c r="B73" s="9">
        <f ca="1">+IF(A73=WORLDCUP!$BI$112,1,0)</f>
        <v>0</v>
      </c>
      <c r="C73" s="9" t="str">
        <f ca="1">+WORLDCUP!BD62</f>
        <v>Ecuador</v>
      </c>
      <c r="D73" s="9" t="str">
        <f ca="1">+WORLDCUP!BD64</f>
        <v>Bélgica</v>
      </c>
      <c r="E73" s="9" t="str">
        <f ca="1">+WORLDCUP!BD59</f>
        <v>Bosnia y Herzegovina</v>
      </c>
      <c r="F73" s="9" t="str">
        <f ca="1">+WORLDCUP!BD61</f>
        <v>Turquía</v>
      </c>
      <c r="G73" s="9" t="str">
        <f ca="1">+WORLDCUP!BD67</f>
        <v>Jordania</v>
      </c>
      <c r="H73" s="9" t="str">
        <f ca="1">+WORLDCUP!BD63</f>
        <v>Japón</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c r="A74" s="9" t="s">
        <v>859</v>
      </c>
      <c r="B74" s="9">
        <f ca="1">+IF(A74=WORLDCUP!$BI$112,1,0)</f>
        <v>0</v>
      </c>
      <c r="C74" s="9" t="str">
        <f ca="1">+WORLDCUP!BD62</f>
        <v>Ecuador</v>
      </c>
      <c r="D74" s="9" t="str">
        <f ca="1">+WORLDCUP!BD64</f>
        <v>Bélgica</v>
      </c>
      <c r="E74" s="9" t="str">
        <f ca="1">+WORLDCUP!BD59</f>
        <v>Bosnia y Herzegovina</v>
      </c>
      <c r="F74" s="9" t="str">
        <f ca="1">+WORLDCUP!BD61</f>
        <v>Turquía</v>
      </c>
      <c r="G74" s="9" t="str">
        <f ca="1">+WORLDCUP!BD66</f>
        <v>Senegal</v>
      </c>
      <c r="H74" s="9" t="str">
        <f ca="1">+WORLDCUP!BD63</f>
        <v>Japón</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c r="A75" s="9" t="s">
        <v>860</v>
      </c>
      <c r="B75" s="9">
        <f ca="1">+IF(A75=WORLDCUP!$BI$112,1,0)</f>
        <v>0</v>
      </c>
      <c r="C75" s="9" t="str">
        <f ca="1">+WORLDCUP!BD62</f>
        <v>Ecuador</v>
      </c>
      <c r="D75" s="9" t="str">
        <f ca="1">+WORLDCUP!BD64</f>
        <v>Bélgica</v>
      </c>
      <c r="E75" s="9" t="str">
        <f ca="1">+WORLDCUP!BD59</f>
        <v>Bosnia y Herzegovina</v>
      </c>
      <c r="F75" s="9" t="str">
        <f ca="1">+WORLDCUP!BD61</f>
        <v>Turquía</v>
      </c>
      <c r="G75" s="9" t="str">
        <f ca="1">+WORLDCUP!BD67</f>
        <v>Jordania</v>
      </c>
      <c r="H75" s="9" t="str">
        <f ca="1">+WORLDCUP!BD63</f>
        <v>Japón</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c r="A76" s="9" t="s">
        <v>861</v>
      </c>
      <c r="B76" s="9">
        <f ca="1">+IF(A76=WORLDCUP!$BI$112,1,0)</f>
        <v>0</v>
      </c>
      <c r="C76" s="9" t="str">
        <f ca="1">+WORLDCUP!BD62</f>
        <v>Ecuador</v>
      </c>
      <c r="D76" s="9" t="str">
        <f ca="1">+WORLDCUP!BD64</f>
        <v>Bélgica</v>
      </c>
      <c r="E76" s="9" t="str">
        <f ca="1">+WORLDCUP!BD59</f>
        <v>Bosnia y Herzegovina</v>
      </c>
      <c r="F76" s="9" t="str">
        <f ca="1">+WORLDCUP!BD61</f>
        <v>Turquía</v>
      </c>
      <c r="G76" s="9" t="str">
        <f ca="1">+WORLDCUP!BD67</f>
        <v>Jordania</v>
      </c>
      <c r="H76" s="9" t="str">
        <f ca="1">+WORLDCUP!BD63</f>
        <v>Japón</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c r="A77" s="9" t="s">
        <v>862</v>
      </c>
      <c r="B77" s="9">
        <f ca="1">+IF(A77=WORLDCUP!$BI$112,1,0)</f>
        <v>0</v>
      </c>
      <c r="C77" s="9" t="str">
        <f ca="1">+WORLDCUP!BD62</f>
        <v>Ecuador</v>
      </c>
      <c r="D77" s="9" t="str">
        <f ca="1">+WORLDCUP!BD64</f>
        <v>Bélgica</v>
      </c>
      <c r="E77" s="9" t="str">
        <f ca="1">+WORLDCUP!BD59</f>
        <v>Bosnia y Herzegovina</v>
      </c>
      <c r="F77" s="9" t="str">
        <f ca="1">+WORLDCUP!BD61</f>
        <v>Turquía</v>
      </c>
      <c r="G77" s="9" t="str">
        <f ca="1">+WORLDCUP!BD65</f>
        <v>España</v>
      </c>
      <c r="H77" s="9" t="str">
        <f ca="1">+WORLDCUP!BD63</f>
        <v>Japón</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c r="A78" s="9" t="s">
        <v>863</v>
      </c>
      <c r="B78" s="9">
        <f ca="1">+IF(A78=WORLDCUP!$BI$112,1,0)</f>
        <v>0</v>
      </c>
      <c r="C78" s="9" t="str">
        <f ca="1">+WORLDCUP!BD65</f>
        <v>España</v>
      </c>
      <c r="D78" s="9" t="str">
        <f ca="1">+WORLDCUP!BD64</f>
        <v>Bélgica</v>
      </c>
      <c r="E78" s="9" t="str">
        <f ca="1">+WORLDCUP!BD59</f>
        <v>Bosnia y Herzegovina</v>
      </c>
      <c r="F78" s="9" t="str">
        <f ca="1">+WORLDCUP!BD61</f>
        <v>Turquía</v>
      </c>
      <c r="G78" s="9" t="str">
        <f ca="1">+WORLDCUP!BD67</f>
        <v>Jordania</v>
      </c>
      <c r="H78" s="9" t="str">
        <f ca="1">+WORLDCUP!BD63</f>
        <v>Japón</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c r="A79" s="9" t="s">
        <v>864</v>
      </c>
      <c r="B79" s="9">
        <f ca="1">+IF(A79=WORLDCUP!$BI$112,1,0)</f>
        <v>0</v>
      </c>
      <c r="C79" s="9" t="str">
        <f ca="1">+WORLDCUP!BD65</f>
        <v>España</v>
      </c>
      <c r="D79" s="9" t="str">
        <f ca="1">+WORLDCUP!BD64</f>
        <v>Bélgica</v>
      </c>
      <c r="E79" s="9" t="str">
        <f ca="1">+WORLDCUP!BD59</f>
        <v>Bosnia y Herzegovina</v>
      </c>
      <c r="F79" s="9" t="str">
        <f ca="1">+WORLDCUP!BD61</f>
        <v>Turquía</v>
      </c>
      <c r="G79" s="9" t="str">
        <f ca="1">+WORLDCUP!BD67</f>
        <v>Jordania</v>
      </c>
      <c r="H79" s="9" t="str">
        <f ca="1">+WORLDCUP!BD63</f>
        <v>Japón</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c r="A80" s="9" t="s">
        <v>865</v>
      </c>
      <c r="B80" s="9">
        <f ca="1">+IF(A80=WORLDCUP!$BI$112,1,0)</f>
        <v>0</v>
      </c>
      <c r="C80" s="9" t="str">
        <f ca="1">+WORLDCUP!BD62</f>
        <v>Ecuador</v>
      </c>
      <c r="D80" s="9" t="str">
        <f ca="1">+WORLDCUP!BD64</f>
        <v>Bélgica</v>
      </c>
      <c r="E80" s="9" t="str">
        <f ca="1">+WORLDCUP!BD59</f>
        <v>Bosnia y Herzegovina</v>
      </c>
      <c r="F80" s="9" t="str">
        <f ca="1">+WORLDCUP!BD61</f>
        <v>Turquía</v>
      </c>
      <c r="G80" s="9" t="str">
        <f ca="1">+WORLDCUP!BD65</f>
        <v>España</v>
      </c>
      <c r="H80" s="9" t="str">
        <f ca="1">+WORLDCUP!BD63</f>
        <v>Japón</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c r="A81" s="9" t="s">
        <v>866</v>
      </c>
      <c r="B81" s="9">
        <f ca="1">+IF(A81=WORLDCUP!$BI$112,1,0)</f>
        <v>0</v>
      </c>
      <c r="C81" s="9" t="str">
        <f ca="1">+WORLDCUP!BD62</f>
        <v>Ecuador</v>
      </c>
      <c r="D81" s="9" t="str">
        <f ca="1">+WORLDCUP!BD64</f>
        <v>Bélgica</v>
      </c>
      <c r="E81" s="9" t="str">
        <f ca="1">+WORLDCUP!BD59</f>
        <v>Bosnia y Herzegovina</v>
      </c>
      <c r="F81" s="9" t="str">
        <f ca="1">+WORLDCUP!BD61</f>
        <v>Turquía</v>
      </c>
      <c r="G81" s="9" t="str">
        <f ca="1">+WORLDCUP!BD65</f>
        <v>España</v>
      </c>
      <c r="H81" s="9" t="str">
        <f ca="1">+WORLDCUP!BD63</f>
        <v>Japón</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c r="A82" s="9" t="s">
        <v>867</v>
      </c>
      <c r="B82" s="9">
        <f ca="1">+IF(A82=WORLDCUP!$BI$112,1,0)</f>
        <v>0</v>
      </c>
      <c r="C82" s="9" t="str">
        <f ca="1">+WORLDCUP!BD65</f>
        <v>España</v>
      </c>
      <c r="D82" s="9" t="str">
        <f ca="1">+WORLDCUP!BD64</f>
        <v>Bélgica</v>
      </c>
      <c r="E82" s="9" t="str">
        <f ca="1">+WORLDCUP!BD59</f>
        <v>Bosnia y Herzegovina</v>
      </c>
      <c r="F82" s="9" t="str">
        <f ca="1">+WORLDCUP!BD61</f>
        <v>Turquía</v>
      </c>
      <c r="G82" s="9" t="str">
        <f ca="1">+WORLDCUP!BD67</f>
        <v>Jordania</v>
      </c>
      <c r="H82" s="9" t="str">
        <f ca="1">+WORLDCUP!BD63</f>
        <v>Japón</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c r="A83" s="9" t="s">
        <v>868</v>
      </c>
      <c r="B83" s="9">
        <f ca="1">+IF(A83=WORLDCUP!$BI$112,1,0)</f>
        <v>0</v>
      </c>
      <c r="C83" s="9" t="str">
        <f ca="1">+WORLDCUP!BD65</f>
        <v>España</v>
      </c>
      <c r="D83" s="9" t="str">
        <f ca="1">+WORLDCUP!BD67</f>
        <v>Jordania</v>
      </c>
      <c r="E83" s="9" t="str">
        <f ca="1">+WORLDCUP!BD59</f>
        <v>Bosnia y Herzegovina</v>
      </c>
      <c r="F83" s="9" t="str">
        <f ca="1">+WORLDCUP!BD60</f>
        <v>Marruecos</v>
      </c>
      <c r="G83" s="9" t="str">
        <f ca="1">+WORLDCUP!BD66</f>
        <v>Senegal</v>
      </c>
      <c r="H83" s="9" t="str">
        <f ca="1">+WORLDCUP!BD64</f>
        <v>Bélgica</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c r="A84" s="9" t="s">
        <v>869</v>
      </c>
      <c r="B84" s="9">
        <f ca="1">+IF(A84=WORLDCUP!$BI$112,1,0)</f>
        <v>0</v>
      </c>
      <c r="C84" s="9" t="str">
        <f ca="1">+WORLDCUP!BD65</f>
        <v>España</v>
      </c>
      <c r="D84" s="9" t="str">
        <f ca="1">+WORLDCUP!BD67</f>
        <v>Jordania</v>
      </c>
      <c r="E84" s="9" t="str">
        <f ca="1">+WORLDCUP!BD59</f>
        <v>Bosnia y Herzegovina</v>
      </c>
      <c r="F84" s="9" t="str">
        <f ca="1">+WORLDCUP!BD60</f>
        <v>Marruecos</v>
      </c>
      <c r="G84" s="9" t="str">
        <f ca="1">+WORLDCUP!BD66</f>
        <v>Senegal</v>
      </c>
      <c r="H84" s="9" t="str">
        <f ca="1">+WORLDCUP!BD63</f>
        <v>Japón</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c r="A85" s="9" t="s">
        <v>870</v>
      </c>
      <c r="B85" s="9">
        <f ca="1">+IF(A85=WORLDCUP!$BI$112,1,0)</f>
        <v>0</v>
      </c>
      <c r="C85" s="9" t="str">
        <f ca="1">+WORLDCUP!BD66</f>
        <v>Senegal</v>
      </c>
      <c r="D85" s="9" t="str">
        <f ca="1">+WORLDCUP!BD64</f>
        <v>Bélgica</v>
      </c>
      <c r="E85" s="9" t="str">
        <f ca="1">+WORLDCUP!BD59</f>
        <v>Bosnia y Herzegovina</v>
      </c>
      <c r="F85" s="9" t="str">
        <f ca="1">+WORLDCUP!BD60</f>
        <v>Marruecos</v>
      </c>
      <c r="G85" s="9" t="str">
        <f ca="1">+WORLDCUP!BD67</f>
        <v>Jordania</v>
      </c>
      <c r="H85" s="9" t="str">
        <f ca="1">+WORLDCUP!BD63</f>
        <v>Japón</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c r="A86" s="9" t="s">
        <v>871</v>
      </c>
      <c r="B86" s="9">
        <f ca="1">+IF(A86=WORLDCUP!$BI$112,1,0)</f>
        <v>0</v>
      </c>
      <c r="C86" s="9" t="str">
        <f ca="1">+WORLDCUP!BD65</f>
        <v>España</v>
      </c>
      <c r="D86" s="9" t="str">
        <f ca="1">+WORLDCUP!BD64</f>
        <v>Bélgica</v>
      </c>
      <c r="E86" s="9" t="str">
        <f ca="1">+WORLDCUP!BD59</f>
        <v>Bosnia y Herzegovina</v>
      </c>
      <c r="F86" s="9" t="str">
        <f ca="1">+WORLDCUP!BD60</f>
        <v>Marruecos</v>
      </c>
      <c r="G86" s="9" t="str">
        <f ca="1">+WORLDCUP!BD67</f>
        <v>Jordania</v>
      </c>
      <c r="H86" s="9" t="str">
        <f ca="1">+WORLDCUP!BD63</f>
        <v>Japón</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c r="A87" s="9" t="s">
        <v>872</v>
      </c>
      <c r="B87" s="9">
        <f ca="1">+IF(A87=WORLDCUP!$BI$112,1,0)</f>
        <v>0</v>
      </c>
      <c r="C87" s="9" t="str">
        <f ca="1">+WORLDCUP!BD65</f>
        <v>España</v>
      </c>
      <c r="D87" s="9" t="str">
        <f ca="1">+WORLDCUP!BD64</f>
        <v>Bélgica</v>
      </c>
      <c r="E87" s="9" t="str">
        <f ca="1">+WORLDCUP!BD59</f>
        <v>Bosnia y Herzegovina</v>
      </c>
      <c r="F87" s="9" t="str">
        <f ca="1">+WORLDCUP!BD60</f>
        <v>Marruecos</v>
      </c>
      <c r="G87" s="9" t="str">
        <f ca="1">+WORLDCUP!BD66</f>
        <v>Senegal</v>
      </c>
      <c r="H87" s="9" t="str">
        <f ca="1">+WORLDCUP!BD63</f>
        <v>Japón</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c r="A88" s="9" t="s">
        <v>873</v>
      </c>
      <c r="B88" s="9">
        <f ca="1">+IF(A88=WORLDCUP!$BI$112,1,0)</f>
        <v>0</v>
      </c>
      <c r="C88" s="9" t="str">
        <f ca="1">+WORLDCUP!BD65</f>
        <v>España</v>
      </c>
      <c r="D88" s="9" t="str">
        <f ca="1">+WORLDCUP!BD64</f>
        <v>Bélgica</v>
      </c>
      <c r="E88" s="9" t="str">
        <f ca="1">+WORLDCUP!BD59</f>
        <v>Bosnia y Herzegovina</v>
      </c>
      <c r="F88" s="9" t="str">
        <f ca="1">+WORLDCUP!BD60</f>
        <v>Marruecos</v>
      </c>
      <c r="G88" s="9" t="str">
        <f ca="1">+WORLDCUP!BD67</f>
        <v>Jordania</v>
      </c>
      <c r="H88" s="9" t="str">
        <f ca="1">+WORLDCUP!BD63</f>
        <v>Japón</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c r="A89" s="9" t="s">
        <v>874</v>
      </c>
      <c r="B89" s="9">
        <f ca="1">+IF(A89=WORLDCUP!$BI$112,1,0)</f>
        <v>0</v>
      </c>
      <c r="C89" s="9" t="str">
        <f ca="1">+WORLDCUP!BD65</f>
        <v>España</v>
      </c>
      <c r="D89" s="9" t="str">
        <f ca="1">+WORLDCUP!BD64</f>
        <v>Bélgica</v>
      </c>
      <c r="E89" s="9" t="str">
        <f ca="1">+WORLDCUP!BD59</f>
        <v>Bosnia y Herzegovina</v>
      </c>
      <c r="F89" s="9" t="str">
        <f ca="1">+WORLDCUP!BD60</f>
        <v>Marruecos</v>
      </c>
      <c r="G89" s="9" t="str">
        <f ca="1">+WORLDCUP!BD67</f>
        <v>Jordania</v>
      </c>
      <c r="H89" s="9" t="str">
        <f ca="1">+WORLDCUP!BD63</f>
        <v>Japón</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c r="A90" s="9" t="s">
        <v>875</v>
      </c>
      <c r="B90" s="9">
        <f ca="1">+IF(A90=WORLDCUP!$BI$112,1,0)</f>
        <v>0</v>
      </c>
      <c r="C90" s="9" t="str">
        <f ca="1">+WORLDCUP!BD62</f>
        <v>Ecuador</v>
      </c>
      <c r="D90" s="9" t="str">
        <f ca="1">+WORLDCUP!BD67</f>
        <v>Jordania</v>
      </c>
      <c r="E90" s="9" t="str">
        <f ca="1">+WORLDCUP!BD59</f>
        <v>Bosnia y Herzegovina</v>
      </c>
      <c r="F90" s="9" t="str">
        <f ca="1">+WORLDCUP!BD60</f>
        <v>Marruecos</v>
      </c>
      <c r="G90" s="9" t="str">
        <f ca="1">+WORLDCUP!BD66</f>
        <v>Senegal</v>
      </c>
      <c r="H90" s="9" t="str">
        <f ca="1">+WORLDCUP!BD65</f>
        <v>España</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c r="A91" s="9" t="s">
        <v>876</v>
      </c>
      <c r="B91" s="9">
        <f ca="1">+IF(A91=WORLDCUP!$BI$112,1,0)</f>
        <v>0</v>
      </c>
      <c r="C91" s="9" t="str">
        <f ca="1">+WORLDCUP!BD62</f>
        <v>Ecuador</v>
      </c>
      <c r="D91" s="9" t="str">
        <f ca="1">+WORLDCUP!BD67</f>
        <v>Jordania</v>
      </c>
      <c r="E91" s="9" t="str">
        <f ca="1">+WORLDCUP!BD59</f>
        <v>Bosnia y Herzegovina</v>
      </c>
      <c r="F91" s="9" t="str">
        <f ca="1">+WORLDCUP!BD60</f>
        <v>Marruecos</v>
      </c>
      <c r="G91" s="9" t="str">
        <f ca="1">+WORLDCUP!BD66</f>
        <v>Senegal</v>
      </c>
      <c r="H91" s="9" t="str">
        <f ca="1">+WORLDCUP!BD64</f>
        <v>Bélgica</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c r="A92" s="9" t="s">
        <v>877</v>
      </c>
      <c r="B92" s="9">
        <f ca="1">+IF(A92=WORLDCUP!$BI$112,1,0)</f>
        <v>0</v>
      </c>
      <c r="C92" s="9" t="str">
        <f ca="1">+WORLDCUP!BD62</f>
        <v>Ecuador</v>
      </c>
      <c r="D92" s="9" t="str">
        <f ca="1">+WORLDCUP!BD67</f>
        <v>Jordania</v>
      </c>
      <c r="E92" s="9" t="str">
        <f ca="1">+WORLDCUP!BD59</f>
        <v>Bosnia y Herzegovina</v>
      </c>
      <c r="F92" s="9" t="str">
        <f ca="1">+WORLDCUP!BD60</f>
        <v>Marruecos</v>
      </c>
      <c r="G92" s="9" t="str">
        <f ca="1">+WORLDCUP!BD65</f>
        <v>España</v>
      </c>
      <c r="H92" s="9" t="str">
        <f ca="1">+WORLDCUP!BD64</f>
        <v>Bélgica</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c r="A93" s="9" t="s">
        <v>878</v>
      </c>
      <c r="B93" s="9">
        <f ca="1">+IF(A93=WORLDCUP!$BI$112,1,0)</f>
        <v>0</v>
      </c>
      <c r="C93" s="9" t="str">
        <f ca="1">+WORLDCUP!BD62</f>
        <v>Ecuador</v>
      </c>
      <c r="D93" s="9" t="str">
        <f ca="1">+WORLDCUP!BD64</f>
        <v>Bélgica</v>
      </c>
      <c r="E93" s="9" t="str">
        <f ca="1">+WORLDCUP!BD59</f>
        <v>Bosnia y Herzegovina</v>
      </c>
      <c r="F93" s="9" t="str">
        <f ca="1">+WORLDCUP!BD60</f>
        <v>Marruecos</v>
      </c>
      <c r="G93" s="9" t="str">
        <f ca="1">+WORLDCUP!BD66</f>
        <v>Senegal</v>
      </c>
      <c r="H93" s="9" t="str">
        <f ca="1">+WORLDCUP!BD65</f>
        <v>España</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c r="A94" s="9" t="s">
        <v>879</v>
      </c>
      <c r="B94" s="9">
        <f ca="1">+IF(A94=WORLDCUP!$BI$112,1,0)</f>
        <v>0</v>
      </c>
      <c r="C94" s="9" t="str">
        <f ca="1">+WORLDCUP!BD62</f>
        <v>Ecuador</v>
      </c>
      <c r="D94" s="9" t="str">
        <f ca="1">+WORLDCUP!BD67</f>
        <v>Jordania</v>
      </c>
      <c r="E94" s="9" t="str">
        <f ca="1">+WORLDCUP!BD59</f>
        <v>Bosnia y Herzegovina</v>
      </c>
      <c r="F94" s="9" t="str">
        <f ca="1">+WORLDCUP!BD60</f>
        <v>Marruecos</v>
      </c>
      <c r="G94" s="9" t="str">
        <f ca="1">+WORLDCUP!BD65</f>
        <v>España</v>
      </c>
      <c r="H94" s="9" t="str">
        <f ca="1">+WORLDCUP!BD64</f>
        <v>Bélgica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c r="A95" s="9" t="s">
        <v>880</v>
      </c>
      <c r="B95" s="9">
        <f ca="1">+IF(A95=WORLDCUP!$BI$112,1,0)</f>
        <v>0</v>
      </c>
      <c r="C95" s="9" t="str">
        <f ca="1">+WORLDCUP!BD62</f>
        <v>Ecuador</v>
      </c>
      <c r="D95" s="9" t="str">
        <f ca="1">+WORLDCUP!BD67</f>
        <v>Jordania</v>
      </c>
      <c r="E95" s="9" t="str">
        <f ca="1">+WORLDCUP!BD59</f>
        <v>Bosnia y Herzegovina</v>
      </c>
      <c r="F95" s="9" t="str">
        <f ca="1">+WORLDCUP!BD60</f>
        <v>Marruecos</v>
      </c>
      <c r="G95" s="9" t="str">
        <f ca="1">+WORLDCUP!BD65</f>
        <v>España</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c r="A96" s="9" t="s">
        <v>881</v>
      </c>
      <c r="B96" s="9">
        <f ca="1">+IF(A96=WORLDCUP!$BI$112,1,0)</f>
        <v>0</v>
      </c>
      <c r="C96" s="9" t="str">
        <f ca="1">+WORLDCUP!BD62</f>
        <v>Ecuador</v>
      </c>
      <c r="D96" s="9" t="str">
        <f ca="1">+WORLDCUP!BD67</f>
        <v>Jordania</v>
      </c>
      <c r="E96" s="9" t="str">
        <f ca="1">+WORLDCUP!BD59</f>
        <v>Bosnia y Herzegovina</v>
      </c>
      <c r="F96" s="9" t="str">
        <f ca="1">+WORLDCUP!BD60</f>
        <v>Marruecos</v>
      </c>
      <c r="G96" s="9" t="str">
        <f ca="1">+WORLDCUP!BD66</f>
        <v>Senegal</v>
      </c>
      <c r="H96" s="9" t="str">
        <f ca="1">+WORLDCUP!BD63</f>
        <v>Japón</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c r="A97" s="9" t="s">
        <v>882</v>
      </c>
      <c r="B97" s="9">
        <f ca="1">+IF(A97=WORLDCUP!$BI$112,1,0)</f>
        <v>0</v>
      </c>
      <c r="C97" s="9" t="str">
        <f ca="1">+WORLDCUP!BD62</f>
        <v>Ecuador</v>
      </c>
      <c r="D97" s="9" t="str">
        <f ca="1">+WORLDCUP!BD67</f>
        <v>Jordania</v>
      </c>
      <c r="E97" s="9" t="str">
        <f ca="1">+WORLDCUP!BD59</f>
        <v>Bosnia y Herzegovina</v>
      </c>
      <c r="F97" s="9" t="str">
        <f ca="1">+WORLDCUP!BD60</f>
        <v>Marruecos</v>
      </c>
      <c r="G97" s="9" t="str">
        <f ca="1">+WORLDCUP!BD65</f>
        <v>España</v>
      </c>
      <c r="H97" s="9" t="str">
        <f ca="1">+WORLDCUP!BD63</f>
        <v>Japón</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c r="A98" s="9" t="s">
        <v>883</v>
      </c>
      <c r="B98" s="9">
        <f ca="1">+IF(A98=WORLDCUP!$BI$112,1,0)</f>
        <v>0</v>
      </c>
      <c r="C98" s="9" t="str">
        <f ca="1">+WORLDCUP!BD62</f>
        <v>Ecuador</v>
      </c>
      <c r="D98" s="9" t="str">
        <f ca="1">+WORLDCUP!BD66</f>
        <v>Senegal</v>
      </c>
      <c r="E98" s="9" t="str">
        <f ca="1">+WORLDCUP!BD59</f>
        <v>Bosnia y Herzegovina</v>
      </c>
      <c r="F98" s="9" t="str">
        <f ca="1">+WORLDCUP!BD60</f>
        <v>Marruecos</v>
      </c>
      <c r="G98" s="9" t="str">
        <f ca="1">+WORLDCUP!BD65</f>
        <v>España</v>
      </c>
      <c r="H98" s="9" t="str">
        <f ca="1">+WORLDCUP!BD63</f>
        <v>Japón</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c r="A99" s="9" t="s">
        <v>884</v>
      </c>
      <c r="B99" s="9">
        <f ca="1">+IF(A99=WORLDCUP!$BI$112,1,0)</f>
        <v>0</v>
      </c>
      <c r="C99" s="9" t="str">
        <f ca="1">+WORLDCUP!BD62</f>
        <v>Ecuador</v>
      </c>
      <c r="D99" s="9" t="str">
        <f ca="1">+WORLDCUP!BD67</f>
        <v>Jordania</v>
      </c>
      <c r="E99" s="9" t="str">
        <f ca="1">+WORLDCUP!BD59</f>
        <v>Bosnia y Herzegovina</v>
      </c>
      <c r="F99" s="9" t="str">
        <f ca="1">+WORLDCUP!BD60</f>
        <v>Marruecos</v>
      </c>
      <c r="G99" s="9" t="str">
        <f ca="1">+WORLDCUP!BD65</f>
        <v>España</v>
      </c>
      <c r="H99" s="9" t="str">
        <f ca="1">+WORLDCUP!BD63</f>
        <v>Japón</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c r="A100" s="9" t="s">
        <v>885</v>
      </c>
      <c r="B100" s="9">
        <f ca="1">+IF(A100=WORLDCUP!$BI$112,1,0)</f>
        <v>0</v>
      </c>
      <c r="C100" s="9" t="str">
        <f ca="1">+WORLDCUP!BD62</f>
        <v>Ecuador</v>
      </c>
      <c r="D100" s="9" t="str">
        <f ca="1">+WORLDCUP!BD67</f>
        <v>Jordania</v>
      </c>
      <c r="E100" s="9" t="str">
        <f ca="1">+WORLDCUP!BD59</f>
        <v>Bosnia y Herzegovina</v>
      </c>
      <c r="F100" s="9" t="str">
        <f ca="1">+WORLDCUP!BD60</f>
        <v>Marruecos</v>
      </c>
      <c r="G100" s="9" t="str">
        <f ca="1">+WORLDCUP!BD65</f>
        <v>España</v>
      </c>
      <c r="H100" s="9" t="str">
        <f ca="1">+WORLDCUP!BD63</f>
        <v>Japón</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c r="A101" s="9" t="s">
        <v>886</v>
      </c>
      <c r="B101" s="9">
        <f ca="1">+IF(A101=WORLDCUP!$BI$112,1,0)</f>
        <v>0</v>
      </c>
      <c r="C101" s="9" t="str">
        <f ca="1">+WORLDCUP!BD62</f>
        <v>Ecuador</v>
      </c>
      <c r="D101" s="9" t="str">
        <f ca="1">+WORLDCUP!BD64</f>
        <v>Bélgica</v>
      </c>
      <c r="E101" s="9" t="str">
        <f ca="1">+WORLDCUP!BD59</f>
        <v>Bosnia y Herzegovina</v>
      </c>
      <c r="F101" s="9" t="str">
        <f ca="1">+WORLDCUP!BD60</f>
        <v>Marruecos</v>
      </c>
      <c r="G101" s="9" t="str">
        <f ca="1">+WORLDCUP!BD67</f>
        <v>Jordania</v>
      </c>
      <c r="H101" s="9" t="str">
        <f ca="1">+WORLDCUP!BD63</f>
        <v>Japón</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c r="A102" s="9" t="s">
        <v>887</v>
      </c>
      <c r="B102" s="9">
        <f ca="1">+IF(A102=WORLDCUP!$BI$112,1,0)</f>
        <v>0</v>
      </c>
      <c r="C102" s="9" t="str">
        <f ca="1">+WORLDCUP!BD62</f>
        <v>Ecuador</v>
      </c>
      <c r="D102" s="9" t="str">
        <f ca="1">+WORLDCUP!BD64</f>
        <v>Bélgica</v>
      </c>
      <c r="E102" s="9" t="str">
        <f ca="1">+WORLDCUP!BD59</f>
        <v>Bosnia y Herzegovina</v>
      </c>
      <c r="F102" s="9" t="str">
        <f ca="1">+WORLDCUP!BD60</f>
        <v>Marruecos</v>
      </c>
      <c r="G102" s="9" t="str">
        <f ca="1">+WORLDCUP!BD66</f>
        <v>Senegal</v>
      </c>
      <c r="H102" s="9" t="str">
        <f ca="1">+WORLDCUP!BD63</f>
        <v>Japón</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c r="A103" s="9" t="s">
        <v>888</v>
      </c>
      <c r="B103" s="9">
        <f ca="1">+IF(A103=WORLDCUP!$BI$112,1,0)</f>
        <v>0</v>
      </c>
      <c r="C103" s="9" t="str">
        <f ca="1">+WORLDCUP!BD62</f>
        <v>Ecuador</v>
      </c>
      <c r="D103" s="9" t="str">
        <f ca="1">+WORLDCUP!BD64</f>
        <v>Bélgica</v>
      </c>
      <c r="E103" s="9" t="str">
        <f ca="1">+WORLDCUP!BD59</f>
        <v>Bosnia y Herzegovina</v>
      </c>
      <c r="F103" s="9" t="str">
        <f ca="1">+WORLDCUP!BD60</f>
        <v>Marruecos</v>
      </c>
      <c r="G103" s="9" t="str">
        <f ca="1">+WORLDCUP!BD67</f>
        <v>Jordania</v>
      </c>
      <c r="H103" s="9" t="str">
        <f ca="1">+WORLDCUP!BD63</f>
        <v>Japón</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c r="A104" s="9" t="s">
        <v>889</v>
      </c>
      <c r="B104" s="9">
        <f ca="1">+IF(A104=WORLDCUP!$BI$112,1,0)</f>
        <v>0</v>
      </c>
      <c r="C104" s="9" t="str">
        <f ca="1">+WORLDCUP!BD62</f>
        <v>Ecuador</v>
      </c>
      <c r="D104" s="9" t="str">
        <f ca="1">+WORLDCUP!BD64</f>
        <v>Bélgica</v>
      </c>
      <c r="E104" s="9" t="str">
        <f ca="1">+WORLDCUP!BD59</f>
        <v>Bosnia y Herzegovina</v>
      </c>
      <c r="F104" s="9" t="str">
        <f ca="1">+WORLDCUP!BD60</f>
        <v>Marruecos</v>
      </c>
      <c r="G104" s="9" t="str">
        <f ca="1">+WORLDCUP!BD67</f>
        <v>Jordania</v>
      </c>
      <c r="H104" s="9" t="str">
        <f ca="1">+WORLDCUP!BD63</f>
        <v>Japón</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c r="A105" s="9" t="s">
        <v>890</v>
      </c>
      <c r="B105" s="9">
        <f ca="1">+IF(A105=WORLDCUP!$BI$112,1,0)</f>
        <v>0</v>
      </c>
      <c r="C105" s="9" t="str">
        <f ca="1">+WORLDCUP!BD62</f>
        <v>Ecuador</v>
      </c>
      <c r="D105" s="9" t="str">
        <f ca="1">+WORLDCUP!BD64</f>
        <v>Bélgica</v>
      </c>
      <c r="E105" s="9" t="str">
        <f ca="1">+WORLDCUP!BD59</f>
        <v>Bosnia y Herzegovina</v>
      </c>
      <c r="F105" s="9" t="str">
        <f ca="1">+WORLDCUP!BD60</f>
        <v>Marruecos</v>
      </c>
      <c r="G105" s="9" t="str">
        <f ca="1">+WORLDCUP!BD65</f>
        <v>España</v>
      </c>
      <c r="H105" s="9" t="str">
        <f ca="1">+WORLDCUP!BD63</f>
        <v>Japón</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c r="A106" s="9" t="s">
        <v>891</v>
      </c>
      <c r="B106" s="9">
        <f ca="1">+IF(A106=WORLDCUP!$BI$112,1,0)</f>
        <v>0</v>
      </c>
      <c r="C106" s="9" t="str">
        <f ca="1">+WORLDCUP!BD65</f>
        <v>España</v>
      </c>
      <c r="D106" s="9" t="str">
        <f ca="1">+WORLDCUP!BD64</f>
        <v>Bélgica</v>
      </c>
      <c r="E106" s="9" t="str">
        <f ca="1">+WORLDCUP!BD59</f>
        <v>Bosnia y Herzegovina</v>
      </c>
      <c r="F106" s="9" t="str">
        <f ca="1">+WORLDCUP!BD60</f>
        <v>Marruecos</v>
      </c>
      <c r="G106" s="9" t="str">
        <f ca="1">+WORLDCUP!BD67</f>
        <v>Jordania</v>
      </c>
      <c r="H106" s="9" t="str">
        <f ca="1">+WORLDCUP!BD63</f>
        <v>Japón</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c r="A107" s="9" t="s">
        <v>892</v>
      </c>
      <c r="B107" s="9">
        <f ca="1">+IF(A107=WORLDCUP!$BI$112,1,0)</f>
        <v>0</v>
      </c>
      <c r="C107" s="9" t="str">
        <f ca="1">+WORLDCUP!BD65</f>
        <v>España</v>
      </c>
      <c r="D107" s="9" t="str">
        <f ca="1">+WORLDCUP!BD64</f>
        <v>Bélgica</v>
      </c>
      <c r="E107" s="9" t="str">
        <f ca="1">+WORLDCUP!BD59</f>
        <v>Bosnia y Herzegovina</v>
      </c>
      <c r="F107" s="9" t="str">
        <f ca="1">+WORLDCUP!BD60</f>
        <v>Marruecos</v>
      </c>
      <c r="G107" s="9" t="str">
        <f ca="1">+WORLDCUP!BD67</f>
        <v>Jordania</v>
      </c>
      <c r="H107" s="9" t="str">
        <f ca="1">+WORLDCUP!BD63</f>
        <v>Japón</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c r="A108" s="9" t="s">
        <v>893</v>
      </c>
      <c r="B108" s="9">
        <f ca="1">+IF(A108=WORLDCUP!$BI$112,1,0)</f>
        <v>0</v>
      </c>
      <c r="C108" s="9" t="str">
        <f ca="1">+WORLDCUP!BD62</f>
        <v>Ecuador</v>
      </c>
      <c r="D108" s="9" t="str">
        <f ca="1">+WORLDCUP!BD64</f>
        <v>Bélgica</v>
      </c>
      <c r="E108" s="9" t="str">
        <f ca="1">+WORLDCUP!BD59</f>
        <v>Bosnia y Herzegovina</v>
      </c>
      <c r="F108" s="9" t="str">
        <f ca="1">+WORLDCUP!BD60</f>
        <v>Marruecos</v>
      </c>
      <c r="G108" s="9" t="str">
        <f ca="1">+WORLDCUP!BD65</f>
        <v>España</v>
      </c>
      <c r="H108" s="9" t="str">
        <f ca="1">+WORLDCUP!BD63</f>
        <v>Japón</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c r="A109" s="9" t="s">
        <v>894</v>
      </c>
      <c r="B109" s="9">
        <f ca="1">+IF(A109=WORLDCUP!$BI$112,1,0)</f>
        <v>0</v>
      </c>
      <c r="C109" s="9" t="str">
        <f ca="1">+WORLDCUP!BD62</f>
        <v>Ecuador</v>
      </c>
      <c r="D109" s="9" t="str">
        <f ca="1">+WORLDCUP!BD64</f>
        <v>Bélgica</v>
      </c>
      <c r="E109" s="9" t="str">
        <f ca="1">+WORLDCUP!BD59</f>
        <v>Bosnia y Herzegovina</v>
      </c>
      <c r="F109" s="9" t="str">
        <f ca="1">+WORLDCUP!BD60</f>
        <v>Marruecos</v>
      </c>
      <c r="G109" s="9" t="str">
        <f ca="1">+WORLDCUP!BD65</f>
        <v>España</v>
      </c>
      <c r="H109" s="9" t="str">
        <f ca="1">+WORLDCUP!BD63</f>
        <v>Japón</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c r="A110" s="9" t="s">
        <v>895</v>
      </c>
      <c r="B110" s="9">
        <f ca="1">+IF(A110=WORLDCUP!$BI$112,1,0)</f>
        <v>0</v>
      </c>
      <c r="C110" s="9" t="str">
        <f ca="1">+WORLDCUP!BD65</f>
        <v>España</v>
      </c>
      <c r="D110" s="9" t="str">
        <f ca="1">+WORLDCUP!BD64</f>
        <v>Bélgica</v>
      </c>
      <c r="E110" s="9" t="str">
        <f ca="1">+WORLDCUP!BD59</f>
        <v>Bosnia y Herzegovina</v>
      </c>
      <c r="F110" s="9" t="str">
        <f ca="1">+WORLDCUP!BD60</f>
        <v>Marruecos</v>
      </c>
      <c r="G110" s="9" t="str">
        <f ca="1">+WORLDCUP!BD67</f>
        <v>Jordania</v>
      </c>
      <c r="H110" s="9" t="str">
        <f ca="1">+WORLDCUP!BD63</f>
        <v>Japón</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c r="A111" s="9" t="s">
        <v>896</v>
      </c>
      <c r="B111" s="9">
        <f ca="1">+IF(A111=WORLDCUP!$BI$112,1,0)</f>
        <v>0</v>
      </c>
      <c r="C111" s="9" t="str">
        <f ca="1">+WORLDCUP!BD65</f>
        <v>España</v>
      </c>
      <c r="D111" s="9" t="str">
        <f ca="1">+WORLDCUP!BD67</f>
        <v>Jordania</v>
      </c>
      <c r="E111" s="9" t="str">
        <f ca="1">+WORLDCUP!BD59</f>
        <v>Bosnia y Herzegovina</v>
      </c>
      <c r="F111" s="9" t="str">
        <f ca="1">+WORLDCUP!BD60</f>
        <v>Marruecos</v>
      </c>
      <c r="G111" s="9" t="str">
        <f ca="1">+WORLDCUP!BD66</f>
        <v>Senegal</v>
      </c>
      <c r="H111" s="9" t="str">
        <f ca="1">+WORLDCUP!BD61</f>
        <v>Turquía</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c r="A112" s="9" t="s">
        <v>897</v>
      </c>
      <c r="B112" s="9">
        <f ca="1">+IF(A112=WORLDCUP!$BI$112,1,0)</f>
        <v>0</v>
      </c>
      <c r="C112" s="9" t="str">
        <f ca="1">+WORLDCUP!BD66</f>
        <v>Senegal</v>
      </c>
      <c r="D112" s="9" t="str">
        <f ca="1">+WORLDCUP!BD64</f>
        <v>Bélgica</v>
      </c>
      <c r="E112" s="9" t="str">
        <f ca="1">+WORLDCUP!BD59</f>
        <v>Bosnia y Herzegovina</v>
      </c>
      <c r="F112" s="9" t="str">
        <f ca="1">+WORLDCUP!BD60</f>
        <v>Marruecos</v>
      </c>
      <c r="G112" s="9" t="str">
        <f ca="1">+WORLDCUP!BD67</f>
        <v>Jordania</v>
      </c>
      <c r="H112" s="9" t="str">
        <f ca="1">+WORLDCUP!BD61</f>
        <v>Turquía</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c r="A113" s="9" t="s">
        <v>898</v>
      </c>
      <c r="B113" s="9">
        <f ca="1">+IF(A113=WORLDCUP!$BI$112,1,0)</f>
        <v>0</v>
      </c>
      <c r="C113" s="9" t="str">
        <f ca="1">+WORLDCUP!BD65</f>
        <v>España</v>
      </c>
      <c r="D113" s="9" t="str">
        <f ca="1">+WORLDCUP!BD64</f>
        <v>Bélgica</v>
      </c>
      <c r="E113" s="9" t="str">
        <f ca="1">+WORLDCUP!BD59</f>
        <v>Bosnia y Herzegovina</v>
      </c>
      <c r="F113" s="9" t="str">
        <f ca="1">+WORLDCUP!BD60</f>
        <v>Marruecos</v>
      </c>
      <c r="G113" s="9" t="str">
        <f ca="1">+WORLDCUP!BD67</f>
        <v>Jordania</v>
      </c>
      <c r="H113" s="9" t="str">
        <f ca="1">+WORLDCUP!BD61</f>
        <v>Turquía</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c r="A114" s="9" t="s">
        <v>899</v>
      </c>
      <c r="B114" s="9">
        <f ca="1">+IF(A114=WORLDCUP!$BI$112,1,0)</f>
        <v>0</v>
      </c>
      <c r="C114" s="9" t="str">
        <f ca="1">+WORLDCUP!BD65</f>
        <v>España</v>
      </c>
      <c r="D114" s="9" t="str">
        <f ca="1">+WORLDCUP!BD64</f>
        <v>Bélgica</v>
      </c>
      <c r="E114" s="9" t="str">
        <f ca="1">+WORLDCUP!BD59</f>
        <v>Bosnia y Herzegovina</v>
      </c>
      <c r="F114" s="9" t="str">
        <f ca="1">+WORLDCUP!BD60</f>
        <v>Marruecos</v>
      </c>
      <c r="G114" s="9" t="str">
        <f ca="1">+WORLDCUP!BD66</f>
        <v>Senegal</v>
      </c>
      <c r="H114" s="9" t="str">
        <f ca="1">+WORLDCUP!BD61</f>
        <v>Turquía</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c r="A115" s="9" t="s">
        <v>900</v>
      </c>
      <c r="B115" s="9">
        <f ca="1">+IF(A115=WORLDCUP!$BI$112,1,0)</f>
        <v>0</v>
      </c>
      <c r="C115" s="9" t="str">
        <f ca="1">+WORLDCUP!BD65</f>
        <v>España</v>
      </c>
      <c r="D115" s="9" t="str">
        <f ca="1">+WORLDCUP!BD64</f>
        <v>Bélgica</v>
      </c>
      <c r="E115" s="9" t="str">
        <f ca="1">+WORLDCUP!BD59</f>
        <v>Bosnia y Herzegovina</v>
      </c>
      <c r="F115" s="9" t="str">
        <f ca="1">+WORLDCUP!BD60</f>
        <v>Marruecos</v>
      </c>
      <c r="G115" s="9" t="str">
        <f ca="1">+WORLDCUP!BD67</f>
        <v>Jordania</v>
      </c>
      <c r="H115" s="9" t="str">
        <f ca="1">+WORLDCUP!BD61</f>
        <v>Turquía</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c r="A116" s="9" t="s">
        <v>901</v>
      </c>
      <c r="B116" s="9">
        <f ca="1">+IF(A116=WORLDCUP!$BI$112,1,0)</f>
        <v>0</v>
      </c>
      <c r="C116" s="9" t="str">
        <f ca="1">+WORLDCUP!BD65</f>
        <v>España</v>
      </c>
      <c r="D116" s="9" t="str">
        <f ca="1">+WORLDCUP!BD64</f>
        <v>Bélgica</v>
      </c>
      <c r="E116" s="9" t="str">
        <f ca="1">+WORLDCUP!BD59</f>
        <v>Bosnia y Herzegovina</v>
      </c>
      <c r="F116" s="9" t="str">
        <f ca="1">+WORLDCUP!BD60</f>
        <v>Marruecos</v>
      </c>
      <c r="G116" s="9" t="str">
        <f ca="1">+WORLDCUP!BD67</f>
        <v>Jordania</v>
      </c>
      <c r="H116" s="9" t="str">
        <f ca="1">+WORLDCUP!BD61</f>
        <v>Turquía</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c r="A117" s="9" t="s">
        <v>902</v>
      </c>
      <c r="B117" s="9">
        <f ca="1">+IF(A117=WORLDCUP!$BI$112,1,0)</f>
        <v>0</v>
      </c>
      <c r="C117" s="9" t="str">
        <f ca="1">+WORLDCUP!BD60</f>
        <v>Marruecos</v>
      </c>
      <c r="D117" s="9" t="str">
        <f ca="1">+WORLDCUP!BD67</f>
        <v>Jordania</v>
      </c>
      <c r="E117" s="9" t="str">
        <f ca="1">+WORLDCUP!BD59</f>
        <v>Bosnia y Herzegovina</v>
      </c>
      <c r="F117" s="9" t="str">
        <f ca="1">+WORLDCUP!BD61</f>
        <v>Turquía</v>
      </c>
      <c r="G117" s="9" t="str">
        <f ca="1">+WORLDCUP!BD66</f>
        <v>Senegal</v>
      </c>
      <c r="H117" s="9" t="str">
        <f ca="1">+WORLDCUP!BD63</f>
        <v>Japón</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c r="A118" s="9" t="s">
        <v>903</v>
      </c>
      <c r="B118" s="9">
        <f ca="1">+IF(A118=WORLDCUP!$BI$112,1,0)</f>
        <v>0</v>
      </c>
      <c r="C118" s="9" t="str">
        <f ca="1">+WORLDCUP!BD60</f>
        <v>Marruecos</v>
      </c>
      <c r="D118" s="9" t="str">
        <f ca="1">+WORLDCUP!BD67</f>
        <v>Jordania</v>
      </c>
      <c r="E118" s="9" t="str">
        <f ca="1">+WORLDCUP!BD59</f>
        <v>Bosnia y Herzegovina</v>
      </c>
      <c r="F118" s="9" t="str">
        <f ca="1">+WORLDCUP!BD61</f>
        <v>Turquía</v>
      </c>
      <c r="G118" s="9" t="str">
        <f ca="1">+WORLDCUP!BD65</f>
        <v>España</v>
      </c>
      <c r="H118" s="9" t="str">
        <f ca="1">+WORLDCUP!BD63</f>
        <v>Japón</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c r="A119" s="9" t="s">
        <v>904</v>
      </c>
      <c r="B119" s="9">
        <f ca="1">+IF(A119=WORLDCUP!$BI$112,1,0)</f>
        <v>0</v>
      </c>
      <c r="C119" s="9" t="str">
        <f ca="1">+WORLDCUP!BD60</f>
        <v>Marruecos</v>
      </c>
      <c r="D119" s="9" t="str">
        <f ca="1">+WORLDCUP!BD66</f>
        <v>Senegal</v>
      </c>
      <c r="E119" s="9" t="str">
        <f ca="1">+WORLDCUP!BD59</f>
        <v>Bosnia y Herzegovina</v>
      </c>
      <c r="F119" s="9" t="str">
        <f ca="1">+WORLDCUP!BD61</f>
        <v>Turquía</v>
      </c>
      <c r="G119" s="9" t="str">
        <f ca="1">+WORLDCUP!BD65</f>
        <v>España</v>
      </c>
      <c r="H119" s="9" t="str">
        <f ca="1">+WORLDCUP!BD63</f>
        <v>Japón</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c r="A120" s="9" t="s">
        <v>905</v>
      </c>
      <c r="B120" s="9">
        <f ca="1">+IF(A120=WORLDCUP!$BI$112,1,0)</f>
        <v>0</v>
      </c>
      <c r="C120" s="9" t="str">
        <f ca="1">+WORLDCUP!BD60</f>
        <v>Marruecos</v>
      </c>
      <c r="D120" s="9" t="str">
        <f ca="1">+WORLDCUP!BD67</f>
        <v>Jordania</v>
      </c>
      <c r="E120" s="9" t="str">
        <f ca="1">+WORLDCUP!BD59</f>
        <v>Bosnia y Herzegovina</v>
      </c>
      <c r="F120" s="9" t="str">
        <f ca="1">+WORLDCUP!BD61</f>
        <v>Turquía</v>
      </c>
      <c r="G120" s="9" t="str">
        <f ca="1">+WORLDCUP!BD65</f>
        <v>España</v>
      </c>
      <c r="H120" s="9" t="str">
        <f ca="1">+WORLDCUP!BD63</f>
        <v>Japón</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c r="A121" s="9" t="s">
        <v>906</v>
      </c>
      <c r="B121" s="9">
        <f ca="1">+IF(A121=WORLDCUP!$BI$112,1,0)</f>
        <v>0</v>
      </c>
      <c r="C121" s="9" t="str">
        <f ca="1">+WORLDCUP!BD60</f>
        <v>Marruecos</v>
      </c>
      <c r="D121" s="9" t="str">
        <f ca="1">+WORLDCUP!BD67</f>
        <v>Jordania</v>
      </c>
      <c r="E121" s="9" t="str">
        <f ca="1">+WORLDCUP!BD59</f>
        <v>Bosnia y Herzegovina</v>
      </c>
      <c r="F121" s="9" t="str">
        <f ca="1">+WORLDCUP!BD61</f>
        <v>Turquía</v>
      </c>
      <c r="G121" s="9" t="str">
        <f ca="1">+WORLDCUP!BD65</f>
        <v>España</v>
      </c>
      <c r="H121" s="9" t="str">
        <f ca="1">+WORLDCUP!BD63</f>
        <v>Japón</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c r="A122" s="9" t="s">
        <v>907</v>
      </c>
      <c r="B122" s="9">
        <f ca="1">+IF(A122=WORLDCUP!$BI$112,1,0)</f>
        <v>0</v>
      </c>
      <c r="C122" s="9" t="str">
        <f ca="1">+WORLDCUP!BD60</f>
        <v>Marruecos</v>
      </c>
      <c r="D122" s="9" t="str">
        <f ca="1">+WORLDCUP!BD64</f>
        <v>Bélgica</v>
      </c>
      <c r="E122" s="9" t="str">
        <f ca="1">+WORLDCUP!BD59</f>
        <v>Bosnia y Herzegovina</v>
      </c>
      <c r="F122" s="9" t="str">
        <f ca="1">+WORLDCUP!BD61</f>
        <v>Turquía</v>
      </c>
      <c r="G122" s="9" t="str">
        <f ca="1">+WORLDCUP!BD67</f>
        <v>Jordania</v>
      </c>
      <c r="H122" s="9" t="str">
        <f ca="1">+WORLDCUP!BD63</f>
        <v>Japón</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c r="A123" s="9" t="s">
        <v>908</v>
      </c>
      <c r="B123" s="9">
        <f ca="1">+IF(A123=WORLDCUP!$BI$112,1,0)</f>
        <v>0</v>
      </c>
      <c r="C123" s="9" t="str">
        <f ca="1">+WORLDCUP!BD60</f>
        <v>Marruecos</v>
      </c>
      <c r="D123" s="9" t="str">
        <f ca="1">+WORLDCUP!BD64</f>
        <v>Bélgica</v>
      </c>
      <c r="E123" s="9" t="str">
        <f ca="1">+WORLDCUP!BD59</f>
        <v>Bosnia y Herzegovina</v>
      </c>
      <c r="F123" s="9" t="str">
        <f ca="1">+WORLDCUP!BD61</f>
        <v>Turquía</v>
      </c>
      <c r="G123" s="9" t="str">
        <f ca="1">+WORLDCUP!BD66</f>
        <v>Senegal</v>
      </c>
      <c r="H123" s="9" t="str">
        <f ca="1">+WORLDCUP!BD63</f>
        <v>Japón</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c r="A124" s="9" t="s">
        <v>909</v>
      </c>
      <c r="B124" s="9">
        <f ca="1">+IF(A124=WORLDCUP!$BI$112,1,0)</f>
        <v>0</v>
      </c>
      <c r="C124" s="9" t="str">
        <f ca="1">+WORLDCUP!BD60</f>
        <v>Marruecos</v>
      </c>
      <c r="D124" s="9" t="str">
        <f ca="1">+WORLDCUP!BD64</f>
        <v>Bélgica</v>
      </c>
      <c r="E124" s="9" t="str">
        <f ca="1">+WORLDCUP!BD59</f>
        <v>Bosnia y Herzegovina</v>
      </c>
      <c r="F124" s="9" t="str">
        <f ca="1">+WORLDCUP!BD61</f>
        <v>Turquía</v>
      </c>
      <c r="G124" s="9" t="str">
        <f ca="1">+WORLDCUP!BD67</f>
        <v>Jordania</v>
      </c>
      <c r="H124" s="9" t="str">
        <f ca="1">+WORLDCUP!BD63</f>
        <v>Japón</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c r="A125" s="9" t="s">
        <v>910</v>
      </c>
      <c r="B125" s="9">
        <f ca="1">+IF(A125=WORLDCUP!$BI$112,1,0)</f>
        <v>0</v>
      </c>
      <c r="C125" s="9" t="str">
        <f ca="1">+WORLDCUP!BD60</f>
        <v>Marruecos</v>
      </c>
      <c r="D125" s="9" t="str">
        <f ca="1">+WORLDCUP!BD64</f>
        <v>Bélgica</v>
      </c>
      <c r="E125" s="9" t="str">
        <f ca="1">+WORLDCUP!BD59</f>
        <v>Bosnia y Herzegovina</v>
      </c>
      <c r="F125" s="9" t="str">
        <f ca="1">+WORLDCUP!BD61</f>
        <v>Turquía</v>
      </c>
      <c r="G125" s="9" t="str">
        <f ca="1">+WORLDCUP!BD67</f>
        <v>Jordania</v>
      </c>
      <c r="H125" s="9" t="str">
        <f ca="1">+WORLDCUP!BD63</f>
        <v>Japón</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c r="A126" s="9" t="s">
        <v>911</v>
      </c>
      <c r="B126" s="9">
        <f ca="1">+IF(A126=WORLDCUP!$BI$112,1,0)</f>
        <v>0</v>
      </c>
      <c r="C126" s="9" t="str">
        <f ca="1">+WORLDCUP!BD60</f>
        <v>Marruecos</v>
      </c>
      <c r="D126" s="9" t="str">
        <f ca="1">+WORLDCUP!BD64</f>
        <v>Bélgica</v>
      </c>
      <c r="E126" s="9" t="str">
        <f ca="1">+WORLDCUP!BD59</f>
        <v>Bosnia y Herzegovina</v>
      </c>
      <c r="F126" s="9" t="str">
        <f ca="1">+WORLDCUP!BD61</f>
        <v>Turquía</v>
      </c>
      <c r="G126" s="9" t="str">
        <f ca="1">+WORLDCUP!BD65</f>
        <v>España</v>
      </c>
      <c r="H126" s="9" t="str">
        <f ca="1">+WORLDCUP!BD63</f>
        <v>Japón</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c r="A127" s="9" t="s">
        <v>912</v>
      </c>
      <c r="B127" s="9">
        <f ca="1">+IF(A127=WORLDCUP!$BI$112,1,0)</f>
        <v>0</v>
      </c>
      <c r="C127" s="9" t="str">
        <f ca="1">+WORLDCUP!BD60</f>
        <v>Marruecos</v>
      </c>
      <c r="D127" s="9" t="str">
        <f ca="1">+WORLDCUP!BD64</f>
        <v>Bélgica</v>
      </c>
      <c r="E127" s="9" t="str">
        <f ca="1">+WORLDCUP!BD59</f>
        <v>Bosnia y Herzegovina</v>
      </c>
      <c r="F127" s="9" t="str">
        <f ca="1">+WORLDCUP!BD61</f>
        <v>Turquía</v>
      </c>
      <c r="G127" s="9" t="str">
        <f ca="1">+WORLDCUP!BD65</f>
        <v>España</v>
      </c>
      <c r="H127" s="9" t="str">
        <f ca="1">+WORLDCUP!BD63</f>
        <v>Japón</v>
      </c>
      <c r="I127" s="9" t="str">
        <f ca="1">+WORLDCUP!BD69</f>
        <v>Panamá</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c r="A128" s="9" t="s">
        <v>913</v>
      </c>
      <c r="B128" s="9">
        <f ca="1">+IF(A128=WORLDCUP!$BI$112,1,0)</f>
        <v>0</v>
      </c>
      <c r="C128" s="9" t="str">
        <f ca="1">+WORLDCUP!BD65</f>
        <v>España</v>
      </c>
      <c r="D128" s="9" t="str">
        <f ca="1">+WORLDCUP!BD64</f>
        <v>Bélgica</v>
      </c>
      <c r="E128" s="9" t="str">
        <f ca="1">+WORLDCUP!BD59</f>
        <v>Bosnia y Herzegovina</v>
      </c>
      <c r="F128" s="9" t="str">
        <f ca="1">+WORLDCUP!BD60</f>
        <v>Marruecos</v>
      </c>
      <c r="G128" s="9" t="str">
        <f ca="1">+WORLDCUP!BD67</f>
        <v>Jordania</v>
      </c>
      <c r="H128" s="9" t="str">
        <f ca="1">+WORLDCUP!BD63</f>
        <v>Japón</v>
      </c>
      <c r="I128" s="9" t="str">
        <f ca="1">+WORLDCUP!BD61</f>
        <v>Turquía</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c r="A129" s="9" t="s">
        <v>914</v>
      </c>
      <c r="B129" s="9">
        <f ca="1">+IF(A129=WORLDCUP!$BI$112,1,0)</f>
        <v>0</v>
      </c>
      <c r="C129" s="9" t="str">
        <f ca="1">+WORLDCUP!BD60</f>
        <v>Marruecos</v>
      </c>
      <c r="D129" s="9" t="str">
        <f ca="1">+WORLDCUP!BD64</f>
        <v>Bélgica</v>
      </c>
      <c r="E129" s="9" t="str">
        <f ca="1">+WORLDCUP!BD59</f>
        <v>Bosnia y Herzegovina</v>
      </c>
      <c r="F129" s="9" t="str">
        <f ca="1">+WORLDCUP!BD61</f>
        <v>Turquía</v>
      </c>
      <c r="G129" s="9" t="str">
        <f ca="1">+WORLDCUP!BD65</f>
        <v>España</v>
      </c>
      <c r="H129" s="9" t="str">
        <f ca="1">+WORLDCUP!BD63</f>
        <v>Japón</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c r="A130" s="9" t="s">
        <v>915</v>
      </c>
      <c r="B130" s="9">
        <f ca="1">+IF(A130=WORLDCUP!$BI$112,1,0)</f>
        <v>0</v>
      </c>
      <c r="C130" s="9" t="str">
        <f ca="1">+WORLDCUP!BD60</f>
        <v>Marruecos</v>
      </c>
      <c r="D130" s="9" t="str">
        <f ca="1">+WORLDCUP!BD64</f>
        <v>Bélgica</v>
      </c>
      <c r="E130" s="9" t="str">
        <f ca="1">+WORLDCUP!BD59</f>
        <v>Bosnia y Herzegovina</v>
      </c>
      <c r="F130" s="9" t="str">
        <f ca="1">+WORLDCUP!BD61</f>
        <v>Turquía</v>
      </c>
      <c r="G130" s="9" t="str">
        <f ca="1">+WORLDCUP!BD65</f>
        <v>España</v>
      </c>
      <c r="H130" s="9" t="str">
        <f ca="1">+WORLDCUP!BD63</f>
        <v>Japón</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c r="A131" s="9" t="s">
        <v>916</v>
      </c>
      <c r="B131" s="9">
        <f ca="1">+IF(A131=WORLDCUP!$BI$112,1,0)</f>
        <v>0</v>
      </c>
      <c r="C131" s="9" t="str">
        <f ca="1">+WORLDCUP!BD65</f>
        <v>España</v>
      </c>
      <c r="D131" s="9" t="str">
        <f ca="1">+WORLDCUP!BD64</f>
        <v>Bélgica</v>
      </c>
      <c r="E131" s="9" t="str">
        <f ca="1">+WORLDCUP!BD59</f>
        <v>Bosnia y Herzegovina</v>
      </c>
      <c r="F131" s="9" t="str">
        <f ca="1">+WORLDCUP!BD60</f>
        <v>Marruecos</v>
      </c>
      <c r="G131" s="9" t="str">
        <f ca="1">+WORLDCUP!BD67</f>
        <v>Jordania</v>
      </c>
      <c r="H131" s="9" t="str">
        <f ca="1">+WORLDCUP!BD63</f>
        <v>Japón</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c r="A132" s="9" t="s">
        <v>917</v>
      </c>
      <c r="B132" s="9">
        <f ca="1">+IF(A132=WORLDCUP!$BI$112,1,0)</f>
        <v>0</v>
      </c>
      <c r="C132" s="9" t="str">
        <f ca="1">+WORLDCUP!BD62</f>
        <v>Ecuador</v>
      </c>
      <c r="D132" s="9" t="str">
        <f ca="1">+WORLDCUP!BD67</f>
        <v>Jordania</v>
      </c>
      <c r="E132" s="9" t="str">
        <f ca="1">+WORLDCUP!BD59</f>
        <v>Bosnia y Herzegovina</v>
      </c>
      <c r="F132" s="9" t="str">
        <f ca="1">+WORLDCUP!BD60</f>
        <v>Marruecos</v>
      </c>
      <c r="G132" s="9" t="str">
        <f ca="1">+WORLDCUP!BD66</f>
        <v>Senegal</v>
      </c>
      <c r="H132" s="9" t="str">
        <f ca="1">+WORLDCUP!BD61</f>
        <v>Turquía</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c r="A133" s="9" t="s">
        <v>918</v>
      </c>
      <c r="B133" s="9">
        <f ca="1">+IF(A133=WORLDCUP!$BI$112,1,0)</f>
        <v>0</v>
      </c>
      <c r="C133" s="9" t="str">
        <f ca="1">+WORLDCUP!BD62</f>
        <v>Ecuador</v>
      </c>
      <c r="D133" s="9" t="str">
        <f ca="1">+WORLDCUP!BD67</f>
        <v>Jordania</v>
      </c>
      <c r="E133" s="9" t="str">
        <f ca="1">+WORLDCUP!BD59</f>
        <v>Bosnia y Herzegovina</v>
      </c>
      <c r="F133" s="9" t="str">
        <f ca="1">+WORLDCUP!BD60</f>
        <v>Marruecos</v>
      </c>
      <c r="G133" s="9" t="str">
        <f ca="1">+WORLDCUP!BD65</f>
        <v>España</v>
      </c>
      <c r="H133" s="9" t="str">
        <f ca="1">+WORLDCUP!BD61</f>
        <v>Turquía</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c r="A134" s="9" t="s">
        <v>919</v>
      </c>
      <c r="B134" s="9">
        <f ca="1">+IF(A134=WORLDCUP!$BI$112,1,0)</f>
        <v>0</v>
      </c>
      <c r="C134" s="9" t="str">
        <f ca="1">+WORLDCUP!BD62</f>
        <v>Ecuador</v>
      </c>
      <c r="D134" s="9" t="str">
        <f ca="1">+WORLDCUP!BD66</f>
        <v>Senegal</v>
      </c>
      <c r="E134" s="9" t="str">
        <f ca="1">+WORLDCUP!BD59</f>
        <v>Bosnia y Herzegovina</v>
      </c>
      <c r="F134" s="9" t="str">
        <f ca="1">+WORLDCUP!BD60</f>
        <v>Marruecos</v>
      </c>
      <c r="G134" s="9" t="str">
        <f ca="1">+WORLDCUP!BD65</f>
        <v>España</v>
      </c>
      <c r="H134" s="9" t="str">
        <f ca="1">+WORLDCUP!BD61</f>
        <v>Turquía</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c r="A135" s="9" t="s">
        <v>920</v>
      </c>
      <c r="B135" s="9">
        <f ca="1">+IF(A135=WORLDCUP!$BI$112,1,0)</f>
        <v>0</v>
      </c>
      <c r="C135" s="9" t="str">
        <f ca="1">+WORLDCUP!BD62</f>
        <v>Ecuador</v>
      </c>
      <c r="D135" s="9" t="str">
        <f ca="1">+WORLDCUP!BD67</f>
        <v>Jordania</v>
      </c>
      <c r="E135" s="9" t="str">
        <f ca="1">+WORLDCUP!BD59</f>
        <v>Bosnia y Herzegovina</v>
      </c>
      <c r="F135" s="9" t="str">
        <f ca="1">+WORLDCUP!BD60</f>
        <v>Marruecos</v>
      </c>
      <c r="G135" s="9" t="str">
        <f ca="1">+WORLDCUP!BD65</f>
        <v>España</v>
      </c>
      <c r="H135" s="9" t="str">
        <f ca="1">+WORLDCUP!BD61</f>
        <v>Turquía</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c r="A136" s="9" t="s">
        <v>921</v>
      </c>
      <c r="B136" s="9">
        <f ca="1">+IF(A136=WORLDCUP!$BI$112,1,0)</f>
        <v>0</v>
      </c>
      <c r="C136" s="9" t="str">
        <f ca="1">+WORLDCUP!BD62</f>
        <v>Ecuador</v>
      </c>
      <c r="D136" s="9" t="str">
        <f ca="1">+WORLDCUP!BD67</f>
        <v>Jordania</v>
      </c>
      <c r="E136" s="9" t="str">
        <f ca="1">+WORLDCUP!BD59</f>
        <v>Bosnia y Herzegovina</v>
      </c>
      <c r="F136" s="9" t="str">
        <f ca="1">+WORLDCUP!BD60</f>
        <v>Marruecos</v>
      </c>
      <c r="G136" s="9" t="str">
        <f ca="1">+WORLDCUP!BD65</f>
        <v>España</v>
      </c>
      <c r="H136" s="9" t="str">
        <f ca="1">+WORLDCUP!BD61</f>
        <v>Turquía</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c r="A137" s="9" t="s">
        <v>922</v>
      </c>
      <c r="B137" s="9">
        <f ca="1">+IF(A137=WORLDCUP!$BI$112,1,0)</f>
        <v>0</v>
      </c>
      <c r="C137" s="9" t="str">
        <f ca="1">+WORLDCUP!BD62</f>
        <v>Ecuador</v>
      </c>
      <c r="D137" s="9" t="str">
        <f ca="1">+WORLDCUP!BD64</f>
        <v>Bélgica</v>
      </c>
      <c r="E137" s="9" t="str">
        <f ca="1">+WORLDCUP!BD59</f>
        <v>Bosnia y Herzegovina</v>
      </c>
      <c r="F137" s="9" t="str">
        <f ca="1">+WORLDCUP!BD60</f>
        <v>Marruecos</v>
      </c>
      <c r="G137" s="9" t="str">
        <f ca="1">+WORLDCUP!BD67</f>
        <v>Jordania</v>
      </c>
      <c r="H137" s="9" t="str">
        <f ca="1">+WORLDCUP!BD61</f>
        <v>Turquía</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c r="A138" s="9" t="s">
        <v>923</v>
      </c>
      <c r="B138" s="9">
        <f ca="1">+IF(A138=WORLDCUP!$BI$112,1,0)</f>
        <v>0</v>
      </c>
      <c r="C138" s="9" t="str">
        <f ca="1">+WORLDCUP!BD62</f>
        <v>Ecuador</v>
      </c>
      <c r="D138" s="9" t="str">
        <f ca="1">+WORLDCUP!BD64</f>
        <v>Bélgica</v>
      </c>
      <c r="E138" s="9" t="str">
        <f ca="1">+WORLDCUP!BD59</f>
        <v>Bosnia y Herzegovina</v>
      </c>
      <c r="F138" s="9" t="str">
        <f ca="1">+WORLDCUP!BD60</f>
        <v>Marruecos</v>
      </c>
      <c r="G138" s="9" t="str">
        <f ca="1">+WORLDCUP!BD66</f>
        <v>Senegal</v>
      </c>
      <c r="H138" s="9" t="str">
        <f ca="1">+WORLDCUP!BD61</f>
        <v>Turquía</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c r="A139" s="9" t="s">
        <v>924</v>
      </c>
      <c r="B139" s="9">
        <f ca="1">+IF(A139=WORLDCUP!$BI$112,1,0)</f>
        <v>0</v>
      </c>
      <c r="C139" s="9" t="str">
        <f ca="1">+WORLDCUP!BD62</f>
        <v>Ecuador</v>
      </c>
      <c r="D139" s="9" t="str">
        <f ca="1">+WORLDCUP!BD64</f>
        <v>Bélgica</v>
      </c>
      <c r="E139" s="9" t="str">
        <f ca="1">+WORLDCUP!BD59</f>
        <v>Bosnia y Herzegovina</v>
      </c>
      <c r="F139" s="9" t="str">
        <f ca="1">+WORLDCUP!BD60</f>
        <v>Marruecos</v>
      </c>
      <c r="G139" s="9" t="str">
        <f ca="1">+WORLDCUP!BD67</f>
        <v>Jordania</v>
      </c>
      <c r="H139" s="9" t="str">
        <f ca="1">+WORLDCUP!BD61</f>
        <v>Turquía</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c r="A140" s="9" t="s">
        <v>925</v>
      </c>
      <c r="B140" s="9">
        <f ca="1">+IF(A140=WORLDCUP!$BI$112,1,0)</f>
        <v>0</v>
      </c>
      <c r="C140" s="9" t="str">
        <f ca="1">+WORLDCUP!BD62</f>
        <v>Ecuador</v>
      </c>
      <c r="D140" s="9" t="str">
        <f ca="1">+WORLDCUP!BD64</f>
        <v>Bélgica</v>
      </c>
      <c r="E140" s="9" t="str">
        <f ca="1">+WORLDCUP!BD59</f>
        <v>Bosnia y Herzegovina</v>
      </c>
      <c r="F140" s="9" t="str">
        <f ca="1">+WORLDCUP!BD60</f>
        <v>Marruecos</v>
      </c>
      <c r="G140" s="9" t="str">
        <f ca="1">+WORLDCUP!BD67</f>
        <v>Jordania</v>
      </c>
      <c r="H140" s="9" t="str">
        <f ca="1">+WORLDCUP!BD61</f>
        <v>Turquía</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c r="A141" s="9" t="s">
        <v>926</v>
      </c>
      <c r="B141" s="9">
        <f ca="1">+IF(A141=WORLDCUP!$BI$112,1,0)</f>
        <v>0</v>
      </c>
      <c r="C141" s="9" t="str">
        <f ca="1">+WORLDCUP!BD62</f>
        <v>Ecuador</v>
      </c>
      <c r="D141" s="9" t="str">
        <f ca="1">+WORLDCUP!BD64</f>
        <v>Bélgica</v>
      </c>
      <c r="E141" s="9" t="str">
        <f ca="1">+WORLDCUP!BD59</f>
        <v>Bosnia y Herzegovina</v>
      </c>
      <c r="F141" s="9" t="str">
        <f ca="1">+WORLDCUP!BD60</f>
        <v>Marruecos</v>
      </c>
      <c r="G141" s="9" t="str">
        <f ca="1">+WORLDCUP!BD65</f>
        <v>España</v>
      </c>
      <c r="H141" s="9" t="str">
        <f ca="1">+WORLDCUP!BD61</f>
        <v>Turquía</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c r="A142" s="9" t="s">
        <v>927</v>
      </c>
      <c r="B142" s="9">
        <f ca="1">+IF(A142=WORLDCUP!$BI$112,1,0)</f>
        <v>0</v>
      </c>
      <c r="C142" s="9" t="str">
        <f ca="1">+WORLDCUP!BD65</f>
        <v>España</v>
      </c>
      <c r="D142" s="9" t="str">
        <f ca="1">+WORLDCUP!BD64</f>
        <v>Bélgica</v>
      </c>
      <c r="E142" s="9" t="str">
        <f ca="1">+WORLDCUP!BD59</f>
        <v>Bosnia y Herzegovina</v>
      </c>
      <c r="F142" s="9" t="str">
        <f ca="1">+WORLDCUP!BD60</f>
        <v>Marruecos</v>
      </c>
      <c r="G142" s="9" t="str">
        <f ca="1">+WORLDCUP!BD67</f>
        <v>Jordania</v>
      </c>
      <c r="H142" s="9" t="str">
        <f ca="1">+WORLDCUP!BD61</f>
        <v>Turquía</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c r="A143" s="9" t="s">
        <v>928</v>
      </c>
      <c r="B143" s="9">
        <f ca="1">+IF(A143=WORLDCUP!$BI$112,1,0)</f>
        <v>0</v>
      </c>
      <c r="C143" s="9" t="str">
        <f ca="1">+WORLDCUP!BD65</f>
        <v>España</v>
      </c>
      <c r="D143" s="9" t="str">
        <f ca="1">+WORLDCUP!BD64</f>
        <v>Bélgica</v>
      </c>
      <c r="E143" s="9" t="str">
        <f ca="1">+WORLDCUP!BD59</f>
        <v>Bosnia y Herzegovina</v>
      </c>
      <c r="F143" s="9" t="str">
        <f ca="1">+WORLDCUP!BD60</f>
        <v>Marruecos</v>
      </c>
      <c r="G143" s="9" t="str">
        <f ca="1">+WORLDCUP!BD67</f>
        <v>Jordania</v>
      </c>
      <c r="H143" s="9" t="str">
        <f ca="1">+WORLDCUP!BD61</f>
        <v>Turquía</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c r="A144" s="9" t="s">
        <v>929</v>
      </c>
      <c r="B144" s="9">
        <f ca="1">+IF(A144=WORLDCUP!$BI$112,1,0)</f>
        <v>0</v>
      </c>
      <c r="C144" s="9" t="str">
        <f ca="1">+WORLDCUP!BD62</f>
        <v>Ecuador</v>
      </c>
      <c r="D144" s="9" t="str">
        <f ca="1">+WORLDCUP!BD64</f>
        <v>Bélgica</v>
      </c>
      <c r="E144" s="9" t="str">
        <f ca="1">+WORLDCUP!BD59</f>
        <v>Bosnia y Herzegovina</v>
      </c>
      <c r="F144" s="9" t="str">
        <f ca="1">+WORLDCUP!BD60</f>
        <v>Marruecos</v>
      </c>
      <c r="G144" s="9" t="str">
        <f ca="1">+WORLDCUP!BD65</f>
        <v>España</v>
      </c>
      <c r="H144" s="9" t="str">
        <f ca="1">+WORLDCUP!BD61</f>
        <v>Turquía</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c r="A145" s="9" t="s">
        <v>930</v>
      </c>
      <c r="B145" s="9">
        <f ca="1">+IF(A145=WORLDCUP!$BI$112,1,0)</f>
        <v>0</v>
      </c>
      <c r="C145" s="9" t="str">
        <f ca="1">+WORLDCUP!BD62</f>
        <v>Ecuador</v>
      </c>
      <c r="D145" s="9" t="str">
        <f ca="1">+WORLDCUP!BD64</f>
        <v>Bélgica</v>
      </c>
      <c r="E145" s="9" t="str">
        <f ca="1">+WORLDCUP!BD59</f>
        <v>Bosnia y Herzegovina</v>
      </c>
      <c r="F145" s="9" t="str">
        <f ca="1">+WORLDCUP!BD60</f>
        <v>Marruecos</v>
      </c>
      <c r="G145" s="9" t="str">
        <f ca="1">+WORLDCUP!BD65</f>
        <v>España</v>
      </c>
      <c r="H145" s="9" t="str">
        <f ca="1">+WORLDCUP!BD61</f>
        <v>Turquía</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c r="A146" s="9" t="s">
        <v>931</v>
      </c>
      <c r="B146" s="9">
        <f ca="1">+IF(A146=WORLDCUP!$BI$112,1,0)</f>
        <v>0</v>
      </c>
      <c r="C146" s="9" t="str">
        <f ca="1">+WORLDCUP!BD65</f>
        <v>España</v>
      </c>
      <c r="D146" s="9" t="str">
        <f ca="1">+WORLDCUP!BD64</f>
        <v>Bélgica</v>
      </c>
      <c r="E146" s="9" t="str">
        <f ca="1">+WORLDCUP!BD59</f>
        <v>Bosnia y Herzegovina</v>
      </c>
      <c r="F146" s="9" t="str">
        <f ca="1">+WORLDCUP!BD60</f>
        <v>Marruecos</v>
      </c>
      <c r="G146" s="9" t="str">
        <f ca="1">+WORLDCUP!BD67</f>
        <v>Jordania</v>
      </c>
      <c r="H146" s="9" t="str">
        <f ca="1">+WORLDCUP!BD61</f>
        <v>Turquía</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c r="A147" s="9" t="s">
        <v>932</v>
      </c>
      <c r="B147" s="9">
        <f ca="1">+IF(A147=WORLDCUP!$BI$112,1,0)</f>
        <v>0</v>
      </c>
      <c r="C147" s="9" t="str">
        <f ca="1">+WORLDCUP!BD60</f>
        <v>Marruecos</v>
      </c>
      <c r="D147" s="9" t="str">
        <f ca="1">+WORLDCUP!BD67</f>
        <v>Jordania</v>
      </c>
      <c r="E147" s="9" t="str">
        <f ca="1">+WORLDCUP!BD59</f>
        <v>Bosnia y Herzegovina</v>
      </c>
      <c r="F147" s="9" t="str">
        <f ca="1">+WORLDCUP!BD61</f>
        <v>Turquía</v>
      </c>
      <c r="G147" s="9" t="str">
        <f ca="1">+WORLDCUP!BD62</f>
        <v>Ecuador</v>
      </c>
      <c r="H147" s="9" t="str">
        <f ca="1">+WORLDCUP!BD63</f>
        <v>Japón</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c r="A148" s="9" t="s">
        <v>933</v>
      </c>
      <c r="B148" s="9">
        <f ca="1">+IF(A148=WORLDCUP!$BI$112,1,0)</f>
        <v>0</v>
      </c>
      <c r="C148" s="9" t="str">
        <f ca="1">+WORLDCUP!BD60</f>
        <v>Marruecos</v>
      </c>
      <c r="D148" s="9" t="str">
        <f ca="1">+WORLDCUP!BD62</f>
        <v>Ecuador</v>
      </c>
      <c r="E148" s="9" t="str">
        <f ca="1">+WORLDCUP!BD59</f>
        <v>Bosnia y Herzegovina</v>
      </c>
      <c r="F148" s="9" t="str">
        <f ca="1">+WORLDCUP!BD61</f>
        <v>Turquía</v>
      </c>
      <c r="G148" s="9" t="str">
        <f ca="1">+WORLDCUP!BD66</f>
        <v>Senegal</v>
      </c>
      <c r="H148" s="9" t="str">
        <f ca="1">+WORLDCUP!BD63</f>
        <v>Japón</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c r="A149" s="9" t="s">
        <v>934</v>
      </c>
      <c r="B149" s="9">
        <f ca="1">+IF(A149=WORLDCUP!$BI$112,1,0)</f>
        <v>0</v>
      </c>
      <c r="C149" s="9" t="str">
        <f ca="1">+WORLDCUP!BD60</f>
        <v>Marruecos</v>
      </c>
      <c r="D149" s="9" t="str">
        <f ca="1">+WORLDCUP!BD67</f>
        <v>Jordania</v>
      </c>
      <c r="E149" s="9" t="str">
        <f ca="1">+WORLDCUP!BD59</f>
        <v>Bosnia y Herzegovina</v>
      </c>
      <c r="F149" s="9" t="str">
        <f ca="1">+WORLDCUP!BD61</f>
        <v>Turquía</v>
      </c>
      <c r="G149" s="9" t="str">
        <f ca="1">+WORLDCUP!BD62</f>
        <v>Ecuador</v>
      </c>
      <c r="H149" s="9" t="str">
        <f ca="1">+WORLDCUP!BD63</f>
        <v>Japón</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c r="A150" s="9" t="s">
        <v>935</v>
      </c>
      <c r="B150" s="9">
        <f ca="1">+IF(A150=WORLDCUP!$BI$112,1,0)</f>
        <v>0</v>
      </c>
      <c r="C150" s="9" t="str">
        <f ca="1">+WORLDCUP!BD60</f>
        <v>Marruecos</v>
      </c>
      <c r="D150" s="9" t="str">
        <f ca="1">+WORLDCUP!BD67</f>
        <v>Jordania</v>
      </c>
      <c r="E150" s="9" t="str">
        <f ca="1">+WORLDCUP!BD59</f>
        <v>Bosnia y Herzegovina</v>
      </c>
      <c r="F150" s="9" t="str">
        <f ca="1">+WORLDCUP!BD61</f>
        <v>Turquía</v>
      </c>
      <c r="G150" s="9" t="str">
        <f ca="1">+WORLDCUP!BD62</f>
        <v>Ecuador</v>
      </c>
      <c r="H150" s="9" t="str">
        <f ca="1">+WORLDCUP!BD63</f>
        <v>Japón</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c r="A151" s="9" t="s">
        <v>936</v>
      </c>
      <c r="B151" s="9">
        <f ca="1">+IF(A151=WORLDCUP!$BI$112,1,0)</f>
        <v>0</v>
      </c>
      <c r="C151" s="9" t="str">
        <f ca="1">+WORLDCUP!BD60</f>
        <v>Marruecos</v>
      </c>
      <c r="D151" s="9" t="str">
        <f ca="1">+WORLDCUP!BD62</f>
        <v>Ecuador</v>
      </c>
      <c r="E151" s="9" t="str">
        <f ca="1">+WORLDCUP!BD59</f>
        <v>Bosnia y Herzegovina</v>
      </c>
      <c r="F151" s="9" t="str">
        <f ca="1">+WORLDCUP!BD61</f>
        <v>Turquía</v>
      </c>
      <c r="G151" s="9" t="str">
        <f ca="1">+WORLDCUP!BD65</f>
        <v>España</v>
      </c>
      <c r="H151" s="9" t="str">
        <f ca="1">+WORLDCUP!BD63</f>
        <v>Japón</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c r="A152" s="9" t="s">
        <v>937</v>
      </c>
      <c r="B152" s="9">
        <f ca="1">+IF(A152=WORLDCUP!$BI$112,1,0)</f>
        <v>0</v>
      </c>
      <c r="C152" s="9" t="str">
        <f ca="1">+WORLDCUP!BD60</f>
        <v>Marruecos</v>
      </c>
      <c r="D152" s="9" t="str">
        <f ca="1">+WORLDCUP!BD67</f>
        <v>Jordania</v>
      </c>
      <c r="E152" s="9" t="str">
        <f ca="1">+WORLDCUP!BD59</f>
        <v>Bosnia y Herzegovina</v>
      </c>
      <c r="F152" s="9" t="str">
        <f ca="1">+WORLDCUP!BD61</f>
        <v>Turquía</v>
      </c>
      <c r="G152" s="9" t="str">
        <f ca="1">+WORLDCUP!BD65</f>
        <v>España</v>
      </c>
      <c r="H152" s="9" t="str">
        <f ca="1">+WORLDCUP!BD63</f>
        <v>Japón</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c r="A153" s="9" t="s">
        <v>938</v>
      </c>
      <c r="B153" s="9">
        <f ca="1">+IF(A153=WORLDCUP!$BI$112,1,0)</f>
        <v>0</v>
      </c>
      <c r="C153" s="9" t="str">
        <f ca="1">+WORLDCUP!BD60</f>
        <v>Marruecos</v>
      </c>
      <c r="D153" s="9" t="str">
        <f ca="1">+WORLDCUP!BD67</f>
        <v>Jordania</v>
      </c>
      <c r="E153" s="9" t="str">
        <f ca="1">+WORLDCUP!BD59</f>
        <v>Bosnia y Herzegovina</v>
      </c>
      <c r="F153" s="9" t="str">
        <f ca="1">+WORLDCUP!BD61</f>
        <v>Turquía</v>
      </c>
      <c r="G153" s="9" t="str">
        <f ca="1">+WORLDCUP!BD65</f>
        <v>España</v>
      </c>
      <c r="H153" s="9" t="str">
        <f ca="1">+WORLDCUP!BD63</f>
        <v>Japón</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c r="A154" s="9" t="s">
        <v>939</v>
      </c>
      <c r="B154" s="9">
        <f ca="1">+IF(A154=WORLDCUP!$BI$112,1,0)</f>
        <v>0</v>
      </c>
      <c r="C154" s="9" t="str">
        <f ca="1">+WORLDCUP!BD60</f>
        <v>Marruecos</v>
      </c>
      <c r="D154" s="9" t="str">
        <f ca="1">+WORLDCUP!BD62</f>
        <v>Ecuador</v>
      </c>
      <c r="E154" s="9" t="str">
        <f ca="1">+WORLDCUP!BD59</f>
        <v>Bosnia y Herzegovina</v>
      </c>
      <c r="F154" s="9" t="str">
        <f ca="1">+WORLDCUP!BD61</f>
        <v>Turquía</v>
      </c>
      <c r="G154" s="9" t="str">
        <f ca="1">+WORLDCUP!BD65</f>
        <v>España</v>
      </c>
      <c r="H154" s="9" t="str">
        <f ca="1">+WORLDCUP!BD63</f>
        <v>Japón</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c r="A155" s="9" t="s">
        <v>940</v>
      </c>
      <c r="B155" s="9">
        <f ca="1">+IF(A155=WORLDCUP!$BI$112,1,0)</f>
        <v>0</v>
      </c>
      <c r="C155" s="9" t="str">
        <f ca="1">+WORLDCUP!BD60</f>
        <v>Marruecos</v>
      </c>
      <c r="D155" s="9" t="str">
        <f ca="1">+WORLDCUP!BD62</f>
        <v>Ecuador</v>
      </c>
      <c r="E155" s="9" t="str">
        <f ca="1">+WORLDCUP!BD59</f>
        <v>Bosnia y Herzegovina</v>
      </c>
      <c r="F155" s="9" t="str">
        <f ca="1">+WORLDCUP!BD61</f>
        <v>Turquía</v>
      </c>
      <c r="G155" s="9" t="str">
        <f ca="1">+WORLDCUP!BD65</f>
        <v>España</v>
      </c>
      <c r="H155" s="9" t="str">
        <f ca="1">+WORLDCUP!BD63</f>
        <v>Japón</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c r="A156" s="9" t="s">
        <v>941</v>
      </c>
      <c r="B156" s="9">
        <f ca="1">+IF(A156=WORLDCUP!$BI$112,1,0)</f>
        <v>0</v>
      </c>
      <c r="C156" s="9" t="str">
        <f ca="1">+WORLDCUP!BD60</f>
        <v>Marruecos</v>
      </c>
      <c r="D156" s="9" t="str">
        <f ca="1">+WORLDCUP!BD67</f>
        <v>Jordania</v>
      </c>
      <c r="E156" s="9" t="str">
        <f ca="1">+WORLDCUP!BD59</f>
        <v>Bosnia y Herzegovina</v>
      </c>
      <c r="F156" s="9" t="str">
        <f ca="1">+WORLDCUP!BD61</f>
        <v>Turquía</v>
      </c>
      <c r="G156" s="9" t="str">
        <f ca="1">+WORLDCUP!BD65</f>
        <v>España</v>
      </c>
      <c r="H156" s="9" t="str">
        <f ca="1">+WORLDCUP!BD63</f>
        <v>Japón</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c r="A157" s="9" t="s">
        <v>942</v>
      </c>
      <c r="B157" s="9">
        <f ca="1">+IF(A157=WORLDCUP!$BI$112,1,0)</f>
        <v>0</v>
      </c>
      <c r="C157" s="9" t="str">
        <f ca="1">+WORLDCUP!BD60</f>
        <v>Marruecos</v>
      </c>
      <c r="D157" s="9" t="str">
        <f ca="1">+WORLDCUP!BD64</f>
        <v>Bélgica</v>
      </c>
      <c r="E157" s="9" t="str">
        <f ca="1">+WORLDCUP!BD59</f>
        <v>Bosnia y Herzegovina</v>
      </c>
      <c r="F157" s="9" t="str">
        <f ca="1">+WORLDCUP!BD61</f>
        <v>Turquía</v>
      </c>
      <c r="G157" s="9" t="str">
        <f ca="1">+WORLDCUP!BD62</f>
        <v>Ecuador</v>
      </c>
      <c r="H157" s="9" t="str">
        <f ca="1">+WORLDCUP!BD63</f>
        <v>Japón</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c r="A158" s="9" t="s">
        <v>943</v>
      </c>
      <c r="B158" s="9">
        <f ca="1">+IF(A158=WORLDCUP!$BI$112,1,0)</f>
        <v>0</v>
      </c>
      <c r="C158" s="9" t="str">
        <f ca="1">+WORLDCUP!BD60</f>
        <v>Marruecos</v>
      </c>
      <c r="D158" s="9" t="str">
        <f ca="1">+WORLDCUP!BD64</f>
        <v>Bélgica</v>
      </c>
      <c r="E158" s="9" t="str">
        <f ca="1">+WORLDCUP!BD59</f>
        <v>Bosnia y Herzegovina</v>
      </c>
      <c r="F158" s="9" t="str">
        <f ca="1">+WORLDCUP!BD61</f>
        <v>Turquía</v>
      </c>
      <c r="G158" s="9" t="str">
        <f ca="1">+WORLDCUP!BD67</f>
        <v>Jordania</v>
      </c>
      <c r="H158" s="9" t="str">
        <f ca="1">+WORLDCUP!BD63</f>
        <v>Japón</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c r="A159" s="9" t="s">
        <v>944</v>
      </c>
      <c r="B159" s="9">
        <f ca="1">+IF(A159=WORLDCUP!$BI$112,1,0)</f>
        <v>0</v>
      </c>
      <c r="C159" s="9" t="str">
        <f ca="1">+WORLDCUP!BD60</f>
        <v>Marruecos</v>
      </c>
      <c r="D159" s="9" t="str">
        <f ca="1">+WORLDCUP!BD64</f>
        <v>Bélgica</v>
      </c>
      <c r="E159" s="9" t="str">
        <f ca="1">+WORLDCUP!BD59</f>
        <v>Bosnia y Herzegovina</v>
      </c>
      <c r="F159" s="9" t="str">
        <f ca="1">+WORLDCUP!BD61</f>
        <v>Turquía</v>
      </c>
      <c r="G159" s="9" t="str">
        <f ca="1">+WORLDCUP!BD67</f>
        <v>Jordania</v>
      </c>
      <c r="H159" s="9" t="str">
        <f ca="1">+WORLDCUP!BD63</f>
        <v>Japón</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c r="A160" s="9" t="s">
        <v>945</v>
      </c>
      <c r="B160" s="9">
        <f ca="1">+IF(A160=WORLDCUP!$BI$112,1,0)</f>
        <v>0</v>
      </c>
      <c r="C160" s="9" t="str">
        <f ca="1">+WORLDCUP!BD60</f>
        <v>Marruecos</v>
      </c>
      <c r="D160" s="9" t="str">
        <f ca="1">+WORLDCUP!BD64</f>
        <v>Bélgica</v>
      </c>
      <c r="E160" s="9" t="str">
        <f ca="1">+WORLDCUP!BD59</f>
        <v>Bosnia y Herzegovina</v>
      </c>
      <c r="F160" s="9" t="str">
        <f ca="1">+WORLDCUP!BD61</f>
        <v>Turquía</v>
      </c>
      <c r="G160" s="9" t="str">
        <f ca="1">+WORLDCUP!BD62</f>
        <v>Ecuador</v>
      </c>
      <c r="H160" s="9" t="str">
        <f ca="1">+WORLDCUP!BD63</f>
        <v>Japón</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c r="A161" s="9" t="s">
        <v>946</v>
      </c>
      <c r="B161" s="9">
        <f ca="1">+IF(A161=WORLDCUP!$BI$112,1,0)</f>
        <v>0</v>
      </c>
      <c r="C161" s="9" t="str">
        <f ca="1">+WORLDCUP!BD60</f>
        <v>Marruecos</v>
      </c>
      <c r="D161" s="9" t="str">
        <f ca="1">+WORLDCUP!BD64</f>
        <v>Bélgica</v>
      </c>
      <c r="E161" s="9" t="str">
        <f ca="1">+WORLDCUP!BD59</f>
        <v>Bosnia y Herzegovina</v>
      </c>
      <c r="F161" s="9" t="str">
        <f ca="1">+WORLDCUP!BD61</f>
        <v>Turquía</v>
      </c>
      <c r="G161" s="9" t="str">
        <f ca="1">+WORLDCUP!BD62</f>
        <v>Ecuador</v>
      </c>
      <c r="H161" s="9" t="str">
        <f ca="1">+WORLDCUP!BD63</f>
        <v>Japón</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c r="A162" s="9" t="s">
        <v>947</v>
      </c>
      <c r="B162" s="9">
        <f ca="1">+IF(A162=WORLDCUP!$BI$112,1,0)</f>
        <v>0</v>
      </c>
      <c r="C162" s="9" t="str">
        <f ca="1">+WORLDCUP!BD60</f>
        <v>Marruecos</v>
      </c>
      <c r="D162" s="9" t="str">
        <f ca="1">+WORLDCUP!BD64</f>
        <v>Bélgica</v>
      </c>
      <c r="E162" s="9" t="str">
        <f ca="1">+WORLDCUP!BD59</f>
        <v>Bosnia y Herzegovina</v>
      </c>
      <c r="F162" s="9" t="str">
        <f ca="1">+WORLDCUP!BD61</f>
        <v>Turquía</v>
      </c>
      <c r="G162" s="9" t="str">
        <f ca="1">+WORLDCUP!BD67</f>
        <v>Jordania</v>
      </c>
      <c r="H162" s="9" t="str">
        <f ca="1">+WORLDCUP!BD63</f>
        <v>Japón</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c r="A163" s="9" t="s">
        <v>948</v>
      </c>
      <c r="B163" s="9">
        <f ca="1">+IF(A163=WORLDCUP!$BI$112,1,0)</f>
        <v>0</v>
      </c>
      <c r="C163" s="9" t="str">
        <f ca="1">+WORLDCUP!BD60</f>
        <v>Marruecos</v>
      </c>
      <c r="D163" s="9" t="str">
        <f ca="1">+WORLDCUP!BD64</f>
        <v>Bélgica</v>
      </c>
      <c r="E163" s="9" t="str">
        <f ca="1">+WORLDCUP!BD59</f>
        <v>Bosnia y Herzegovina</v>
      </c>
      <c r="F163" s="9" t="str">
        <f ca="1">+WORLDCUP!BD61</f>
        <v>Turquía</v>
      </c>
      <c r="G163" s="9" t="str">
        <f ca="1">+WORLDCUP!BD65</f>
        <v>España</v>
      </c>
      <c r="H163" s="9" t="str">
        <f ca="1">+WORLDCUP!BD63</f>
        <v>Japón</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c r="A164" s="9" t="s">
        <v>949</v>
      </c>
      <c r="B164" s="9">
        <f ca="1">+IF(A164=WORLDCUP!$BI$112,1,0)</f>
        <v>0</v>
      </c>
      <c r="C164" s="9" t="str">
        <f ca="1">+WORLDCUP!BD60</f>
        <v>Marruecos</v>
      </c>
      <c r="D164" s="9" t="str">
        <f ca="1">+WORLDCUP!BD64</f>
        <v>Bélgica</v>
      </c>
      <c r="E164" s="9" t="str">
        <f ca="1">+WORLDCUP!BD59</f>
        <v>Bosnia y Herzegovina</v>
      </c>
      <c r="F164" s="9" t="str">
        <f ca="1">+WORLDCUP!BD61</f>
        <v>Turquía</v>
      </c>
      <c r="G164" s="9" t="str">
        <f ca="1">+WORLDCUP!BD65</f>
        <v>España</v>
      </c>
      <c r="H164" s="9" t="str">
        <f ca="1">+WORLDCUP!BD63</f>
        <v>Japón</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c r="A165" s="9" t="s">
        <v>950</v>
      </c>
      <c r="B165" s="9">
        <f ca="1">+IF(A165=WORLDCUP!$BI$112,1,0)</f>
        <v>0</v>
      </c>
      <c r="C165" s="9" t="str">
        <f ca="1">+WORLDCUP!BD65</f>
        <v>España</v>
      </c>
      <c r="D165" s="9" t="str">
        <f ca="1">+WORLDCUP!BD64</f>
        <v>Bélgica</v>
      </c>
      <c r="E165" s="9" t="str">
        <f ca="1">+WORLDCUP!BD59</f>
        <v>Bosnia y Herzegovina</v>
      </c>
      <c r="F165" s="9" t="str">
        <f ca="1">+WORLDCUP!BD60</f>
        <v>Marruecos</v>
      </c>
      <c r="G165" s="9" t="str">
        <f ca="1">+WORLDCUP!BD67</f>
        <v>Jordania</v>
      </c>
      <c r="H165" s="9" t="str">
        <f ca="1">+WORLDCUP!BD63</f>
        <v>Japón</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c r="A166" s="9" t="s">
        <v>951</v>
      </c>
      <c r="B166" s="9">
        <f ca="1">+IF(A166=WORLDCUP!$BI$112,1,0)</f>
        <v>0</v>
      </c>
      <c r="C166" s="9" t="str">
        <f ca="1">+WORLDCUP!BD60</f>
        <v>Marruecos</v>
      </c>
      <c r="D166" s="9" t="str">
        <f ca="1">+WORLDCUP!BD64</f>
        <v>Bélgica</v>
      </c>
      <c r="E166" s="9" t="str">
        <f ca="1">+WORLDCUP!BD59</f>
        <v>Bosnia y Herzegovina</v>
      </c>
      <c r="F166" s="9" t="str">
        <f ca="1">+WORLDCUP!BD61</f>
        <v>Turquía</v>
      </c>
      <c r="G166" s="9" t="str">
        <f ca="1">+WORLDCUP!BD65</f>
        <v>España</v>
      </c>
      <c r="H166" s="9" t="str">
        <f ca="1">+WORLDCUP!BD63</f>
        <v>Japón</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c r="A167" s="9" t="s">
        <v>952</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c r="A169" s="9" t="s">
        <v>954</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c r="A170" s="9" t="s">
        <v>955</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c r="A171" s="9" t="s">
        <v>956</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c r="A172" s="9" t="s">
        <v>957</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c r="A173" s="9" t="s">
        <v>958</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c r="A174" s="9" t="s">
        <v>959</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c r="A175" s="9" t="s">
        <v>960</v>
      </c>
      <c r="B175" s="9">
        <f ca="1">+IF(A175=WORLDCUP!$BI$112,1,0)</f>
        <v>0</v>
      </c>
      <c r="C175" s="9" t="str">
        <f ca="1">+WORLDCUP!BD65</f>
        <v>España</v>
      </c>
      <c r="D175" s="9" t="str">
        <f ca="1">+WORLDCUP!BD67</f>
        <v>Jordania</v>
      </c>
      <c r="E175" s="9" t="str">
        <f ca="1">+WORLDCUP!BD66</f>
        <v>Senegal</v>
      </c>
      <c r="F175" s="9" t="str">
        <f ca="1">+WORLDCUP!BD61</f>
        <v>Turquía</v>
      </c>
      <c r="G175" s="9" t="str">
        <f ca="1">+WORLDCUP!BD58</f>
        <v>República Checa</v>
      </c>
      <c r="H175" s="9" t="str">
        <f ca="1">+WORLDCUP!BD64</f>
        <v>Bélgica</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c r="A176" s="9" t="s">
        <v>961</v>
      </c>
      <c r="B176" s="9">
        <f ca="1">+IF(A176=WORLDCUP!$BI$112,1,0)</f>
        <v>0</v>
      </c>
      <c r="C176" s="9" t="str">
        <f ca="1">+WORLDCUP!BD65</f>
        <v>España</v>
      </c>
      <c r="D176" s="9" t="str">
        <f ca="1">+WORLDCUP!BD67</f>
        <v>Jordania</v>
      </c>
      <c r="E176" s="9" t="str">
        <f ca="1">+WORLDCUP!BD66</f>
        <v>Senegal</v>
      </c>
      <c r="F176" s="9" t="str">
        <f ca="1">+WORLDCUP!BD61</f>
        <v>Turquía</v>
      </c>
      <c r="G176" s="9" t="str">
        <f ca="1">+WORLDCUP!BD58</f>
        <v>República Checa</v>
      </c>
      <c r="H176" s="9" t="str">
        <f ca="1">+WORLDCUP!BD63</f>
        <v>Japón</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c r="A177" s="9" t="s">
        <v>962</v>
      </c>
      <c r="B177" s="9">
        <f ca="1">+IF(A177=WORLDCUP!$BI$112,1,0)</f>
        <v>0</v>
      </c>
      <c r="C177" s="9" t="str">
        <f ca="1">+WORLDCUP!BD66</f>
        <v>Senegal</v>
      </c>
      <c r="D177" s="9" t="str">
        <f ca="1">+WORLDCUP!BD64</f>
        <v>Bélgica</v>
      </c>
      <c r="E177" s="9" t="str">
        <f ca="1">+WORLDCUP!BD67</f>
        <v>Jordania</v>
      </c>
      <c r="F177" s="9" t="str">
        <f ca="1">+WORLDCUP!BD61</f>
        <v>Turquía</v>
      </c>
      <c r="G177" s="9" t="str">
        <f ca="1">+WORLDCUP!BD58</f>
        <v>República Checa</v>
      </c>
      <c r="H177" s="9" t="str">
        <f ca="1">+WORLDCUP!BD63</f>
        <v>Japón</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c r="A178" s="9" t="s">
        <v>963</v>
      </c>
      <c r="B178" s="9">
        <f ca="1">+IF(A178=WORLDCUP!$BI$112,1,0)</f>
        <v>0</v>
      </c>
      <c r="C178" s="9" t="str">
        <f ca="1">+WORLDCUP!BD65</f>
        <v>España</v>
      </c>
      <c r="D178" s="9" t="str">
        <f ca="1">+WORLDCUP!BD64</f>
        <v>Bélgica</v>
      </c>
      <c r="E178" s="9" t="str">
        <f ca="1">+WORLDCUP!BD67</f>
        <v>Jordania</v>
      </c>
      <c r="F178" s="9" t="str">
        <f ca="1">+WORLDCUP!BD61</f>
        <v>Turquía</v>
      </c>
      <c r="G178" s="9" t="str">
        <f ca="1">+WORLDCUP!BD58</f>
        <v>República Checa</v>
      </c>
      <c r="H178" s="9" t="str">
        <f ca="1">+WORLDCUP!BD63</f>
        <v>Japón</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c r="A179" s="9" t="s">
        <v>964</v>
      </c>
      <c r="B179" s="9">
        <f ca="1">+IF(A179=WORLDCUP!$BI$112,1,0)</f>
        <v>0</v>
      </c>
      <c r="C179" s="9" t="str">
        <f ca="1">+WORLDCUP!BD65</f>
        <v>España</v>
      </c>
      <c r="D179" s="9" t="str">
        <f ca="1">+WORLDCUP!BD64</f>
        <v>Bélgica</v>
      </c>
      <c r="E179" s="9" t="str">
        <f ca="1">+WORLDCUP!BD66</f>
        <v>Senegal</v>
      </c>
      <c r="F179" s="9" t="str">
        <f ca="1">+WORLDCUP!BD61</f>
        <v>Turquía</v>
      </c>
      <c r="G179" s="9" t="str">
        <f ca="1">+WORLDCUP!BD58</f>
        <v>República Checa</v>
      </c>
      <c r="H179" s="9" t="str">
        <f ca="1">+WORLDCUP!BD63</f>
        <v>Japón</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c r="A180" s="9" t="s">
        <v>965</v>
      </c>
      <c r="B180" s="9">
        <f ca="1">+IF(A180=WORLDCUP!$BI$112,1,0)</f>
        <v>0</v>
      </c>
      <c r="C180" s="9" t="str">
        <f ca="1">+WORLDCUP!BD65</f>
        <v>España</v>
      </c>
      <c r="D180" s="9" t="str">
        <f ca="1">+WORLDCUP!BD64</f>
        <v>Bélgica</v>
      </c>
      <c r="E180" s="9" t="str">
        <f ca="1">+WORLDCUP!BD67</f>
        <v>Jordania</v>
      </c>
      <c r="F180" s="9" t="str">
        <f ca="1">+WORLDCUP!BD61</f>
        <v>Turquía</v>
      </c>
      <c r="G180" s="9" t="str">
        <f ca="1">+WORLDCUP!BD58</f>
        <v>República Checa</v>
      </c>
      <c r="H180" s="9" t="str">
        <f ca="1">+WORLDCUP!BD63</f>
        <v>Japón</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c r="A181" s="9" t="s">
        <v>966</v>
      </c>
      <c r="B181" s="9">
        <f ca="1">+IF(A181=WORLDCUP!$BI$112,1,0)</f>
        <v>0</v>
      </c>
      <c r="C181" s="9" t="str">
        <f ca="1">+WORLDCUP!BD65</f>
        <v>España</v>
      </c>
      <c r="D181" s="9" t="str">
        <f ca="1">+WORLDCUP!BD64</f>
        <v>Bélgica</v>
      </c>
      <c r="E181" s="9" t="str">
        <f ca="1">+WORLDCUP!BD67</f>
        <v>Jordania</v>
      </c>
      <c r="F181" s="9" t="str">
        <f ca="1">+WORLDCUP!BD61</f>
        <v>Turquía</v>
      </c>
      <c r="G181" s="9" t="str">
        <f ca="1">+WORLDCUP!BD58</f>
        <v>República Checa</v>
      </c>
      <c r="H181" s="9" t="str">
        <f ca="1">+WORLDCUP!BD63</f>
        <v>Japón</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c r="A182" s="9" t="s">
        <v>967</v>
      </c>
      <c r="B182" s="9">
        <f ca="1">+IF(A182=WORLDCUP!$BI$112,1,0)</f>
        <v>0</v>
      </c>
      <c r="C182" s="9" t="str">
        <f ca="1">+WORLDCUP!BD62</f>
        <v>Ecuador</v>
      </c>
      <c r="D182" s="9" t="str">
        <f ca="1">+WORLDCUP!BD67</f>
        <v>Jordania</v>
      </c>
      <c r="E182" s="9" t="str">
        <f ca="1">+WORLDCUP!BD66</f>
        <v>Senegal</v>
      </c>
      <c r="F182" s="9" t="str">
        <f ca="1">+WORLDCUP!BD61</f>
        <v>Turquía</v>
      </c>
      <c r="G182" s="9" t="str">
        <f ca="1">+WORLDCUP!BD58</f>
        <v>República Checa</v>
      </c>
      <c r="H182" s="9" t="str">
        <f ca="1">+WORLDCUP!BD65</f>
        <v>España</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c r="A183" s="9" t="s">
        <v>968</v>
      </c>
      <c r="B183" s="9">
        <f ca="1">+IF(A183=WORLDCUP!$BI$112,1,0)</f>
        <v>0</v>
      </c>
      <c r="C183" s="9" t="str">
        <f ca="1">+WORLDCUP!BD62</f>
        <v>Ecuador</v>
      </c>
      <c r="D183" s="9" t="str">
        <f ca="1">+WORLDCUP!BD67</f>
        <v>Jordania</v>
      </c>
      <c r="E183" s="9" t="str">
        <f ca="1">+WORLDCUP!BD66</f>
        <v>Senegal</v>
      </c>
      <c r="F183" s="9" t="str">
        <f ca="1">+WORLDCUP!BD61</f>
        <v>Turquía</v>
      </c>
      <c r="G183" s="9" t="str">
        <f ca="1">+WORLDCUP!BD58</f>
        <v>República Checa</v>
      </c>
      <c r="H183" s="9" t="str">
        <f ca="1">+WORLDCUP!BD64</f>
        <v>Bélgica</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c r="A184" s="9" t="s">
        <v>969</v>
      </c>
      <c r="B184" s="9">
        <f ca="1">+IF(A184=WORLDCUP!$BI$112,1,0)</f>
        <v>0</v>
      </c>
      <c r="C184" s="9" t="str">
        <f ca="1">+WORLDCUP!BD62</f>
        <v>Ecuador</v>
      </c>
      <c r="D184" s="9" t="str">
        <f ca="1">+WORLDCUP!BD64</f>
        <v>Bélgica</v>
      </c>
      <c r="E184" s="9" t="str">
        <f ca="1">+WORLDCUP!BD67</f>
        <v>Jordania</v>
      </c>
      <c r="F184" s="9" t="str">
        <f ca="1">+WORLDCUP!BD61</f>
        <v>Turquía</v>
      </c>
      <c r="G184" s="9" t="str">
        <f ca="1">+WORLDCUP!BD58</f>
        <v>República Checa</v>
      </c>
      <c r="H184" s="9" t="str">
        <f ca="1">+WORLDCUP!BD65</f>
        <v>España</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c r="A185" s="9" t="s">
        <v>970</v>
      </c>
      <c r="B185" s="9">
        <f ca="1">+IF(A185=WORLDCUP!$BI$112,1,0)</f>
        <v>0</v>
      </c>
      <c r="C185" s="9" t="str">
        <f ca="1">+WORLDCUP!BD62</f>
        <v>Ecuador</v>
      </c>
      <c r="D185" s="9" t="str">
        <f ca="1">+WORLDCUP!BD64</f>
        <v>Bélgica</v>
      </c>
      <c r="E185" s="9" t="str">
        <f ca="1">+WORLDCUP!BD66</f>
        <v>Senegal</v>
      </c>
      <c r="F185" s="9" t="str">
        <f ca="1">+WORLDCUP!BD61</f>
        <v>Turquía</v>
      </c>
      <c r="G185" s="9" t="str">
        <f ca="1">+WORLDCUP!BD58</f>
        <v>República Checa</v>
      </c>
      <c r="H185" s="9" t="str">
        <f ca="1">+WORLDCUP!BD65</f>
        <v>España</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c r="A186" s="9" t="s">
        <v>971</v>
      </c>
      <c r="B186" s="9">
        <f ca="1">+IF(A186=WORLDCUP!$BI$112,1,0)</f>
        <v>0</v>
      </c>
      <c r="C186" s="9" t="str">
        <f ca="1">+WORLDCUP!BD62</f>
        <v>Ecuador</v>
      </c>
      <c r="D186" s="9" t="str">
        <f ca="1">+WORLDCUP!BD64</f>
        <v>Bélgica</v>
      </c>
      <c r="E186" s="9" t="str">
        <f ca="1">+WORLDCUP!BD67</f>
        <v>Jordania</v>
      </c>
      <c r="F186" s="9" t="str">
        <f ca="1">+WORLDCUP!BD61</f>
        <v>Turquía</v>
      </c>
      <c r="G186" s="9" t="str">
        <f ca="1">+WORLDCUP!BD58</f>
        <v>República Checa</v>
      </c>
      <c r="H186" s="9" t="str">
        <f ca="1">+WORLDCUP!BD65</f>
        <v>España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c r="A187" s="9" t="s">
        <v>972</v>
      </c>
      <c r="B187" s="9">
        <f ca="1">+IF(A187=WORLDCUP!$BI$112,1,0)</f>
        <v>0</v>
      </c>
      <c r="C187" s="9" t="str">
        <f ca="1">+WORLDCUP!BD62</f>
        <v>Ecuador</v>
      </c>
      <c r="D187" s="9" t="str">
        <f ca="1">+WORLDCUP!BD64</f>
        <v>Bélgica</v>
      </c>
      <c r="E187" s="9" t="str">
        <f ca="1">+WORLDCUP!BD67</f>
        <v>Jordania</v>
      </c>
      <c r="F187" s="9" t="str">
        <f ca="1">+WORLDCUP!BD61</f>
        <v>Turquía</v>
      </c>
      <c r="G187" s="9" t="str">
        <f ca="1">+WORLDCUP!BD58</f>
        <v>República Checa</v>
      </c>
      <c r="H187" s="9" t="str">
        <f ca="1">+WORLDCUP!BD65</f>
        <v>España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c r="A188" s="9" t="s">
        <v>973</v>
      </c>
      <c r="B188" s="9">
        <f ca="1">+IF(A188=WORLDCUP!$BI$112,1,0)</f>
        <v>0</v>
      </c>
      <c r="C188" s="9" t="str">
        <f ca="1">+WORLDCUP!BD62</f>
        <v>Ecuador</v>
      </c>
      <c r="D188" s="9" t="str">
        <f ca="1">+WORLDCUP!BD67</f>
        <v>Jordania</v>
      </c>
      <c r="E188" s="9" t="str">
        <f ca="1">+WORLDCUP!BD66</f>
        <v>Senegal</v>
      </c>
      <c r="F188" s="9" t="str">
        <f ca="1">+WORLDCUP!BD61</f>
        <v>Turquía</v>
      </c>
      <c r="G188" s="9" t="str">
        <f ca="1">+WORLDCUP!BD58</f>
        <v>República Checa</v>
      </c>
      <c r="H188" s="9" t="str">
        <f ca="1">+WORLDCUP!BD63</f>
        <v>Japón</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c r="A189" s="9" t="s">
        <v>974</v>
      </c>
      <c r="B189" s="9">
        <f ca="1">+IF(A189=WORLDCUP!$BI$112,1,0)</f>
        <v>0</v>
      </c>
      <c r="C189" s="9" t="str">
        <f ca="1">+WORLDCUP!BD65</f>
        <v>España</v>
      </c>
      <c r="D189" s="9" t="str">
        <f ca="1">+WORLDCUP!BD67</f>
        <v>Jordania</v>
      </c>
      <c r="E189" s="9" t="str">
        <f ca="1">+WORLDCUP!BD62</f>
        <v>Ecuador</v>
      </c>
      <c r="F189" s="9" t="str">
        <f ca="1">+WORLDCUP!BD61</f>
        <v>Turquía</v>
      </c>
      <c r="G189" s="9" t="str">
        <f ca="1">+WORLDCUP!BD58</f>
        <v>República Checa</v>
      </c>
      <c r="H189" s="9" t="str">
        <f ca="1">+WORLDCUP!BD63</f>
        <v>Japón</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c r="A190" s="9" t="s">
        <v>975</v>
      </c>
      <c r="B190" s="9">
        <f ca="1">+IF(A190=WORLDCUP!$BI$112,1,0)</f>
        <v>0</v>
      </c>
      <c r="C190" s="9" t="str">
        <f ca="1">+WORLDCUP!BD65</f>
        <v>España</v>
      </c>
      <c r="D190" s="9" t="str">
        <f ca="1">+WORLDCUP!BD62</f>
        <v>Ecuador</v>
      </c>
      <c r="E190" s="9" t="str">
        <f ca="1">+WORLDCUP!BD66</f>
        <v>Senegal</v>
      </c>
      <c r="F190" s="9" t="str">
        <f ca="1">+WORLDCUP!BD61</f>
        <v>Turquía</v>
      </c>
      <c r="G190" s="9" t="str">
        <f ca="1">+WORLDCUP!BD58</f>
        <v>República Checa</v>
      </c>
      <c r="H190" s="9" t="str">
        <f ca="1">+WORLDCUP!BD63</f>
        <v>Japón</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c r="A191" s="9" t="s">
        <v>976</v>
      </c>
      <c r="B191" s="9">
        <f ca="1">+IF(A191=WORLDCUP!$BI$112,1,0)</f>
        <v>0</v>
      </c>
      <c r="C191" s="9" t="str">
        <f ca="1">+WORLDCUP!BD65</f>
        <v>España</v>
      </c>
      <c r="D191" s="9" t="str">
        <f ca="1">+WORLDCUP!BD67</f>
        <v>Jordania</v>
      </c>
      <c r="E191" s="9" t="str">
        <f ca="1">+WORLDCUP!BD62</f>
        <v>Ecuador</v>
      </c>
      <c r="F191" s="9" t="str">
        <f ca="1">+WORLDCUP!BD61</f>
        <v>Turquía</v>
      </c>
      <c r="G191" s="9" t="str">
        <f ca="1">+WORLDCUP!BD58</f>
        <v>República Checa</v>
      </c>
      <c r="H191" s="9" t="str">
        <f ca="1">+WORLDCUP!BD63</f>
        <v>Japón</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c r="A192" s="9" t="s">
        <v>977</v>
      </c>
      <c r="B192" s="9">
        <f ca="1">+IF(A192=WORLDCUP!$BI$112,1,0)</f>
        <v>0</v>
      </c>
      <c r="C192" s="9" t="str">
        <f ca="1">+WORLDCUP!BD65</f>
        <v>España</v>
      </c>
      <c r="D192" s="9" t="str">
        <f ca="1">+WORLDCUP!BD67</f>
        <v>Jordania</v>
      </c>
      <c r="E192" s="9" t="str">
        <f ca="1">+WORLDCUP!BD62</f>
        <v>Ecuador</v>
      </c>
      <c r="F192" s="9" t="str">
        <f ca="1">+WORLDCUP!BD61</f>
        <v>Turquía</v>
      </c>
      <c r="G192" s="9" t="str">
        <f ca="1">+WORLDCUP!BD58</f>
        <v>República Checa</v>
      </c>
      <c r="H192" s="9" t="str">
        <f ca="1">+WORLDCUP!BD63</f>
        <v>Japón</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c r="A193" s="9" t="s">
        <v>978</v>
      </c>
      <c r="B193" s="9">
        <f ca="1">+IF(A193=WORLDCUP!$BI$112,1,0)</f>
        <v>0</v>
      </c>
      <c r="C193" s="9" t="str">
        <f ca="1">+WORLDCUP!BD62</f>
        <v>Ecuador</v>
      </c>
      <c r="D193" s="9" t="str">
        <f ca="1">+WORLDCUP!BD64</f>
        <v>Bélgica</v>
      </c>
      <c r="E193" s="9" t="str">
        <f ca="1">+WORLDCUP!BD67</f>
        <v>Jordania</v>
      </c>
      <c r="F193" s="9" t="str">
        <f ca="1">+WORLDCUP!BD61</f>
        <v>Turquía</v>
      </c>
      <c r="G193" s="9" t="str">
        <f ca="1">+WORLDCUP!BD58</f>
        <v>República Checa</v>
      </c>
      <c r="H193" s="9" t="str">
        <f ca="1">+WORLDCUP!BD63</f>
        <v>Japón</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c r="A194" s="9" t="s">
        <v>979</v>
      </c>
      <c r="B194" s="9">
        <f ca="1">+IF(A194=WORLDCUP!$BI$112,1,0)</f>
        <v>0</v>
      </c>
      <c r="C194" s="9" t="str">
        <f ca="1">+WORLDCUP!BD62</f>
        <v>Ecuador</v>
      </c>
      <c r="D194" s="9" t="str">
        <f ca="1">+WORLDCUP!BD64</f>
        <v>Bélgica</v>
      </c>
      <c r="E194" s="9" t="str">
        <f ca="1">+WORLDCUP!BD66</f>
        <v>Senegal</v>
      </c>
      <c r="F194" s="9" t="str">
        <f ca="1">+WORLDCUP!BD61</f>
        <v>Turquía</v>
      </c>
      <c r="G194" s="9" t="str">
        <f ca="1">+WORLDCUP!BD58</f>
        <v>República Checa</v>
      </c>
      <c r="H194" s="9" t="str">
        <f ca="1">+WORLDCUP!BD63</f>
        <v>Japón</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c r="A195" s="9" t="s">
        <v>980</v>
      </c>
      <c r="B195" s="9">
        <f ca="1">+IF(A195=WORLDCUP!$BI$112,1,0)</f>
        <v>0</v>
      </c>
      <c r="C195" s="9" t="str">
        <f ca="1">+WORLDCUP!BD62</f>
        <v>Ecuador</v>
      </c>
      <c r="D195" s="9" t="str">
        <f ca="1">+WORLDCUP!BD64</f>
        <v>Bélgica</v>
      </c>
      <c r="E195" s="9" t="str">
        <f ca="1">+WORLDCUP!BD67</f>
        <v>Jordania</v>
      </c>
      <c r="F195" s="9" t="str">
        <f ca="1">+WORLDCUP!BD61</f>
        <v>Turquía</v>
      </c>
      <c r="G195" s="9" t="str">
        <f ca="1">+WORLDCUP!BD58</f>
        <v>República Checa</v>
      </c>
      <c r="H195" s="9" t="str">
        <f ca="1">+WORLDCUP!BD63</f>
        <v>Japón</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c r="A196" s="9" t="s">
        <v>981</v>
      </c>
      <c r="B196" s="9">
        <f ca="1">+IF(A196=WORLDCUP!$BI$112,1,0)</f>
        <v>0</v>
      </c>
      <c r="C196" s="9" t="str">
        <f ca="1">+WORLDCUP!BD62</f>
        <v>Ecuador</v>
      </c>
      <c r="D196" s="9" t="str">
        <f ca="1">+WORLDCUP!BD64</f>
        <v>Bélgica</v>
      </c>
      <c r="E196" s="9" t="str">
        <f ca="1">+WORLDCUP!BD67</f>
        <v>Jordania</v>
      </c>
      <c r="F196" s="9" t="str">
        <f ca="1">+WORLDCUP!BD61</f>
        <v>Turquía</v>
      </c>
      <c r="G196" s="9" t="str">
        <f ca="1">+WORLDCUP!BD58</f>
        <v>República Checa</v>
      </c>
      <c r="H196" s="9" t="str">
        <f ca="1">+WORLDCUP!BD63</f>
        <v>Japón</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c r="A197" s="9" t="s">
        <v>982</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c r="A198" s="9" t="s">
        <v>983</v>
      </c>
      <c r="B198" s="9">
        <f ca="1">+IF(A198=WORLDCUP!$BI$112,1,0)</f>
        <v>0</v>
      </c>
      <c r="C198" s="9" t="str">
        <f ca="1">+WORLDCUP!BD65</f>
        <v>España</v>
      </c>
      <c r="D198" s="9" t="str">
        <f ca="1">+WORLDCUP!BD64</f>
        <v>Bélgica</v>
      </c>
      <c r="E198" s="9" t="str">
        <f ca="1">+WORLDCUP!BD67</f>
        <v>Jordania</v>
      </c>
      <c r="F198" s="9" t="str">
        <f ca="1">+WORLDCUP!BD61</f>
        <v>Turquía</v>
      </c>
      <c r="G198" s="9" t="str">
        <f ca="1">+WORLDCUP!BD58</f>
        <v>República Checa</v>
      </c>
      <c r="H198" s="9" t="str">
        <f ca="1">+WORLDCUP!BD63</f>
        <v>Japón</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c r="A199" s="9" t="s">
        <v>984</v>
      </c>
      <c r="B199" s="9">
        <f ca="1">+IF(A199=WORLDCUP!$BI$112,1,0)</f>
        <v>0</v>
      </c>
      <c r="C199" s="9" t="str">
        <f ca="1">+WORLDCUP!BD65</f>
        <v>España</v>
      </c>
      <c r="D199" s="9" t="str">
        <f ca="1">+WORLDCUP!BD64</f>
        <v>Bélgica</v>
      </c>
      <c r="E199" s="9" t="str">
        <f ca="1">+WORLDCUP!BD67</f>
        <v>Jordania</v>
      </c>
      <c r="F199" s="9" t="str">
        <f ca="1">+WORLDCUP!BD61</f>
        <v>Turquía</v>
      </c>
      <c r="G199" s="9" t="str">
        <f ca="1">+WORLDCUP!BD58</f>
        <v>República Checa</v>
      </c>
      <c r="H199" s="9" t="str">
        <f ca="1">+WORLDCUP!BD63</f>
        <v>Japón</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c r="A200" s="9" t="s">
        <v>985</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c r="A201" s="9" t="s">
        <v>986</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c r="A202" s="9" t="s">
        <v>987</v>
      </c>
      <c r="B202" s="9">
        <f ca="1">+IF(A202=WORLDCUP!$BI$112,1,0)</f>
        <v>0</v>
      </c>
      <c r="C202" s="9" t="str">
        <f ca="1">+WORLDCUP!BD65</f>
        <v>España</v>
      </c>
      <c r="D202" s="9" t="str">
        <f ca="1">+WORLDCUP!BD64</f>
        <v>Bélgica</v>
      </c>
      <c r="E202" s="9" t="str">
        <f ca="1">+WORLDCUP!BD67</f>
        <v>Jordania</v>
      </c>
      <c r="F202" s="9" t="str">
        <f ca="1">+WORLDCUP!BD61</f>
        <v>Turquía</v>
      </c>
      <c r="G202" s="9" t="str">
        <f ca="1">+WORLDCUP!BD58</f>
        <v>República Checa</v>
      </c>
      <c r="H202" s="9" t="str">
        <f ca="1">+WORLDCUP!BD63</f>
        <v>Japón</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c r="A203" s="9" t="s">
        <v>988</v>
      </c>
      <c r="B203" s="9">
        <f ca="1">+IF(A203=WORLDCUP!$BI$112,1,0)</f>
        <v>0</v>
      </c>
      <c r="C203" s="9" t="str">
        <f ca="1">+WORLDCUP!BD65</f>
        <v>España</v>
      </c>
      <c r="D203" s="9" t="str">
        <f ca="1">+WORLDCUP!BD67</f>
        <v>Jordania</v>
      </c>
      <c r="E203" s="9" t="str">
        <f ca="1">+WORLDCUP!BD66</f>
        <v>Senegal</v>
      </c>
      <c r="F203" s="9" t="str">
        <f ca="1">+WORLDCUP!BD60</f>
        <v>Marruecos</v>
      </c>
      <c r="G203" s="9" t="str">
        <f ca="1">+WORLDCUP!BD58</f>
        <v>República Checa</v>
      </c>
      <c r="H203" s="9" t="str">
        <f ca="1">+WORLDCUP!BD64</f>
        <v>Bélgica</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c r="A204" s="9" t="s">
        <v>989</v>
      </c>
      <c r="B204" s="9">
        <f ca="1">+IF(A204=WORLDCUP!$BI$112,1,0)</f>
        <v>0</v>
      </c>
      <c r="C204" s="9" t="str">
        <f ca="1">+WORLDCUP!BD65</f>
        <v>España</v>
      </c>
      <c r="D204" s="9" t="str">
        <f ca="1">+WORLDCUP!BD67</f>
        <v>Jordania</v>
      </c>
      <c r="E204" s="9" t="str">
        <f ca="1">+WORLDCUP!BD66</f>
        <v>Senegal</v>
      </c>
      <c r="F204" s="9" t="str">
        <f ca="1">+WORLDCUP!BD60</f>
        <v>Marruecos</v>
      </c>
      <c r="G204" s="9" t="str">
        <f ca="1">+WORLDCUP!BD58</f>
        <v>República Checa</v>
      </c>
      <c r="H204" s="9" t="str">
        <f ca="1">+WORLDCUP!BD63</f>
        <v>Japón</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c r="A205" s="9" t="s">
        <v>990</v>
      </c>
      <c r="B205" s="9">
        <f ca="1">+IF(A205=WORLDCUP!$BI$112,1,0)</f>
        <v>0</v>
      </c>
      <c r="C205" s="9" t="str">
        <f ca="1">+WORLDCUP!BD66</f>
        <v>Senegal</v>
      </c>
      <c r="D205" s="9" t="str">
        <f ca="1">+WORLDCUP!BD64</f>
        <v>Bélgica</v>
      </c>
      <c r="E205" s="9" t="str">
        <f ca="1">+WORLDCUP!BD67</f>
        <v>Jordania</v>
      </c>
      <c r="F205" s="9" t="str">
        <f ca="1">+WORLDCUP!BD60</f>
        <v>Marruecos</v>
      </c>
      <c r="G205" s="9" t="str">
        <f ca="1">+WORLDCUP!BD58</f>
        <v>República Checa</v>
      </c>
      <c r="H205" s="9" t="str">
        <f ca="1">+WORLDCUP!BD63</f>
        <v>Japón</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c r="A206" s="9" t="s">
        <v>991</v>
      </c>
      <c r="B206" s="9">
        <f ca="1">+IF(A206=WORLDCUP!$BI$112,1,0)</f>
        <v>0</v>
      </c>
      <c r="C206" s="9" t="str">
        <f ca="1">+WORLDCUP!BD65</f>
        <v>España</v>
      </c>
      <c r="D206" s="9" t="str">
        <f ca="1">+WORLDCUP!BD64</f>
        <v>Bélgica</v>
      </c>
      <c r="E206" s="9" t="str">
        <f ca="1">+WORLDCUP!BD67</f>
        <v>Jordania</v>
      </c>
      <c r="F206" s="9" t="str">
        <f ca="1">+WORLDCUP!BD60</f>
        <v>Marruecos</v>
      </c>
      <c r="G206" s="9" t="str">
        <f ca="1">+WORLDCUP!BD58</f>
        <v>República Checa</v>
      </c>
      <c r="H206" s="9" t="str">
        <f ca="1">+WORLDCUP!BD63</f>
        <v>Japón</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c r="A207" s="9" t="s">
        <v>992</v>
      </c>
      <c r="B207" s="9">
        <f ca="1">+IF(A207=WORLDCUP!$BI$112,1,0)</f>
        <v>0</v>
      </c>
      <c r="C207" s="9" t="str">
        <f ca="1">+WORLDCUP!BD65</f>
        <v>España</v>
      </c>
      <c r="D207" s="9" t="str">
        <f ca="1">+WORLDCUP!BD64</f>
        <v>Bélgica</v>
      </c>
      <c r="E207" s="9" t="str">
        <f ca="1">+WORLDCUP!BD66</f>
        <v>Senegal</v>
      </c>
      <c r="F207" s="9" t="str">
        <f ca="1">+WORLDCUP!BD60</f>
        <v>Marruecos</v>
      </c>
      <c r="G207" s="9" t="str">
        <f ca="1">+WORLDCUP!BD58</f>
        <v>República Checa</v>
      </c>
      <c r="H207" s="9" t="str">
        <f ca="1">+WORLDCUP!BD63</f>
        <v>Japón</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c r="A208" s="9" t="s">
        <v>993</v>
      </c>
      <c r="B208" s="9">
        <f ca="1">+IF(A208=WORLDCUP!$BI$112,1,0)</f>
        <v>0</v>
      </c>
      <c r="C208" s="9" t="str">
        <f ca="1">+WORLDCUP!BD65</f>
        <v>España</v>
      </c>
      <c r="D208" s="9" t="str">
        <f ca="1">+WORLDCUP!BD64</f>
        <v>Bélgica</v>
      </c>
      <c r="E208" s="9" t="str">
        <f ca="1">+WORLDCUP!BD67</f>
        <v>Jordania</v>
      </c>
      <c r="F208" s="9" t="str">
        <f ca="1">+WORLDCUP!BD60</f>
        <v>Marruecos</v>
      </c>
      <c r="G208" s="9" t="str">
        <f ca="1">+WORLDCUP!BD58</f>
        <v>República Checa</v>
      </c>
      <c r="H208" s="9" t="str">
        <f ca="1">+WORLDCUP!BD63</f>
        <v>Japón</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c r="A209" s="9" t="s">
        <v>994</v>
      </c>
      <c r="B209" s="9">
        <f ca="1">+IF(A209=WORLDCUP!$BI$112,1,0)</f>
        <v>0</v>
      </c>
      <c r="C209" s="9" t="str">
        <f ca="1">+WORLDCUP!BD65</f>
        <v>España</v>
      </c>
      <c r="D209" s="9" t="str">
        <f ca="1">+WORLDCUP!BD64</f>
        <v>Bélgica</v>
      </c>
      <c r="E209" s="9" t="str">
        <f ca="1">+WORLDCUP!BD67</f>
        <v>Jordania</v>
      </c>
      <c r="F209" s="9" t="str">
        <f ca="1">+WORLDCUP!BD60</f>
        <v>Marruecos</v>
      </c>
      <c r="G209" s="9" t="str">
        <f ca="1">+WORLDCUP!BD58</f>
        <v>República Checa</v>
      </c>
      <c r="H209" s="9" t="str">
        <f ca="1">+WORLDCUP!BD63</f>
        <v>Japón</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c r="A210" s="9" t="s">
        <v>995</v>
      </c>
      <c r="B210" s="9">
        <f ca="1">+IF(A210=WORLDCUP!$BI$112,1,0)</f>
        <v>0</v>
      </c>
      <c r="C210" s="9" t="str">
        <f ca="1">+WORLDCUP!BD62</f>
        <v>Ecuador</v>
      </c>
      <c r="D210" s="9" t="str">
        <f ca="1">+WORLDCUP!BD67</f>
        <v>Jordania</v>
      </c>
      <c r="E210" s="9" t="str">
        <f ca="1">+WORLDCUP!BD66</f>
        <v>Senegal</v>
      </c>
      <c r="F210" s="9" t="str">
        <f ca="1">+WORLDCUP!BD60</f>
        <v>Marruecos</v>
      </c>
      <c r="G210" s="9" t="str">
        <f ca="1">+WORLDCUP!BD58</f>
        <v>República Checa</v>
      </c>
      <c r="H210" s="9" t="str">
        <f ca="1">+WORLDCUP!BD65</f>
        <v>España</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c r="A211" s="9" t="s">
        <v>996</v>
      </c>
      <c r="B211" s="9">
        <f ca="1">+IF(A211=WORLDCUP!$BI$112,1,0)</f>
        <v>0</v>
      </c>
      <c r="C211" s="9" t="str">
        <f ca="1">+WORLDCUP!BD62</f>
        <v>Ecuador</v>
      </c>
      <c r="D211" s="9" t="str">
        <f ca="1">+WORLDCUP!BD67</f>
        <v>Jordania</v>
      </c>
      <c r="E211" s="9" t="str">
        <f ca="1">+WORLDCUP!BD66</f>
        <v>Senegal</v>
      </c>
      <c r="F211" s="9" t="str">
        <f ca="1">+WORLDCUP!BD60</f>
        <v>Marruecos</v>
      </c>
      <c r="G211" s="9" t="str">
        <f ca="1">+WORLDCUP!BD58</f>
        <v>República Checa</v>
      </c>
      <c r="H211" s="9" t="str">
        <f ca="1">+WORLDCUP!BD64</f>
        <v>Bélgica</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c r="A212" s="9" t="s">
        <v>997</v>
      </c>
      <c r="B212" s="9">
        <f ca="1">+IF(A212=WORLDCUP!$BI$112,1,0)</f>
        <v>0</v>
      </c>
      <c r="C212" s="9" t="str">
        <f ca="1">+WORLDCUP!BD62</f>
        <v>Ecuador</v>
      </c>
      <c r="D212" s="9" t="str">
        <f ca="1">+WORLDCUP!BD64</f>
        <v>Bélgica</v>
      </c>
      <c r="E212" s="9" t="str">
        <f ca="1">+WORLDCUP!BD67</f>
        <v>Jordania</v>
      </c>
      <c r="F212" s="9" t="str">
        <f ca="1">+WORLDCUP!BD60</f>
        <v>Marruecos</v>
      </c>
      <c r="G212" s="9" t="str">
        <f ca="1">+WORLDCUP!BD58</f>
        <v>República Checa</v>
      </c>
      <c r="H212" s="9" t="str">
        <f ca="1">+WORLDCUP!BD65</f>
        <v>España</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c r="A213" s="9" t="s">
        <v>998</v>
      </c>
      <c r="B213" s="9">
        <f ca="1">+IF(A213=WORLDCUP!$BI$112,1,0)</f>
        <v>0</v>
      </c>
      <c r="C213" s="9" t="str">
        <f ca="1">+WORLDCUP!BD62</f>
        <v>Ecuador</v>
      </c>
      <c r="D213" s="9" t="str">
        <f ca="1">+WORLDCUP!BD64</f>
        <v>Bélgica</v>
      </c>
      <c r="E213" s="9" t="str">
        <f ca="1">+WORLDCUP!BD66</f>
        <v>Senegal</v>
      </c>
      <c r="F213" s="9" t="str">
        <f ca="1">+WORLDCUP!BD60</f>
        <v>Marruecos</v>
      </c>
      <c r="G213" s="9" t="str">
        <f ca="1">+WORLDCUP!BD58</f>
        <v>República Checa</v>
      </c>
      <c r="H213" s="9" t="str">
        <f ca="1">+WORLDCUP!BD65</f>
        <v>España</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c r="A214" s="9" t="s">
        <v>999</v>
      </c>
      <c r="B214" s="9">
        <f ca="1">+IF(A214=WORLDCUP!$BI$112,1,0)</f>
        <v>0</v>
      </c>
      <c r="C214" s="9" t="str">
        <f ca="1">+WORLDCUP!BD62</f>
        <v>Ecuador</v>
      </c>
      <c r="D214" s="9" t="str">
        <f ca="1">+WORLDCUP!BD64</f>
        <v>Bélgica</v>
      </c>
      <c r="E214" s="9" t="str">
        <f ca="1">+WORLDCUP!BD67</f>
        <v>Jordania</v>
      </c>
      <c r="F214" s="9" t="str">
        <f ca="1">+WORLDCUP!BD60</f>
        <v>Marruecos</v>
      </c>
      <c r="G214" s="9" t="str">
        <f ca="1">+WORLDCUP!BD58</f>
        <v>República Checa</v>
      </c>
      <c r="H214" s="9" t="str">
        <f ca="1">+WORLDCUP!BD65</f>
        <v>España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c r="A215" s="9" t="s">
        <v>1000</v>
      </c>
      <c r="B215" s="9">
        <f ca="1">+IF(A215=WORLDCUP!$BI$112,1,0)</f>
        <v>0</v>
      </c>
      <c r="C215" s="9" t="str">
        <f ca="1">+WORLDCUP!BD62</f>
        <v>Ecuador</v>
      </c>
      <c r="D215" s="9" t="str">
        <f ca="1">+WORLDCUP!BD64</f>
        <v>Bélgica</v>
      </c>
      <c r="E215" s="9" t="str">
        <f ca="1">+WORLDCUP!BD67</f>
        <v>Jordania</v>
      </c>
      <c r="F215" s="9" t="str">
        <f ca="1">+WORLDCUP!BD60</f>
        <v>Marruecos</v>
      </c>
      <c r="G215" s="9" t="str">
        <f ca="1">+WORLDCUP!BD58</f>
        <v>República Checa</v>
      </c>
      <c r="H215" s="9" t="str">
        <f ca="1">+WORLDCUP!BD65</f>
        <v>España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c r="A216" s="9" t="s">
        <v>1001</v>
      </c>
      <c r="B216" s="9">
        <f ca="1">+IF(A216=WORLDCUP!$BI$112,1,0)</f>
        <v>0</v>
      </c>
      <c r="C216" s="9" t="str">
        <f ca="1">+WORLDCUP!BD62</f>
        <v>Ecuador</v>
      </c>
      <c r="D216" s="9" t="str">
        <f ca="1">+WORLDCUP!BD67</f>
        <v>Jordania</v>
      </c>
      <c r="E216" s="9" t="str">
        <f ca="1">+WORLDCUP!BD66</f>
        <v>Senegal</v>
      </c>
      <c r="F216" s="9" t="str">
        <f ca="1">+WORLDCUP!BD60</f>
        <v>Marruecos</v>
      </c>
      <c r="G216" s="9" t="str">
        <f ca="1">+WORLDCUP!BD58</f>
        <v>República Checa</v>
      </c>
      <c r="H216" s="9" t="str">
        <f ca="1">+WORLDCUP!BD63</f>
        <v>Japón</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c r="A217" s="9" t="s">
        <v>1002</v>
      </c>
      <c r="B217" s="9">
        <f ca="1">+IF(A217=WORLDCUP!$BI$112,1,0)</f>
        <v>0</v>
      </c>
      <c r="C217" s="9" t="str">
        <f ca="1">+WORLDCUP!BD65</f>
        <v>España</v>
      </c>
      <c r="D217" s="9" t="str">
        <f ca="1">+WORLDCUP!BD67</f>
        <v>Jordania</v>
      </c>
      <c r="E217" s="9" t="str">
        <f ca="1">+WORLDCUP!BD62</f>
        <v>Ecuador</v>
      </c>
      <c r="F217" s="9" t="str">
        <f ca="1">+WORLDCUP!BD60</f>
        <v>Marruecos</v>
      </c>
      <c r="G217" s="9" t="str">
        <f ca="1">+WORLDCUP!BD58</f>
        <v>República Checa</v>
      </c>
      <c r="H217" s="9" t="str">
        <f ca="1">+WORLDCUP!BD63</f>
        <v>Japón</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c r="A218" s="9" t="s">
        <v>1003</v>
      </c>
      <c r="B218" s="9">
        <f ca="1">+IF(A218=WORLDCUP!$BI$112,1,0)</f>
        <v>0</v>
      </c>
      <c r="C218" s="9" t="str">
        <f ca="1">+WORLDCUP!BD65</f>
        <v>España</v>
      </c>
      <c r="D218" s="9" t="str">
        <f ca="1">+WORLDCUP!BD62</f>
        <v>Ecuador</v>
      </c>
      <c r="E218" s="9" t="str">
        <f ca="1">+WORLDCUP!BD66</f>
        <v>Senegal</v>
      </c>
      <c r="F218" s="9" t="str">
        <f ca="1">+WORLDCUP!BD60</f>
        <v>Marruecos</v>
      </c>
      <c r="G218" s="9" t="str">
        <f ca="1">+WORLDCUP!BD58</f>
        <v>República Checa</v>
      </c>
      <c r="H218" s="9" t="str">
        <f ca="1">+WORLDCUP!BD63</f>
        <v>Japón</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c r="A219" s="9" t="s">
        <v>1004</v>
      </c>
      <c r="B219" s="9">
        <f ca="1">+IF(A219=WORLDCUP!$BI$112,1,0)</f>
        <v>0</v>
      </c>
      <c r="C219" s="9" t="str">
        <f ca="1">+WORLDCUP!BD65</f>
        <v>España</v>
      </c>
      <c r="D219" s="9" t="str">
        <f ca="1">+WORLDCUP!BD67</f>
        <v>Jordania</v>
      </c>
      <c r="E219" s="9" t="str">
        <f ca="1">+WORLDCUP!BD62</f>
        <v>Ecuador</v>
      </c>
      <c r="F219" s="9" t="str">
        <f ca="1">+WORLDCUP!BD60</f>
        <v>Marruecos</v>
      </c>
      <c r="G219" s="9" t="str">
        <f ca="1">+WORLDCUP!BD58</f>
        <v>República Checa</v>
      </c>
      <c r="H219" s="9" t="str">
        <f ca="1">+WORLDCUP!BD63</f>
        <v>Japón</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c r="A220" s="9" t="s">
        <v>1005</v>
      </c>
      <c r="B220" s="9">
        <f ca="1">+IF(A220=WORLDCUP!$BI$112,1,0)</f>
        <v>0</v>
      </c>
      <c r="C220" s="9" t="str">
        <f ca="1">+WORLDCUP!BD65</f>
        <v>España</v>
      </c>
      <c r="D220" s="9" t="str">
        <f ca="1">+WORLDCUP!BD67</f>
        <v>Jordania</v>
      </c>
      <c r="E220" s="9" t="str">
        <f ca="1">+WORLDCUP!BD62</f>
        <v>Ecuador</v>
      </c>
      <c r="F220" s="9" t="str">
        <f ca="1">+WORLDCUP!BD60</f>
        <v>Marruecos</v>
      </c>
      <c r="G220" s="9" t="str">
        <f ca="1">+WORLDCUP!BD58</f>
        <v>República Checa</v>
      </c>
      <c r="H220" s="9" t="str">
        <f ca="1">+WORLDCUP!BD63</f>
        <v>Japón</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c r="A221" s="9" t="s">
        <v>1006</v>
      </c>
      <c r="B221" s="9">
        <f ca="1">+IF(A221=WORLDCUP!$BI$112,1,0)</f>
        <v>0</v>
      </c>
      <c r="C221" s="9" t="str">
        <f ca="1">+WORLDCUP!BD62</f>
        <v>Ecuador</v>
      </c>
      <c r="D221" s="9" t="str">
        <f ca="1">+WORLDCUP!BD64</f>
        <v>Bélgica</v>
      </c>
      <c r="E221" s="9" t="str">
        <f ca="1">+WORLDCUP!BD67</f>
        <v>Jordania</v>
      </c>
      <c r="F221" s="9" t="str">
        <f ca="1">+WORLDCUP!BD60</f>
        <v>Marruecos</v>
      </c>
      <c r="G221" s="9" t="str">
        <f ca="1">+WORLDCUP!BD58</f>
        <v>República Checa</v>
      </c>
      <c r="H221" s="9" t="str">
        <f ca="1">+WORLDCUP!BD63</f>
        <v>Japón</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c r="A222" s="9" t="s">
        <v>1007</v>
      </c>
      <c r="B222" s="9">
        <f ca="1">+IF(A222=WORLDCUP!$BI$112,1,0)</f>
        <v>0</v>
      </c>
      <c r="C222" s="9" t="str">
        <f ca="1">+WORLDCUP!BD62</f>
        <v>Ecuador</v>
      </c>
      <c r="D222" s="9" t="str">
        <f ca="1">+WORLDCUP!BD64</f>
        <v>Bélgica</v>
      </c>
      <c r="E222" s="9" t="str">
        <f ca="1">+WORLDCUP!BD66</f>
        <v>Senegal</v>
      </c>
      <c r="F222" s="9" t="str">
        <f ca="1">+WORLDCUP!BD60</f>
        <v>Marruecos</v>
      </c>
      <c r="G222" s="9" t="str">
        <f ca="1">+WORLDCUP!BD58</f>
        <v>República Checa</v>
      </c>
      <c r="H222" s="9" t="str">
        <f ca="1">+WORLDCUP!BD63</f>
        <v>Japón</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c r="A223" s="9" t="s">
        <v>1008</v>
      </c>
      <c r="B223" s="9">
        <f ca="1">+IF(A223=WORLDCUP!$BI$112,1,0)</f>
        <v>0</v>
      </c>
      <c r="C223" s="9" t="str">
        <f ca="1">+WORLDCUP!BD62</f>
        <v>Ecuador</v>
      </c>
      <c r="D223" s="9" t="str">
        <f ca="1">+WORLDCUP!BD64</f>
        <v>Bélgica</v>
      </c>
      <c r="E223" s="9" t="str">
        <f ca="1">+WORLDCUP!BD67</f>
        <v>Jordania</v>
      </c>
      <c r="F223" s="9" t="str">
        <f ca="1">+WORLDCUP!BD60</f>
        <v>Marruecos</v>
      </c>
      <c r="G223" s="9" t="str">
        <f ca="1">+WORLDCUP!BD58</f>
        <v>República Checa</v>
      </c>
      <c r="H223" s="9" t="str">
        <f ca="1">+WORLDCUP!BD63</f>
        <v>Japón</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c r="A224" s="9" t="s">
        <v>1009</v>
      </c>
      <c r="B224" s="9">
        <f ca="1">+IF(A224=WORLDCUP!$BI$112,1,0)</f>
        <v>0</v>
      </c>
      <c r="C224" s="9" t="str">
        <f ca="1">+WORLDCUP!BD62</f>
        <v>Ecuador</v>
      </c>
      <c r="D224" s="9" t="str">
        <f ca="1">+WORLDCUP!BD64</f>
        <v>Bélgica</v>
      </c>
      <c r="E224" s="9" t="str">
        <f ca="1">+WORLDCUP!BD67</f>
        <v>Jordania</v>
      </c>
      <c r="F224" s="9" t="str">
        <f ca="1">+WORLDCUP!BD60</f>
        <v>Marruecos</v>
      </c>
      <c r="G224" s="9" t="str">
        <f ca="1">+WORLDCUP!BD58</f>
        <v>República Checa</v>
      </c>
      <c r="H224" s="9" t="str">
        <f ca="1">+WORLDCUP!BD63</f>
        <v>Japón</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c r="A225" s="9" t="s">
        <v>1010</v>
      </c>
      <c r="B225" s="9">
        <f ca="1">+IF(A225=WORLDCUP!$BI$112,1,0)</f>
        <v>0</v>
      </c>
      <c r="C225" s="9" t="str">
        <f ca="1">+WORLDCUP!BD65</f>
        <v>España</v>
      </c>
      <c r="D225" s="9" t="str">
        <f ca="1">+WORLDCUP!BD64</f>
        <v>Bélgica</v>
      </c>
      <c r="E225" s="9" t="str">
        <f ca="1">+WORLDCUP!BD62</f>
        <v>Ecuador</v>
      </c>
      <c r="F225" s="9" t="str">
        <f ca="1">+WORLDCUP!BD60</f>
        <v>Marruecos</v>
      </c>
      <c r="G225" s="9" t="str">
        <f ca="1">+WORLDCUP!BD58</f>
        <v>República Checa</v>
      </c>
      <c r="H225" s="9" t="str">
        <f ca="1">+WORLDCUP!BD63</f>
        <v>Japón</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c r="A226" s="9" t="s">
        <v>1011</v>
      </c>
      <c r="B226" s="9">
        <f ca="1">+IF(A226=WORLDCUP!$BI$112,1,0)</f>
        <v>0</v>
      </c>
      <c r="C226" s="9" t="str">
        <f ca="1">+WORLDCUP!BD65</f>
        <v>España</v>
      </c>
      <c r="D226" s="9" t="str">
        <f ca="1">+WORLDCUP!BD64</f>
        <v>Bélgica</v>
      </c>
      <c r="E226" s="9" t="str">
        <f ca="1">+WORLDCUP!BD67</f>
        <v>Jordania</v>
      </c>
      <c r="F226" s="9" t="str">
        <f ca="1">+WORLDCUP!BD60</f>
        <v>Marruecos</v>
      </c>
      <c r="G226" s="9" t="str">
        <f ca="1">+WORLDCUP!BD58</f>
        <v>República Checa</v>
      </c>
      <c r="H226" s="9" t="str">
        <f ca="1">+WORLDCUP!BD63</f>
        <v>Japón</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c r="A227" s="9" t="s">
        <v>1012</v>
      </c>
      <c r="B227" s="9">
        <f ca="1">+IF(A227=WORLDCUP!$BI$112,1,0)</f>
        <v>0</v>
      </c>
      <c r="C227" s="9" t="str">
        <f ca="1">+WORLDCUP!BD65</f>
        <v>España</v>
      </c>
      <c r="D227" s="9" t="str">
        <f ca="1">+WORLDCUP!BD64</f>
        <v>Bélgica</v>
      </c>
      <c r="E227" s="9" t="str">
        <f ca="1">+WORLDCUP!BD67</f>
        <v>Jordania</v>
      </c>
      <c r="F227" s="9" t="str">
        <f ca="1">+WORLDCUP!BD60</f>
        <v>Marruecos</v>
      </c>
      <c r="G227" s="9" t="str">
        <f ca="1">+WORLDCUP!BD58</f>
        <v>República Checa</v>
      </c>
      <c r="H227" s="9" t="str">
        <f ca="1">+WORLDCUP!BD63</f>
        <v>Japón</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c r="A228" s="9" t="s">
        <v>1013</v>
      </c>
      <c r="B228" s="9">
        <f ca="1">+IF(A228=WORLDCUP!$BI$112,1,0)</f>
        <v>0</v>
      </c>
      <c r="C228" s="9" t="str">
        <f ca="1">+WORLDCUP!BD65</f>
        <v>España</v>
      </c>
      <c r="D228" s="9" t="str">
        <f ca="1">+WORLDCUP!BD64</f>
        <v>Bélgica</v>
      </c>
      <c r="E228" s="9" t="str">
        <f ca="1">+WORLDCUP!BD62</f>
        <v>Ecuador</v>
      </c>
      <c r="F228" s="9" t="str">
        <f ca="1">+WORLDCUP!BD60</f>
        <v>Marruecos</v>
      </c>
      <c r="G228" s="9" t="str">
        <f ca="1">+WORLDCUP!BD58</f>
        <v>República Checa</v>
      </c>
      <c r="H228" s="9" t="str">
        <f ca="1">+WORLDCUP!BD63</f>
        <v>Japón</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c r="A229" s="9" t="s">
        <v>1014</v>
      </c>
      <c r="B229" s="9">
        <f ca="1">+IF(A229=WORLDCUP!$BI$112,1,0)</f>
        <v>0</v>
      </c>
      <c r="C229" s="9" t="str">
        <f ca="1">+WORLDCUP!BD65</f>
        <v>España</v>
      </c>
      <c r="D229" s="9" t="str">
        <f ca="1">+WORLDCUP!BD64</f>
        <v>Bélgica</v>
      </c>
      <c r="E229" s="9" t="str">
        <f ca="1">+WORLDCUP!BD62</f>
        <v>Ecuador</v>
      </c>
      <c r="F229" s="9" t="str">
        <f ca="1">+WORLDCUP!BD60</f>
        <v>Marruecos</v>
      </c>
      <c r="G229" s="9" t="str">
        <f ca="1">+WORLDCUP!BD58</f>
        <v>República Checa</v>
      </c>
      <c r="H229" s="9" t="str">
        <f ca="1">+WORLDCUP!BD63</f>
        <v>Japón</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c r="A230" s="9" t="s">
        <v>1015</v>
      </c>
      <c r="B230" s="9">
        <f ca="1">+IF(A230=WORLDCUP!$BI$112,1,0)</f>
        <v>0</v>
      </c>
      <c r="C230" s="9" t="str">
        <f ca="1">+WORLDCUP!BD65</f>
        <v>España</v>
      </c>
      <c r="D230" s="9" t="str">
        <f ca="1">+WORLDCUP!BD64</f>
        <v>Bélgica</v>
      </c>
      <c r="E230" s="9" t="str">
        <f ca="1">+WORLDCUP!BD67</f>
        <v>Jordania</v>
      </c>
      <c r="F230" s="9" t="str">
        <f ca="1">+WORLDCUP!BD60</f>
        <v>Marruecos</v>
      </c>
      <c r="G230" s="9" t="str">
        <f ca="1">+WORLDCUP!BD58</f>
        <v>República Checa</v>
      </c>
      <c r="H230" s="9" t="str">
        <f ca="1">+WORLDCUP!BD63</f>
        <v>Japón</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c r="A231" s="9" t="s">
        <v>1016</v>
      </c>
      <c r="B231" s="9">
        <f ca="1">+IF(A231=WORLDCUP!$BI$112,1,0)</f>
        <v>0</v>
      </c>
      <c r="C231" s="9" t="str">
        <f ca="1">+WORLDCUP!BD65</f>
        <v>España</v>
      </c>
      <c r="D231" s="9" t="str">
        <f ca="1">+WORLDCUP!BD67</f>
        <v>Jordania</v>
      </c>
      <c r="E231" s="9" t="str">
        <f ca="1">+WORLDCUP!BD66</f>
        <v>Senegal</v>
      </c>
      <c r="F231" s="9" t="str">
        <f ca="1">+WORLDCUP!BD60</f>
        <v>Marruecos</v>
      </c>
      <c r="G231" s="9" t="str">
        <f ca="1">+WORLDCUP!BD58</f>
        <v>República Checa</v>
      </c>
      <c r="H231" s="9" t="str">
        <f ca="1">+WORLDCUP!BD61</f>
        <v>Turquía</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c r="A232" s="9" t="s">
        <v>1017</v>
      </c>
      <c r="B232" s="9">
        <f ca="1">+IF(A232=WORLDCUP!$BI$112,1,0)</f>
        <v>0</v>
      </c>
      <c r="C232" s="9" t="str">
        <f ca="1">+WORLDCUP!BD66</f>
        <v>Senegal</v>
      </c>
      <c r="D232" s="9" t="str">
        <f ca="1">+WORLDCUP!BD64</f>
        <v>Bélgica</v>
      </c>
      <c r="E232" s="9" t="str">
        <f ca="1">+WORLDCUP!BD67</f>
        <v>Jordania</v>
      </c>
      <c r="F232" s="9" t="str">
        <f ca="1">+WORLDCUP!BD60</f>
        <v>Marruecos</v>
      </c>
      <c r="G232" s="9" t="str">
        <f ca="1">+WORLDCUP!BD58</f>
        <v>República Checa</v>
      </c>
      <c r="H232" s="9" t="str">
        <f ca="1">+WORLDCUP!BD61</f>
        <v>Turquía</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c r="A233" s="9" t="s">
        <v>1018</v>
      </c>
      <c r="B233" s="9">
        <f ca="1">+IF(A233=WORLDCUP!$BI$112,1,0)</f>
        <v>0</v>
      </c>
      <c r="C233" s="9" t="str">
        <f ca="1">+WORLDCUP!BD65</f>
        <v>España</v>
      </c>
      <c r="D233" s="9" t="str">
        <f ca="1">+WORLDCUP!BD64</f>
        <v>Bélgica</v>
      </c>
      <c r="E233" s="9" t="str">
        <f ca="1">+WORLDCUP!BD67</f>
        <v>Jordania</v>
      </c>
      <c r="F233" s="9" t="str">
        <f ca="1">+WORLDCUP!BD60</f>
        <v>Marruecos</v>
      </c>
      <c r="G233" s="9" t="str">
        <f ca="1">+WORLDCUP!BD58</f>
        <v>República Checa</v>
      </c>
      <c r="H233" s="9" t="str">
        <f ca="1">+WORLDCUP!BD61</f>
        <v>Turquía</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c r="A234" s="9" t="s">
        <v>1019</v>
      </c>
      <c r="B234" s="9">
        <f ca="1">+IF(A234=WORLDCUP!$BI$112,1,0)</f>
        <v>0</v>
      </c>
      <c r="C234" s="9" t="str">
        <f ca="1">+WORLDCUP!BD65</f>
        <v>España</v>
      </c>
      <c r="D234" s="9" t="str">
        <f ca="1">+WORLDCUP!BD64</f>
        <v>Bélgica</v>
      </c>
      <c r="E234" s="9" t="str">
        <f ca="1">+WORLDCUP!BD66</f>
        <v>Senegal</v>
      </c>
      <c r="F234" s="9" t="str">
        <f ca="1">+WORLDCUP!BD60</f>
        <v>Marruecos</v>
      </c>
      <c r="G234" s="9" t="str">
        <f ca="1">+WORLDCUP!BD58</f>
        <v>República Checa</v>
      </c>
      <c r="H234" s="9" t="str">
        <f ca="1">+WORLDCUP!BD61</f>
        <v>Turquía</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c r="A235" s="9" t="s">
        <v>1020</v>
      </c>
      <c r="B235" s="9">
        <f ca="1">+IF(A235=WORLDCUP!$BI$112,1,0)</f>
        <v>0</v>
      </c>
      <c r="C235" s="9" t="str">
        <f ca="1">+WORLDCUP!BD65</f>
        <v>España</v>
      </c>
      <c r="D235" s="9" t="str">
        <f ca="1">+WORLDCUP!BD64</f>
        <v>Bélgica</v>
      </c>
      <c r="E235" s="9" t="str">
        <f ca="1">+WORLDCUP!BD67</f>
        <v>Jordania</v>
      </c>
      <c r="F235" s="9" t="str">
        <f ca="1">+WORLDCUP!BD60</f>
        <v>Marruecos</v>
      </c>
      <c r="G235" s="9" t="str">
        <f ca="1">+WORLDCUP!BD58</f>
        <v>República Checa</v>
      </c>
      <c r="H235" s="9" t="str">
        <f ca="1">+WORLDCUP!BD61</f>
        <v>Turquía</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c r="A236" s="9" t="s">
        <v>1021</v>
      </c>
      <c r="B236" s="9">
        <f ca="1">+IF(A236=WORLDCUP!$BI$112,1,0)</f>
        <v>0</v>
      </c>
      <c r="C236" s="9" t="str">
        <f ca="1">+WORLDCUP!BD65</f>
        <v>España</v>
      </c>
      <c r="D236" s="9" t="str">
        <f ca="1">+WORLDCUP!BD64</f>
        <v>Bélgica</v>
      </c>
      <c r="E236" s="9" t="str">
        <f ca="1">+WORLDCUP!BD67</f>
        <v>Jordania</v>
      </c>
      <c r="F236" s="9" t="str">
        <f ca="1">+WORLDCUP!BD60</f>
        <v>Marruecos</v>
      </c>
      <c r="G236" s="9" t="str">
        <f ca="1">+WORLDCUP!BD58</f>
        <v>República Checa</v>
      </c>
      <c r="H236" s="9" t="str">
        <f ca="1">+WORLDCUP!BD61</f>
        <v>Turquía</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c r="A237" s="9" t="s">
        <v>1022</v>
      </c>
      <c r="B237" s="9">
        <f ca="1">+IF(A237=WORLDCUP!$BI$112,1,0)</f>
        <v>0</v>
      </c>
      <c r="C237" s="9" t="str">
        <f ca="1">+WORLDCUP!BD60</f>
        <v>Marruecos</v>
      </c>
      <c r="D237" s="9" t="str">
        <f ca="1">+WORLDCUP!BD67</f>
        <v>Jordania</v>
      </c>
      <c r="E237" s="9" t="str">
        <f ca="1">+WORLDCUP!BD66</f>
        <v>Senegal</v>
      </c>
      <c r="F237" s="9" t="str">
        <f ca="1">+WORLDCUP!BD61</f>
        <v>Turquía</v>
      </c>
      <c r="G237" s="9" t="str">
        <f ca="1">+WORLDCUP!BD58</f>
        <v>República Checa</v>
      </c>
      <c r="H237" s="9" t="str">
        <f ca="1">+WORLDCUP!BD63</f>
        <v>Japón</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c r="A238" s="9" t="s">
        <v>1023</v>
      </c>
      <c r="B238" s="9">
        <f ca="1">+IF(A238=WORLDCUP!$BI$112,1,0)</f>
        <v>0</v>
      </c>
      <c r="C238" s="9" t="str">
        <f ca="1">+WORLDCUP!BD65</f>
        <v>España</v>
      </c>
      <c r="D238" s="9" t="str">
        <f ca="1">+WORLDCUP!BD67</f>
        <v>Jordania</v>
      </c>
      <c r="E238" s="9" t="str">
        <f ca="1">+WORLDCUP!BD63</f>
        <v>Japón</v>
      </c>
      <c r="F238" s="9" t="str">
        <f ca="1">+WORLDCUP!BD60</f>
        <v>Marruecos</v>
      </c>
      <c r="G238" s="9" t="str">
        <f ca="1">+WORLDCUP!BD58</f>
        <v>República Checa</v>
      </c>
      <c r="H238" s="9" t="str">
        <f ca="1">+WORLDCUP!BD61</f>
        <v>Turquía</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c r="A239" s="9" t="s">
        <v>1024</v>
      </c>
      <c r="B239" s="9">
        <f ca="1">+IF(A239=WORLDCUP!$BI$112,1,0)</f>
        <v>0</v>
      </c>
      <c r="C239" s="9" t="str">
        <f ca="1">+WORLDCUP!BD65</f>
        <v>España</v>
      </c>
      <c r="D239" s="9" t="str">
        <f ca="1">+WORLDCUP!BD63</f>
        <v>Japón</v>
      </c>
      <c r="E239" s="9" t="str">
        <f ca="1">+WORLDCUP!BD66</f>
        <v>Senegal</v>
      </c>
      <c r="F239" s="9" t="str">
        <f ca="1">+WORLDCUP!BD60</f>
        <v>Marruecos</v>
      </c>
      <c r="G239" s="9" t="str">
        <f ca="1">+WORLDCUP!BD58</f>
        <v>República Checa</v>
      </c>
      <c r="H239" s="9" t="str">
        <f ca="1">+WORLDCUP!BD61</f>
        <v>Turquía</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c r="A240" s="9" t="s">
        <v>1025</v>
      </c>
      <c r="B240" s="9">
        <f ca="1">+IF(A240=WORLDCUP!$BI$112,1,0)</f>
        <v>0</v>
      </c>
      <c r="C240" s="9" t="str">
        <f ca="1">+WORLDCUP!BD65</f>
        <v>España</v>
      </c>
      <c r="D240" s="9" t="str">
        <f ca="1">+WORLDCUP!BD67</f>
        <v>Jordania</v>
      </c>
      <c r="E240" s="9" t="str">
        <f ca="1">+WORLDCUP!BD63</f>
        <v>Japón</v>
      </c>
      <c r="F240" s="9" t="str">
        <f ca="1">+WORLDCUP!BD60</f>
        <v>Marruecos</v>
      </c>
      <c r="G240" s="9" t="str">
        <f ca="1">+WORLDCUP!BD58</f>
        <v>República Checa</v>
      </c>
      <c r="H240" s="9" t="str">
        <f ca="1">+WORLDCUP!BD61</f>
        <v>Turquía</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c r="A241" s="9" t="s">
        <v>1026</v>
      </c>
      <c r="B241" s="9">
        <f ca="1">+IF(A241=WORLDCUP!$BI$112,1,0)</f>
        <v>0</v>
      </c>
      <c r="C241" s="9" t="str">
        <f ca="1">+WORLDCUP!BD65</f>
        <v>España</v>
      </c>
      <c r="D241" s="9" t="str">
        <f ca="1">+WORLDCUP!BD67</f>
        <v>Jordania</v>
      </c>
      <c r="E241" s="9" t="str">
        <f ca="1">+WORLDCUP!BD63</f>
        <v>Japón</v>
      </c>
      <c r="F241" s="9" t="str">
        <f ca="1">+WORLDCUP!BD60</f>
        <v>Marruecos</v>
      </c>
      <c r="G241" s="9" t="str">
        <f ca="1">+WORLDCUP!BD58</f>
        <v>República Checa</v>
      </c>
      <c r="H241" s="9" t="str">
        <f ca="1">+WORLDCUP!BD61</f>
        <v>Turquía</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c r="A242" s="9" t="s">
        <v>1027</v>
      </c>
      <c r="B242" s="9">
        <f ca="1">+IF(A242=WORLDCUP!$BI$112,1,0)</f>
        <v>0</v>
      </c>
      <c r="C242" s="9" t="str">
        <f ca="1">+WORLDCUP!BD60</f>
        <v>Marruecos</v>
      </c>
      <c r="D242" s="9" t="str">
        <f ca="1">+WORLDCUP!BD64</f>
        <v>Bélgica</v>
      </c>
      <c r="E242" s="9" t="str">
        <f ca="1">+WORLDCUP!BD67</f>
        <v>Jordania</v>
      </c>
      <c r="F242" s="9" t="str">
        <f ca="1">+WORLDCUP!BD61</f>
        <v>Turquía</v>
      </c>
      <c r="G242" s="9" t="str">
        <f ca="1">+WORLDCUP!BD58</f>
        <v>República Checa</v>
      </c>
      <c r="H242" s="9" t="str">
        <f ca="1">+WORLDCUP!BD63</f>
        <v>Japón</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c r="A243" s="9" t="s">
        <v>1028</v>
      </c>
      <c r="B243" s="9">
        <f ca="1">+IF(A243=WORLDCUP!$BI$112,1,0)</f>
        <v>0</v>
      </c>
      <c r="C243" s="9" t="str">
        <f ca="1">+WORLDCUP!BD60</f>
        <v>Marruecos</v>
      </c>
      <c r="D243" s="9" t="str">
        <f ca="1">+WORLDCUP!BD64</f>
        <v>Bélgica</v>
      </c>
      <c r="E243" s="9" t="str">
        <f ca="1">+WORLDCUP!BD66</f>
        <v>Senegal</v>
      </c>
      <c r="F243" s="9" t="str">
        <f ca="1">+WORLDCUP!BD61</f>
        <v>Turquía</v>
      </c>
      <c r="G243" s="9" t="str">
        <f ca="1">+WORLDCUP!BD58</f>
        <v>República Checa</v>
      </c>
      <c r="H243" s="9" t="str">
        <f ca="1">+WORLDCUP!BD63</f>
        <v>Japón</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c r="A244" s="9" t="s">
        <v>1029</v>
      </c>
      <c r="B244" s="9">
        <f ca="1">+IF(A244=WORLDCUP!$BI$112,1,0)</f>
        <v>0</v>
      </c>
      <c r="C244" s="9" t="str">
        <f ca="1">+WORLDCUP!BD60</f>
        <v>Marruecos</v>
      </c>
      <c r="D244" s="9" t="str">
        <f ca="1">+WORLDCUP!BD64</f>
        <v>Bélgica</v>
      </c>
      <c r="E244" s="9" t="str">
        <f ca="1">+WORLDCUP!BD67</f>
        <v>Jordania</v>
      </c>
      <c r="F244" s="9" t="str">
        <f ca="1">+WORLDCUP!BD61</f>
        <v>Turquía</v>
      </c>
      <c r="G244" s="9" t="str">
        <f ca="1">+WORLDCUP!BD58</f>
        <v>República Checa</v>
      </c>
      <c r="H244" s="9" t="str">
        <f ca="1">+WORLDCUP!BD63</f>
        <v>Japón</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c r="A245" s="9" t="s">
        <v>1030</v>
      </c>
      <c r="B245" s="9">
        <f ca="1">+IF(A245=WORLDCUP!$BI$112,1,0)</f>
        <v>0</v>
      </c>
      <c r="C245" s="9" t="str">
        <f ca="1">+WORLDCUP!BD60</f>
        <v>Marruecos</v>
      </c>
      <c r="D245" s="9" t="str">
        <f ca="1">+WORLDCUP!BD64</f>
        <v>Bélgica</v>
      </c>
      <c r="E245" s="9" t="str">
        <f ca="1">+WORLDCUP!BD67</f>
        <v>Jordania</v>
      </c>
      <c r="F245" s="9" t="str">
        <f ca="1">+WORLDCUP!BD61</f>
        <v>Turquía</v>
      </c>
      <c r="G245" s="9" t="str">
        <f ca="1">+WORLDCUP!BD58</f>
        <v>República Checa</v>
      </c>
      <c r="H245" s="9" t="str">
        <f ca="1">+WORLDCUP!BD63</f>
        <v>Japón</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c r="A246" s="9" t="s">
        <v>1031</v>
      </c>
      <c r="B246" s="9">
        <f ca="1">+IF(A246=WORLDCUP!$BI$112,1,0)</f>
        <v>0</v>
      </c>
      <c r="C246" s="9" t="str">
        <f ca="1">+WORLDCUP!BD65</f>
        <v>España</v>
      </c>
      <c r="D246" s="9" t="str">
        <f ca="1">+WORLDCUP!BD64</f>
        <v>Bélgica</v>
      </c>
      <c r="E246" s="9" t="str">
        <f ca="1">+WORLDCUP!BD63</f>
        <v>Japón</v>
      </c>
      <c r="F246" s="9" t="str">
        <f ca="1">+WORLDCUP!BD60</f>
        <v>Marruecos</v>
      </c>
      <c r="G246" s="9" t="str">
        <f ca="1">+WORLDCUP!BD58</f>
        <v>República Checa</v>
      </c>
      <c r="H246" s="9" t="str">
        <f ca="1">+WORLDCUP!BD61</f>
        <v>Turquía</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c r="A247" s="9" t="s">
        <v>1032</v>
      </c>
      <c r="B247" s="9">
        <f ca="1">+IF(A247=WORLDCUP!$BI$112,1,0)</f>
        <v>0</v>
      </c>
      <c r="C247" s="9" t="str">
        <f ca="1">+WORLDCUP!BD60</f>
        <v>Marruecos</v>
      </c>
      <c r="D247" s="9" t="str">
        <f ca="1">+WORLDCUP!BD64</f>
        <v>Bélgica</v>
      </c>
      <c r="E247" s="9" t="str">
        <f ca="1">+WORLDCUP!BD67</f>
        <v>Jordania</v>
      </c>
      <c r="F247" s="9" t="str">
        <f ca="1">+WORLDCUP!BD61</f>
        <v>Turquía</v>
      </c>
      <c r="G247" s="9" t="str">
        <f ca="1">+WORLDCUP!BD58</f>
        <v>República Checa</v>
      </c>
      <c r="H247" s="9" t="str">
        <f ca="1">+WORLDCUP!BD63</f>
        <v>Japón</v>
      </c>
      <c r="I247" s="9" t="str">
        <f ca="1">+WORLDCUP!BD69</f>
        <v>Panamá</v>
      </c>
      <c r="J247" s="9" t="str">
        <f ca="1">+WORLDCUP!BD65</f>
        <v>España</v>
      </c>
      <c r="N247" s="16" t="s">
        <v>1032</v>
      </c>
      <c r="O247" s="16">
        <v>246</v>
      </c>
      <c r="P247" s="16" t="s">
        <v>81</v>
      </c>
      <c r="Q247" s="16" t="s">
        <v>99</v>
      </c>
      <c r="R247" s="16" t="s">
        <v>113</v>
      </c>
      <c r="S247" s="16" t="s">
        <v>86</v>
      </c>
      <c r="T247" s="16" t="s">
        <v>72</v>
      </c>
      <c r="U247" s="16" t="s">
        <v>95</v>
      </c>
      <c r="V247" s="16" t="s">
        <v>122</v>
      </c>
      <c r="W247" s="16" t="s">
        <v>104</v>
      </c>
    </row>
    <row r="248" spans="1:23">
      <c r="A248" s="9" t="s">
        <v>1033</v>
      </c>
      <c r="B248" s="9">
        <f ca="1">+IF(A248=WORLDCUP!$BI$112,1,0)</f>
        <v>0</v>
      </c>
      <c r="C248" s="9" t="str">
        <f ca="1">+WORLDCUP!BD65</f>
        <v>España</v>
      </c>
      <c r="D248" s="9" t="str">
        <f ca="1">+WORLDCUP!BD64</f>
        <v>Bélgica</v>
      </c>
      <c r="E248" s="9" t="str">
        <f ca="1">+WORLDCUP!BD67</f>
        <v>Jordania</v>
      </c>
      <c r="F248" s="9" t="str">
        <f ca="1">+WORLDCUP!BD60</f>
        <v>Marruecos</v>
      </c>
      <c r="G248" s="9" t="str">
        <f ca="1">+WORLDCUP!BD58</f>
        <v>República Checa</v>
      </c>
      <c r="H248" s="9" t="str">
        <f ca="1">+WORLDCUP!BD63</f>
        <v>Japón</v>
      </c>
      <c r="I248" s="9" t="str">
        <f ca="1">+WORLDCUP!BD61</f>
        <v>Turquía</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c r="A249" s="9" t="s">
        <v>1034</v>
      </c>
      <c r="B249" s="9">
        <f ca="1">+IF(A249=WORLDCUP!$BI$112,1,0)</f>
        <v>0</v>
      </c>
      <c r="C249" s="9" t="str">
        <f ca="1">+WORLDCUP!BD65</f>
        <v>España</v>
      </c>
      <c r="D249" s="9" t="str">
        <f ca="1">+WORLDCUP!BD64</f>
        <v>Bélgica</v>
      </c>
      <c r="E249" s="9" t="str">
        <f ca="1">+WORLDCUP!BD63</f>
        <v>Japón</v>
      </c>
      <c r="F249" s="9" t="str">
        <f ca="1">+WORLDCUP!BD60</f>
        <v>Marruecos</v>
      </c>
      <c r="G249" s="9" t="str">
        <f ca="1">+WORLDCUP!BD58</f>
        <v>República Checa</v>
      </c>
      <c r="H249" s="9" t="str">
        <f ca="1">+WORLDCUP!BD61</f>
        <v>Turquía</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c r="A250" s="9" t="s">
        <v>1035</v>
      </c>
      <c r="B250" s="9">
        <f ca="1">+IF(A250=WORLDCUP!$BI$112,1,0)</f>
        <v>0</v>
      </c>
      <c r="C250" s="9" t="str">
        <f ca="1">+WORLDCUP!BD65</f>
        <v>España</v>
      </c>
      <c r="D250" s="9" t="str">
        <f ca="1">+WORLDCUP!BD64</f>
        <v>Bélgica</v>
      </c>
      <c r="E250" s="9" t="str">
        <f ca="1">+WORLDCUP!BD63</f>
        <v>Japón</v>
      </c>
      <c r="F250" s="9" t="str">
        <f ca="1">+WORLDCUP!BD60</f>
        <v>Marruecos</v>
      </c>
      <c r="G250" s="9" t="str">
        <f ca="1">+WORLDCUP!BD58</f>
        <v>República Checa</v>
      </c>
      <c r="H250" s="9" t="str">
        <f ca="1">+WORLDCUP!BD61</f>
        <v>Turquía</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c r="A251" s="9" t="s">
        <v>1036</v>
      </c>
      <c r="B251" s="9">
        <f ca="1">+IF(A251=WORLDCUP!$BI$112,1,0)</f>
        <v>0</v>
      </c>
      <c r="C251" s="9" t="str">
        <f ca="1">+WORLDCUP!BD65</f>
        <v>España</v>
      </c>
      <c r="D251" s="9" t="str">
        <f ca="1">+WORLDCUP!BD64</f>
        <v>Bélgica</v>
      </c>
      <c r="E251" s="9" t="str">
        <f ca="1">+WORLDCUP!BD67</f>
        <v>Jordania</v>
      </c>
      <c r="F251" s="9" t="str">
        <f ca="1">+WORLDCUP!BD60</f>
        <v>Marruecos</v>
      </c>
      <c r="G251" s="9" t="str">
        <f ca="1">+WORLDCUP!BD58</f>
        <v>República Checa</v>
      </c>
      <c r="H251" s="9" t="str">
        <f ca="1">+WORLDCUP!BD63</f>
        <v>Japón</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c r="A252" s="9" t="s">
        <v>1037</v>
      </c>
      <c r="B252" s="9">
        <f ca="1">+IF(A252=WORLDCUP!$BI$112,1,0)</f>
        <v>0</v>
      </c>
      <c r="C252" s="9" t="str">
        <f ca="1">+WORLDCUP!BD62</f>
        <v>Ecuador</v>
      </c>
      <c r="D252" s="9" t="str">
        <f ca="1">+WORLDCUP!BD67</f>
        <v>Jordania</v>
      </c>
      <c r="E252" s="9" t="str">
        <f ca="1">+WORLDCUP!BD66</f>
        <v>Senegal</v>
      </c>
      <c r="F252" s="9" t="str">
        <f ca="1">+WORLDCUP!BD60</f>
        <v>Marruecos</v>
      </c>
      <c r="G252" s="9" t="str">
        <f ca="1">+WORLDCUP!BD58</f>
        <v>República Checa</v>
      </c>
      <c r="H252" s="9" t="str">
        <f ca="1">+WORLDCUP!BD61</f>
        <v>Turquía</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c r="A253" s="9" t="s">
        <v>1038</v>
      </c>
      <c r="B253" s="9">
        <f ca="1">+IF(A253=WORLDCUP!$BI$112,1,0)</f>
        <v>0</v>
      </c>
      <c r="C253" s="9" t="str">
        <f ca="1">+WORLDCUP!BD65</f>
        <v>España</v>
      </c>
      <c r="D253" s="9" t="str">
        <f ca="1">+WORLDCUP!BD67</f>
        <v>Jordania</v>
      </c>
      <c r="E253" s="9" t="str">
        <f ca="1">+WORLDCUP!BD62</f>
        <v>Ecuador</v>
      </c>
      <c r="F253" s="9" t="str">
        <f ca="1">+WORLDCUP!BD60</f>
        <v>Marruecos</v>
      </c>
      <c r="G253" s="9" t="str">
        <f ca="1">+WORLDCUP!BD58</f>
        <v>República Checa</v>
      </c>
      <c r="H253" s="9" t="str">
        <f ca="1">+WORLDCUP!BD61</f>
        <v>Turquía</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c r="A254" s="9" t="s">
        <v>1039</v>
      </c>
      <c r="B254" s="9">
        <f ca="1">+IF(A254=WORLDCUP!$BI$112,1,0)</f>
        <v>0</v>
      </c>
      <c r="C254" s="9" t="str">
        <f ca="1">+WORLDCUP!BD65</f>
        <v>España</v>
      </c>
      <c r="D254" s="9" t="str">
        <f ca="1">+WORLDCUP!BD62</f>
        <v>Ecuador</v>
      </c>
      <c r="E254" s="9" t="str">
        <f ca="1">+WORLDCUP!BD66</f>
        <v>Senegal</v>
      </c>
      <c r="F254" s="9" t="str">
        <f ca="1">+WORLDCUP!BD60</f>
        <v>Marruecos</v>
      </c>
      <c r="G254" s="9" t="str">
        <f ca="1">+WORLDCUP!BD58</f>
        <v>República Checa</v>
      </c>
      <c r="H254" s="9" t="str">
        <f ca="1">+WORLDCUP!BD61</f>
        <v>Turquía</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c r="A255" s="9" t="s">
        <v>1040</v>
      </c>
      <c r="B255" s="9">
        <f ca="1">+IF(A255=WORLDCUP!$BI$112,1,0)</f>
        <v>0</v>
      </c>
      <c r="C255" s="9" t="str">
        <f ca="1">+WORLDCUP!BD65</f>
        <v>España</v>
      </c>
      <c r="D255" s="9" t="str">
        <f ca="1">+WORLDCUP!BD67</f>
        <v>Jordania</v>
      </c>
      <c r="E255" s="9" t="str">
        <f ca="1">+WORLDCUP!BD62</f>
        <v>Ecuador</v>
      </c>
      <c r="F255" s="9" t="str">
        <f ca="1">+WORLDCUP!BD60</f>
        <v>Marruecos</v>
      </c>
      <c r="G255" s="9" t="str">
        <f ca="1">+WORLDCUP!BD58</f>
        <v>República Checa</v>
      </c>
      <c r="H255" s="9" t="str">
        <f ca="1">+WORLDCUP!BD61</f>
        <v>Turquía</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c r="A256" s="9" t="s">
        <v>1041</v>
      </c>
      <c r="B256" s="9">
        <f ca="1">+IF(A256=WORLDCUP!$BI$112,1,0)</f>
        <v>0</v>
      </c>
      <c r="C256" s="9" t="str">
        <f ca="1">+WORLDCUP!BD65</f>
        <v>España</v>
      </c>
      <c r="D256" s="9" t="str">
        <f ca="1">+WORLDCUP!BD67</f>
        <v>Jordania</v>
      </c>
      <c r="E256" s="9" t="str">
        <f ca="1">+WORLDCUP!BD62</f>
        <v>Ecuador</v>
      </c>
      <c r="F256" s="9" t="str">
        <f ca="1">+WORLDCUP!BD60</f>
        <v>Marruecos</v>
      </c>
      <c r="G256" s="9" t="str">
        <f ca="1">+WORLDCUP!BD58</f>
        <v>República Checa</v>
      </c>
      <c r="H256" s="9" t="str">
        <f ca="1">+WORLDCUP!BD61</f>
        <v>Turquía</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c r="A257" s="9" t="s">
        <v>1042</v>
      </c>
      <c r="B257" s="9">
        <f ca="1">+IF(A257=WORLDCUP!$BI$112,1,0)</f>
        <v>0</v>
      </c>
      <c r="C257" s="9" t="str">
        <f ca="1">+WORLDCUP!BD62</f>
        <v>Ecuador</v>
      </c>
      <c r="D257" s="9" t="str">
        <f ca="1">+WORLDCUP!BD64</f>
        <v>Bélgica</v>
      </c>
      <c r="E257" s="9" t="str">
        <f ca="1">+WORLDCUP!BD67</f>
        <v>Jordania</v>
      </c>
      <c r="F257" s="9" t="str">
        <f ca="1">+WORLDCUP!BD60</f>
        <v>Marruecos</v>
      </c>
      <c r="G257" s="9" t="str">
        <f ca="1">+WORLDCUP!BD58</f>
        <v>República Checa</v>
      </c>
      <c r="H257" s="9" t="str">
        <f ca="1">+WORLDCUP!BD61</f>
        <v>Turquía</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c r="A258" s="9" t="s">
        <v>1043</v>
      </c>
      <c r="B258" s="9">
        <f ca="1">+IF(A258=WORLDCUP!$BI$112,1,0)</f>
        <v>0</v>
      </c>
      <c r="C258" s="9" t="str">
        <f ca="1">+WORLDCUP!BD62</f>
        <v>Ecuador</v>
      </c>
      <c r="D258" s="9" t="str">
        <f ca="1">+WORLDCUP!BD64</f>
        <v>Bélgica</v>
      </c>
      <c r="E258" s="9" t="str">
        <f ca="1">+WORLDCUP!BD66</f>
        <v>Senegal</v>
      </c>
      <c r="F258" s="9" t="str">
        <f ca="1">+WORLDCUP!BD60</f>
        <v>Marruecos</v>
      </c>
      <c r="G258" s="9" t="str">
        <f ca="1">+WORLDCUP!BD58</f>
        <v>República Checa</v>
      </c>
      <c r="H258" s="9" t="str">
        <f ca="1">+WORLDCUP!BD61</f>
        <v>Turquía</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c r="A259" s="9" t="s">
        <v>1044</v>
      </c>
      <c r="B259" s="9">
        <f ca="1">+IF(A259=WORLDCUP!$BI$112,1,0)</f>
        <v>0</v>
      </c>
      <c r="C259" s="9" t="str">
        <f ca="1">+WORLDCUP!BD62</f>
        <v>Ecuador</v>
      </c>
      <c r="D259" s="9" t="str">
        <f ca="1">+WORLDCUP!BD64</f>
        <v>Bélgica</v>
      </c>
      <c r="E259" s="9" t="str">
        <f ca="1">+WORLDCUP!BD67</f>
        <v>Jordania</v>
      </c>
      <c r="F259" s="9" t="str">
        <f ca="1">+WORLDCUP!BD60</f>
        <v>Marruecos</v>
      </c>
      <c r="G259" s="9" t="str">
        <f ca="1">+WORLDCUP!BD58</f>
        <v>República Checa</v>
      </c>
      <c r="H259" s="9" t="str">
        <f ca="1">+WORLDCUP!BD61</f>
        <v>Turquía</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c r="A260" s="9" t="s">
        <v>1045</v>
      </c>
      <c r="B260" s="9">
        <f ca="1">+IF(A260=WORLDCUP!$BI$112,1,0)</f>
        <v>0</v>
      </c>
      <c r="C260" s="9" t="str">
        <f ca="1">+WORLDCUP!BD62</f>
        <v>Ecuador</v>
      </c>
      <c r="D260" s="9" t="str">
        <f ca="1">+WORLDCUP!BD64</f>
        <v>Bélgica</v>
      </c>
      <c r="E260" s="9" t="str">
        <f ca="1">+WORLDCUP!BD67</f>
        <v>Jordania</v>
      </c>
      <c r="F260" s="9" t="str">
        <f ca="1">+WORLDCUP!BD60</f>
        <v>Marruecos</v>
      </c>
      <c r="G260" s="9" t="str">
        <f ca="1">+WORLDCUP!BD58</f>
        <v>República Checa</v>
      </c>
      <c r="H260" s="9" t="str">
        <f ca="1">+WORLDCUP!BD61</f>
        <v>Turquía</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c r="A261" s="9" t="s">
        <v>1046</v>
      </c>
      <c r="B261" s="9">
        <f ca="1">+IF(A261=WORLDCUP!$BI$112,1,0)</f>
        <v>0</v>
      </c>
      <c r="C261" s="9" t="str">
        <f ca="1">+WORLDCUP!BD65</f>
        <v>España</v>
      </c>
      <c r="D261" s="9" t="str">
        <f ca="1">+WORLDCUP!BD64</f>
        <v>Bélgica</v>
      </c>
      <c r="E261" s="9" t="str">
        <f ca="1">+WORLDCUP!BD62</f>
        <v>Ecuador</v>
      </c>
      <c r="F261" s="9" t="str">
        <f ca="1">+WORLDCUP!BD60</f>
        <v>Marruecos</v>
      </c>
      <c r="G261" s="9" t="str">
        <f ca="1">+WORLDCUP!BD58</f>
        <v>República Checa</v>
      </c>
      <c r="H261" s="9" t="str">
        <f ca="1">+WORLDCUP!BD61</f>
        <v>Turquía</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c r="A262" s="9" t="s">
        <v>1047</v>
      </c>
      <c r="B262" s="9">
        <f ca="1">+IF(A262=WORLDCUP!$BI$112,1,0)</f>
        <v>0</v>
      </c>
      <c r="C262" s="9" t="str">
        <f ca="1">+WORLDCUP!BD65</f>
        <v>España</v>
      </c>
      <c r="D262" s="9" t="str">
        <f ca="1">+WORLDCUP!BD64</f>
        <v>Bélgica</v>
      </c>
      <c r="E262" s="9" t="str">
        <f ca="1">+WORLDCUP!BD67</f>
        <v>Jordania</v>
      </c>
      <c r="F262" s="9" t="str">
        <f ca="1">+WORLDCUP!BD60</f>
        <v>Marruecos</v>
      </c>
      <c r="G262" s="9" t="str">
        <f ca="1">+WORLDCUP!BD58</f>
        <v>República Checa</v>
      </c>
      <c r="H262" s="9" t="str">
        <f ca="1">+WORLDCUP!BD61</f>
        <v>Turquía</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c r="A263" s="9" t="s">
        <v>1048</v>
      </c>
      <c r="B263" s="9">
        <f ca="1">+IF(A263=WORLDCUP!$BI$112,1,0)</f>
        <v>0</v>
      </c>
      <c r="C263" s="9" t="str">
        <f ca="1">+WORLDCUP!BD65</f>
        <v>España</v>
      </c>
      <c r="D263" s="9" t="str">
        <f ca="1">+WORLDCUP!BD64</f>
        <v>Bélgica</v>
      </c>
      <c r="E263" s="9" t="str">
        <f ca="1">+WORLDCUP!BD67</f>
        <v>Jordania</v>
      </c>
      <c r="F263" s="9" t="str">
        <f ca="1">+WORLDCUP!BD60</f>
        <v>Marruecos</v>
      </c>
      <c r="G263" s="9" t="str">
        <f ca="1">+WORLDCUP!BD58</f>
        <v>República Checa</v>
      </c>
      <c r="H263" s="9" t="str">
        <f ca="1">+WORLDCUP!BD61</f>
        <v>Turquía</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c r="A264" s="9" t="s">
        <v>1049</v>
      </c>
      <c r="B264" s="9">
        <f ca="1">+IF(A264=WORLDCUP!$BI$112,1,0)</f>
        <v>0</v>
      </c>
      <c r="C264" s="9" t="str">
        <f ca="1">+WORLDCUP!BD65</f>
        <v>España</v>
      </c>
      <c r="D264" s="9" t="str">
        <f ca="1">+WORLDCUP!BD64</f>
        <v>Bélgica</v>
      </c>
      <c r="E264" s="9" t="str">
        <f ca="1">+WORLDCUP!BD62</f>
        <v>Ecuador</v>
      </c>
      <c r="F264" s="9" t="str">
        <f ca="1">+WORLDCUP!BD60</f>
        <v>Marruecos</v>
      </c>
      <c r="G264" s="9" t="str">
        <f ca="1">+WORLDCUP!BD58</f>
        <v>República Checa</v>
      </c>
      <c r="H264" s="9" t="str">
        <f ca="1">+WORLDCUP!BD61</f>
        <v>Turquía</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c r="A265" s="9" t="s">
        <v>1050</v>
      </c>
      <c r="B265" s="9">
        <f ca="1">+IF(A265=WORLDCUP!$BI$112,1,0)</f>
        <v>0</v>
      </c>
      <c r="C265" s="9" t="str">
        <f ca="1">+WORLDCUP!BD65</f>
        <v>España</v>
      </c>
      <c r="D265" s="9" t="str">
        <f ca="1">+WORLDCUP!BD64</f>
        <v>Bélgica</v>
      </c>
      <c r="E265" s="9" t="str">
        <f ca="1">+WORLDCUP!BD62</f>
        <v>Ecuador</v>
      </c>
      <c r="F265" s="9" t="str">
        <f ca="1">+WORLDCUP!BD60</f>
        <v>Marruecos</v>
      </c>
      <c r="G265" s="9" t="str">
        <f ca="1">+WORLDCUP!BD58</f>
        <v>República Checa</v>
      </c>
      <c r="H265" s="9" t="str">
        <f ca="1">+WORLDCUP!BD61</f>
        <v>Turquía</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c r="A266" s="9" t="s">
        <v>1051</v>
      </c>
      <c r="B266" s="9">
        <f ca="1">+IF(A266=WORLDCUP!$BI$112,1,0)</f>
        <v>0</v>
      </c>
      <c r="C266" s="9" t="str">
        <f ca="1">+WORLDCUP!BD65</f>
        <v>España</v>
      </c>
      <c r="D266" s="9" t="str">
        <f ca="1">+WORLDCUP!BD64</f>
        <v>Bélgica</v>
      </c>
      <c r="E266" s="9" t="str">
        <f ca="1">+WORLDCUP!BD67</f>
        <v>Jordania</v>
      </c>
      <c r="F266" s="9" t="str">
        <f ca="1">+WORLDCUP!BD60</f>
        <v>Marruecos</v>
      </c>
      <c r="G266" s="9" t="str">
        <f ca="1">+WORLDCUP!BD58</f>
        <v>República Checa</v>
      </c>
      <c r="H266" s="9" t="str">
        <f ca="1">+WORLDCUP!BD61</f>
        <v>Turquía</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c r="A267" s="9" t="s">
        <v>1052</v>
      </c>
      <c r="B267" s="9">
        <f ca="1">+IF(A267=WORLDCUP!$BI$112,1,0)</f>
        <v>0</v>
      </c>
      <c r="C267" s="9" t="str">
        <f ca="1">+WORLDCUP!BD60</f>
        <v>Marruecos</v>
      </c>
      <c r="D267" s="9" t="str">
        <f ca="1">+WORLDCUP!BD67</f>
        <v>Jordania</v>
      </c>
      <c r="E267" s="9" t="str">
        <f ca="1">+WORLDCUP!BD62</f>
        <v>Ecuador</v>
      </c>
      <c r="F267" s="9" t="str">
        <f ca="1">+WORLDCUP!BD61</f>
        <v>Turquía</v>
      </c>
      <c r="G267" s="9" t="str">
        <f ca="1">+WORLDCUP!BD58</f>
        <v>República Checa</v>
      </c>
      <c r="H267" s="9" t="str">
        <f ca="1">+WORLDCUP!BD63</f>
        <v>Japón</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c r="A268" s="9" t="s">
        <v>1053</v>
      </c>
      <c r="B268" s="9">
        <f ca="1">+IF(A268=WORLDCUP!$BI$112,1,0)</f>
        <v>0</v>
      </c>
      <c r="C268" s="9" t="str">
        <f ca="1">+WORLDCUP!BD60</f>
        <v>Marruecos</v>
      </c>
      <c r="D268" s="9" t="str">
        <f ca="1">+WORLDCUP!BD62</f>
        <v>Ecuador</v>
      </c>
      <c r="E268" s="9" t="str">
        <f ca="1">+WORLDCUP!BD66</f>
        <v>Senegal</v>
      </c>
      <c r="F268" s="9" t="str">
        <f ca="1">+WORLDCUP!BD61</f>
        <v>Turquía</v>
      </c>
      <c r="G268" s="9" t="str">
        <f ca="1">+WORLDCUP!BD58</f>
        <v>República Checa</v>
      </c>
      <c r="H268" s="9" t="str">
        <f ca="1">+WORLDCUP!BD63</f>
        <v>Japón</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c r="A269" s="9" t="s">
        <v>1054</v>
      </c>
      <c r="B269" s="9">
        <f ca="1">+IF(A269=WORLDCUP!$BI$112,1,0)</f>
        <v>0</v>
      </c>
      <c r="C269" s="9" t="str">
        <f ca="1">+WORLDCUP!BD60</f>
        <v>Marruecos</v>
      </c>
      <c r="D269" s="9" t="str">
        <f ca="1">+WORLDCUP!BD67</f>
        <v>Jordania</v>
      </c>
      <c r="E269" s="9" t="str">
        <f ca="1">+WORLDCUP!BD62</f>
        <v>Ecuador</v>
      </c>
      <c r="F269" s="9" t="str">
        <f ca="1">+WORLDCUP!BD61</f>
        <v>Turquía</v>
      </c>
      <c r="G269" s="9" t="str">
        <f ca="1">+WORLDCUP!BD58</f>
        <v>República Checa</v>
      </c>
      <c r="H269" s="9" t="str">
        <f ca="1">+WORLDCUP!BD63</f>
        <v>Japón</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c r="A270" s="9" t="s">
        <v>1055</v>
      </c>
      <c r="B270" s="9">
        <f ca="1">+IF(A270=WORLDCUP!$BI$112,1,0)</f>
        <v>0</v>
      </c>
      <c r="C270" s="9" t="str">
        <f ca="1">+WORLDCUP!BD60</f>
        <v>Marruecos</v>
      </c>
      <c r="D270" s="9" t="str">
        <f ca="1">+WORLDCUP!BD67</f>
        <v>Jordania</v>
      </c>
      <c r="E270" s="9" t="str">
        <f ca="1">+WORLDCUP!BD62</f>
        <v>Ecuador</v>
      </c>
      <c r="F270" s="9" t="str">
        <f ca="1">+WORLDCUP!BD61</f>
        <v>Turquía</v>
      </c>
      <c r="G270" s="9" t="str">
        <f ca="1">+WORLDCUP!BD58</f>
        <v>República Checa</v>
      </c>
      <c r="H270" s="9" t="str">
        <f ca="1">+WORLDCUP!BD63</f>
        <v>Japón</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c r="A271" s="9" t="s">
        <v>1056</v>
      </c>
      <c r="B271" s="9">
        <f ca="1">+IF(A271=WORLDCUP!$BI$112,1,0)</f>
        <v>0</v>
      </c>
      <c r="C271" s="9" t="str">
        <f ca="1">+WORLDCUP!BD65</f>
        <v>España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c r="A272" s="9" t="s">
        <v>1057</v>
      </c>
      <c r="B272" s="9">
        <f ca="1">+IF(A272=WORLDCUP!$BI$112,1,0)</f>
        <v>0</v>
      </c>
      <c r="C272" s="9" t="str">
        <f ca="1">+WORLDCUP!BD65</f>
        <v>España</v>
      </c>
      <c r="D272" s="9" t="str">
        <f ca="1">+WORLDCUP!BD67</f>
        <v>Jordania</v>
      </c>
      <c r="E272" s="9" t="str">
        <f ca="1">+WORLDCUP!BD63</f>
        <v>Japón</v>
      </c>
      <c r="F272" s="9" t="str">
        <f ca="1">+WORLDCUP!BD60</f>
        <v>Marruecos</v>
      </c>
      <c r="G272" s="9" t="str">
        <f ca="1">+WORLDCUP!BD58</f>
        <v>República Checa</v>
      </c>
      <c r="H272" s="9" t="str">
        <f ca="1">+WORLDCUP!BD61</f>
        <v>Turquía</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c r="A273" s="9" t="s">
        <v>1058</v>
      </c>
      <c r="B273" s="9">
        <f ca="1">+IF(A273=WORLDCUP!$BI$112,1,0)</f>
        <v>0</v>
      </c>
      <c r="C273" s="9" t="str">
        <f ca="1">+WORLDCUP!BD65</f>
        <v>España</v>
      </c>
      <c r="D273" s="9" t="str">
        <f ca="1">+WORLDCUP!BD67</f>
        <v>Jordania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c r="A274" s="9" t="s">
        <v>1059</v>
      </c>
      <c r="B274" s="9">
        <f ca="1">+IF(A274=WORLDCUP!$BI$112,1,0)</f>
        <v>0</v>
      </c>
      <c r="C274" s="9" t="str">
        <f ca="1">+WORLDCUP!BD65</f>
        <v>España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c r="A275" s="9" t="s">
        <v>1060</v>
      </c>
      <c r="B275" s="9">
        <f ca="1">+IF(A275=WORLDCUP!$BI$112,1,0)</f>
        <v>0</v>
      </c>
      <c r="C275" s="9" t="str">
        <f ca="1">+WORLDCUP!BD65</f>
        <v>España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c r="A276" s="9" t="s">
        <v>1061</v>
      </c>
      <c r="B276" s="9">
        <f ca="1">+IF(A276=WORLDCUP!$BI$112,1,0)</f>
        <v>0</v>
      </c>
      <c r="C276" s="9" t="str">
        <f ca="1">+WORLDCUP!BD65</f>
        <v>España</v>
      </c>
      <c r="D276" s="9" t="str">
        <f ca="1">+WORLDCUP!BD67</f>
        <v>Jordania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c r="A277" s="9" t="s">
        <v>1062</v>
      </c>
      <c r="B277" s="9">
        <f ca="1">+IF(A277=WORLDCUP!$BI$112,1,0)</f>
        <v>0</v>
      </c>
      <c r="C277" s="9" t="str">
        <f ca="1">+WORLDCUP!BD60</f>
        <v>Marruecos</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c r="A278" s="9" t="s">
        <v>1063</v>
      </c>
      <c r="B278" s="9">
        <f ca="1">+IF(A278=WORLDCUP!$BI$112,1,0)</f>
        <v>0</v>
      </c>
      <c r="C278" s="9" t="str">
        <f ca="1">+WORLDCUP!BD60</f>
        <v>Marruecos</v>
      </c>
      <c r="D278" s="9" t="str">
        <f ca="1">+WORLDCUP!BD64</f>
        <v>Bélgica</v>
      </c>
      <c r="E278" s="9" t="str">
        <f ca="1">+WORLDCUP!BD67</f>
        <v>Jordania</v>
      </c>
      <c r="F278" s="9" t="str">
        <f ca="1">+WORLDCUP!BD61</f>
        <v>Turquía</v>
      </c>
      <c r="G278" s="9" t="str">
        <f ca="1">+WORLDCUP!BD58</f>
        <v>República Checa</v>
      </c>
      <c r="H278" s="9" t="str">
        <f ca="1">+WORLDCUP!BD63</f>
        <v>Japón</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c r="A279" s="9" t="s">
        <v>1064</v>
      </c>
      <c r="B279" s="9">
        <f ca="1">+IF(A279=WORLDCUP!$BI$112,1,0)</f>
        <v>0</v>
      </c>
      <c r="C279" s="9" t="str">
        <f ca="1">+WORLDCUP!BD60</f>
        <v>Marruecos</v>
      </c>
      <c r="D279" s="9" t="str">
        <f ca="1">+WORLDCUP!BD64</f>
        <v>Bélgica</v>
      </c>
      <c r="E279" s="9" t="str">
        <f ca="1">+WORLDCUP!BD67</f>
        <v>Jordania</v>
      </c>
      <c r="F279" s="9" t="str">
        <f ca="1">+WORLDCUP!BD61</f>
        <v>Turquía</v>
      </c>
      <c r="G279" s="9" t="str">
        <f ca="1">+WORLDCUP!BD58</f>
        <v>República Checa</v>
      </c>
      <c r="H279" s="9" t="str">
        <f ca="1">+WORLDCUP!BD63</f>
        <v>Japón</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c r="A280" s="9" t="s">
        <v>1065</v>
      </c>
      <c r="B280" s="9">
        <f ca="1">+IF(A280=WORLDCUP!$BI$112,1,0)</f>
        <v>0</v>
      </c>
      <c r="C280" s="9" t="str">
        <f ca="1">+WORLDCUP!BD60</f>
        <v>Marruecos</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c r="A281" s="9" t="s">
        <v>1066</v>
      </c>
      <c r="B281" s="9">
        <f ca="1">+IF(A281=WORLDCUP!$BI$112,1,0)</f>
        <v>0</v>
      </c>
      <c r="C281" s="9" t="str">
        <f ca="1">+WORLDCUP!BD60</f>
        <v>Marruecos</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c r="A282" s="9" t="s">
        <v>1067</v>
      </c>
      <c r="B282" s="9">
        <f ca="1">+IF(A282=WORLDCUP!$BI$112,1,0)</f>
        <v>0</v>
      </c>
      <c r="C282" s="9" t="str">
        <f ca="1">+WORLDCUP!BD60</f>
        <v>Marruecos</v>
      </c>
      <c r="D282" s="9" t="str">
        <f ca="1">+WORLDCUP!BD64</f>
        <v>Bélgica</v>
      </c>
      <c r="E282" s="9" t="str">
        <f ca="1">+WORLDCUP!BD67</f>
        <v>Jordania</v>
      </c>
      <c r="F282" s="9" t="str">
        <f ca="1">+WORLDCUP!BD61</f>
        <v>Turquía</v>
      </c>
      <c r="G282" s="9" t="str">
        <f ca="1">+WORLDCUP!BD58</f>
        <v>República Checa</v>
      </c>
      <c r="H282" s="9" t="str">
        <f ca="1">+WORLDCUP!BD63</f>
        <v>Japón</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c r="A283" s="9" t="s">
        <v>1068</v>
      </c>
      <c r="B283" s="9">
        <f ca="1">+IF(A283=WORLDCUP!$BI$112,1,0)</f>
        <v>0</v>
      </c>
      <c r="C283" s="9" t="str">
        <f ca="1">+WORLDCUP!BD65</f>
        <v>España</v>
      </c>
      <c r="D283" s="9" t="str">
        <f ca="1">+WORLDCUP!BD64</f>
        <v>Bélgica</v>
      </c>
      <c r="E283" s="9" t="str">
        <f ca="1">+WORLDCUP!BD63</f>
        <v>Japón</v>
      </c>
      <c r="F283" s="9" t="str">
        <f ca="1">+WORLDCUP!BD60</f>
        <v>Marruecos</v>
      </c>
      <c r="G283" s="9" t="str">
        <f ca="1">+WORLDCUP!BD58</f>
        <v>República Checa</v>
      </c>
      <c r="H283" s="9" t="str">
        <f ca="1">+WORLDCUP!BD61</f>
        <v>Turquía</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c r="A284" s="9" t="s">
        <v>1069</v>
      </c>
      <c r="B284" s="9">
        <f ca="1">+IF(A284=WORLDCUP!$BI$112,1,0)</f>
        <v>0</v>
      </c>
      <c r="C284" s="9" t="str">
        <f ca="1">+WORLDCUP!BD65</f>
        <v>España</v>
      </c>
      <c r="D284" s="9" t="str">
        <f ca="1">+WORLDCUP!BD64</f>
        <v>Bélgica</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c r="A285" s="9" t="s">
        <v>1070</v>
      </c>
      <c r="B285" s="9">
        <f ca="1">+IF(A285=WORLDCUP!$BI$112,1,0)</f>
        <v>0</v>
      </c>
      <c r="C285" s="9" t="str">
        <f ca="1">+WORLDCUP!BD65</f>
        <v>España</v>
      </c>
      <c r="D285" s="9" t="str">
        <f ca="1">+WORLDCUP!BD64</f>
        <v>Bélgica</v>
      </c>
      <c r="E285" s="9" t="str">
        <f ca="1">+WORLDCUP!BD67</f>
        <v>Jordania</v>
      </c>
      <c r="F285" s="9" t="str">
        <f ca="1">+WORLDCUP!BD60</f>
        <v>Marruecos</v>
      </c>
      <c r="G285" s="9" t="str">
        <f ca="1">+WORLDCUP!BD58</f>
        <v>República Checa</v>
      </c>
      <c r="H285" s="9" t="str">
        <f ca="1">+WORLDCUP!BD63</f>
        <v>Japón</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c r="A286" s="9" t="s">
        <v>1071</v>
      </c>
      <c r="B286" s="9">
        <f ca="1">+IF(A286=WORLDCUP!$BI$112,1,0)</f>
        <v>0</v>
      </c>
      <c r="C286" s="9" t="str">
        <f ca="1">+WORLDCUP!BD65</f>
        <v>España</v>
      </c>
      <c r="D286" s="9" t="str">
        <f ca="1">+WORLDCUP!BD64</f>
        <v>Bélgica</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c r="A287" s="9" t="s">
        <v>1072</v>
      </c>
      <c r="B287" s="9">
        <f ca="1">+IF(A287=WORLDCUP!$BI$112,1,0)</f>
        <v>0</v>
      </c>
      <c r="C287" s="9" t="str">
        <f ca="1">+WORLDCUP!BD65</f>
        <v>España</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c r="A288" s="9" t="s">
        <v>1073</v>
      </c>
      <c r="B288" s="9">
        <f ca="1">+IF(A288=WORLDCUP!$BI$112,1,0)</f>
        <v>0</v>
      </c>
      <c r="C288" s="9" t="str">
        <f ca="1">+WORLDCUP!BD65</f>
        <v>España</v>
      </c>
      <c r="D288" s="9" t="str">
        <f ca="1">+WORLDCUP!BD67</f>
        <v>Jordania</v>
      </c>
      <c r="E288" s="9" t="str">
        <f ca="1">+WORLDCUP!BD59</f>
        <v>Bosnia y Herzegovina</v>
      </c>
      <c r="F288" s="9" t="str">
        <f ca="1">+WORLDCUP!BD58</f>
        <v>República Checa</v>
      </c>
      <c r="G288" s="9" t="str">
        <f ca="1">+WORLDCUP!BD66</f>
        <v>Senegal</v>
      </c>
      <c r="H288" s="9" t="str">
        <f ca="1">+WORLDCUP!BD63</f>
        <v>Japón</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c r="A289" s="9" t="s">
        <v>1074</v>
      </c>
      <c r="B289" s="9">
        <f ca="1">+IF(A289=WORLDCUP!$BI$112,1,0)</f>
        <v>0</v>
      </c>
      <c r="C289" s="9" t="str">
        <f ca="1">+WORLDCUP!BD66</f>
        <v>Senegal</v>
      </c>
      <c r="D289" s="9" t="str">
        <f ca="1">+WORLDCUP!BD67</f>
        <v>Jordania</v>
      </c>
      <c r="E289" s="9" t="str">
        <f ca="1">+WORLDCUP!BD59</f>
        <v>Bosnia y Herzegovina</v>
      </c>
      <c r="F289" s="9" t="str">
        <f ca="1">+WORLDCUP!BD63</f>
        <v>Japón</v>
      </c>
      <c r="G289" s="9" t="str">
        <f ca="1">+WORLDCUP!BD58</f>
        <v>República Checa</v>
      </c>
      <c r="H289" s="9" t="str">
        <f ca="1">+WORLDCUP!BD64</f>
        <v>Bélgica</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c r="A290" s="9" t="s">
        <v>1075</v>
      </c>
      <c r="B290" s="9">
        <f ca="1">+IF(A290=WORLDCUP!$BI$112,1,0)</f>
        <v>0</v>
      </c>
      <c r="C290" s="9" t="str">
        <f ca="1">+WORLDCUP!BD65</f>
        <v>España</v>
      </c>
      <c r="D290" s="9" t="str">
        <f ca="1">+WORLDCUP!BD67</f>
        <v>Jordania</v>
      </c>
      <c r="E290" s="9" t="str">
        <f ca="1">+WORLDCUP!BD59</f>
        <v>Bosnia y Herzegovina</v>
      </c>
      <c r="F290" s="9" t="str">
        <f ca="1">+WORLDCUP!BD63</f>
        <v>Japón</v>
      </c>
      <c r="G290" s="9" t="str">
        <f ca="1">+WORLDCUP!BD58</f>
        <v>República Checa</v>
      </c>
      <c r="H290" s="9" t="str">
        <f ca="1">+WORLDCUP!BD64</f>
        <v>Bélgica</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c r="A291" s="9" t="s">
        <v>1076</v>
      </c>
      <c r="B291" s="9">
        <f ca="1">+IF(A291=WORLDCUP!$BI$112,1,0)</f>
        <v>0</v>
      </c>
      <c r="C291" s="9" t="str">
        <f ca="1">+WORLDCUP!BD65</f>
        <v>España</v>
      </c>
      <c r="D291" s="9" t="str">
        <f ca="1">+WORLDCUP!BD64</f>
        <v>Bélgica</v>
      </c>
      <c r="E291" s="9" t="str">
        <f ca="1">+WORLDCUP!BD59</f>
        <v>Bosnia y Herzegovina</v>
      </c>
      <c r="F291" s="9" t="str">
        <f ca="1">+WORLDCUP!BD58</f>
        <v>República Checa</v>
      </c>
      <c r="G291" s="9" t="str">
        <f ca="1">+WORLDCUP!BD66</f>
        <v>Senegal</v>
      </c>
      <c r="H291" s="9" t="str">
        <f ca="1">+WORLDCUP!BD63</f>
        <v>Japón</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c r="A292" s="9" t="s">
        <v>1077</v>
      </c>
      <c r="B292" s="9">
        <f ca="1">+IF(A292=WORLDCUP!$BI$112,1,0)</f>
        <v>0</v>
      </c>
      <c r="C292" s="9" t="str">
        <f ca="1">+WORLDCUP!BD65</f>
        <v>España</v>
      </c>
      <c r="D292" s="9" t="str">
        <f ca="1">+WORLDCUP!BD67</f>
        <v>Jordania</v>
      </c>
      <c r="E292" s="9" t="str">
        <f ca="1">+WORLDCUP!BD59</f>
        <v>Bosnia y Herzegovina</v>
      </c>
      <c r="F292" s="9" t="str">
        <f ca="1">+WORLDCUP!BD63</f>
        <v>Japón</v>
      </c>
      <c r="G292" s="9" t="str">
        <f ca="1">+WORLDCUP!BD58</f>
        <v>República Checa</v>
      </c>
      <c r="H292" s="9" t="str">
        <f ca="1">+WORLDCUP!BD64</f>
        <v>Bélgica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c r="A293" s="9" t="s">
        <v>1078</v>
      </c>
      <c r="B293" s="9">
        <f ca="1">+IF(A293=WORLDCUP!$BI$112,1,0)</f>
        <v>0</v>
      </c>
      <c r="C293" s="9" t="str">
        <f ca="1">+WORLDCUP!BD65</f>
        <v>España</v>
      </c>
      <c r="D293" s="9" t="str">
        <f ca="1">+WORLDCUP!BD67</f>
        <v>Jordania</v>
      </c>
      <c r="E293" s="9" t="str">
        <f ca="1">+WORLDCUP!BD59</f>
        <v>Bosnia y Herzegovina</v>
      </c>
      <c r="F293" s="9" t="str">
        <f ca="1">+WORLDCUP!BD63</f>
        <v>Japón</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c r="A294" s="9" t="s">
        <v>1079</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España</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c r="A295" s="9" t="s">
        <v>1080</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c r="A296" s="9" t="s">
        <v>1081</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España</v>
      </c>
      <c r="H296" s="9" t="str">
        <f ca="1">+WORLDCUP!BD64</f>
        <v>Bélgica</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España</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c r="A298" s="9" t="s">
        <v>1083</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España</v>
      </c>
      <c r="H298" s="9" t="str">
        <f ca="1">+WORLDCUP!BD64</f>
        <v>Bélgica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c r="A299" s="9" t="s">
        <v>1084</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España</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c r="A300" s="9" t="s">
        <v>1085</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Japón</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c r="A301" s="9" t="s">
        <v>1086</v>
      </c>
      <c r="B301" s="9">
        <f ca="1">+IF(A301=WORLDCUP!$BI$112,1,0)</f>
        <v>0</v>
      </c>
      <c r="C301" s="9" t="str">
        <f ca="1">+WORLDCUP!BD62</f>
        <v>Ecuador</v>
      </c>
      <c r="D301" s="9" t="str">
        <f ca="1">+WORLDCUP!BD67</f>
        <v>Jordania</v>
      </c>
      <c r="E301" s="9" t="str">
        <f ca="1">+WORLDCUP!BD59</f>
        <v>Bosnia y Herzegovina</v>
      </c>
      <c r="F301" s="9" t="str">
        <f ca="1">+WORLDCUP!BD63</f>
        <v>Japón</v>
      </c>
      <c r="G301" s="9" t="str">
        <f ca="1">+WORLDCUP!BD58</f>
        <v>República Checa</v>
      </c>
      <c r="H301" s="9" t="str">
        <f ca="1">+WORLDCUP!BD65</f>
        <v>España</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c r="A302" s="9" t="s">
        <v>1087</v>
      </c>
      <c r="B302" s="9">
        <f ca="1">+IF(A302=WORLDCUP!$BI$112,1,0)</f>
        <v>0</v>
      </c>
      <c r="C302" s="9" t="str">
        <f ca="1">+WORLDCUP!BD62</f>
        <v>Ecuador</v>
      </c>
      <c r="D302" s="9" t="str">
        <f ca="1">+WORLDCUP!BD66</f>
        <v>Senegal</v>
      </c>
      <c r="E302" s="9" t="str">
        <f ca="1">+WORLDCUP!BD59</f>
        <v>Bosnia y Herzegovina</v>
      </c>
      <c r="F302" s="9" t="str">
        <f ca="1">+WORLDCUP!BD63</f>
        <v>Japón</v>
      </c>
      <c r="G302" s="9" t="str">
        <f ca="1">+WORLDCUP!BD58</f>
        <v>República Checa</v>
      </c>
      <c r="H302" s="9" t="str">
        <f ca="1">+WORLDCUP!BD65</f>
        <v>España</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c r="A303" s="9" t="s">
        <v>1088</v>
      </c>
      <c r="B303" s="9">
        <f ca="1">+IF(A303=WORLDCUP!$BI$112,1,0)</f>
        <v>0</v>
      </c>
      <c r="C303" s="9" t="str">
        <f ca="1">+WORLDCUP!BD62</f>
        <v>Ecuador</v>
      </c>
      <c r="D303" s="9" t="str">
        <f ca="1">+WORLDCUP!BD67</f>
        <v>Jordania</v>
      </c>
      <c r="E303" s="9" t="str">
        <f ca="1">+WORLDCUP!BD59</f>
        <v>Bosnia y Herzegovina</v>
      </c>
      <c r="F303" s="9" t="str">
        <f ca="1">+WORLDCUP!BD63</f>
        <v>Japón</v>
      </c>
      <c r="G303" s="9" t="str">
        <f ca="1">+WORLDCUP!BD58</f>
        <v>República Checa</v>
      </c>
      <c r="H303" s="9" t="str">
        <f ca="1">+WORLDCUP!BD65</f>
        <v>España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c r="A304" s="9" t="s">
        <v>1089</v>
      </c>
      <c r="B304" s="9">
        <f ca="1">+IF(A304=WORLDCUP!$BI$112,1,0)</f>
        <v>0</v>
      </c>
      <c r="C304" s="9" t="str">
        <f ca="1">+WORLDCUP!BD62</f>
        <v>Ecuador</v>
      </c>
      <c r="D304" s="9" t="str">
        <f ca="1">+WORLDCUP!BD67</f>
        <v>Jordania</v>
      </c>
      <c r="E304" s="9" t="str">
        <f ca="1">+WORLDCUP!BD59</f>
        <v>Bosnia y Herzegovina</v>
      </c>
      <c r="F304" s="9" t="str">
        <f ca="1">+WORLDCUP!BD63</f>
        <v>Japón</v>
      </c>
      <c r="G304" s="9" t="str">
        <f ca="1">+WORLDCUP!BD58</f>
        <v>República Checa</v>
      </c>
      <c r="H304" s="9" t="str">
        <f ca="1">+WORLDCUP!BD65</f>
        <v>España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c r="A305" s="9" t="s">
        <v>1090</v>
      </c>
      <c r="B305" s="9">
        <f ca="1">+IF(A305=WORLDCUP!$BI$112,1,0)</f>
        <v>0</v>
      </c>
      <c r="C305" s="9" t="str">
        <f ca="1">+WORLDCUP!BD62</f>
        <v>Ecuador</v>
      </c>
      <c r="D305" s="9" t="str">
        <f ca="1">+WORLDCUP!BD67</f>
        <v>Jordania</v>
      </c>
      <c r="E305" s="9" t="str">
        <f ca="1">+WORLDCUP!BD59</f>
        <v>Bosnia y Herzegovina</v>
      </c>
      <c r="F305" s="9" t="str">
        <f ca="1">+WORLDCUP!BD63</f>
        <v>Japón</v>
      </c>
      <c r="G305" s="9" t="str">
        <f ca="1">+WORLDCUP!BD58</f>
        <v>República Checa</v>
      </c>
      <c r="H305" s="9" t="str">
        <f ca="1">+WORLDCUP!BD64</f>
        <v>Bélgica</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Japón</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c r="A307" s="9" t="s">
        <v>1092</v>
      </c>
      <c r="B307" s="9">
        <f ca="1">+IF(A307=WORLDCUP!$BI$112,1,0)</f>
        <v>0</v>
      </c>
      <c r="C307" s="9" t="str">
        <f ca="1">+WORLDCUP!BD62</f>
        <v>Ecuador</v>
      </c>
      <c r="D307" s="9" t="str">
        <f ca="1">+WORLDCUP!BD67</f>
        <v>Jordania</v>
      </c>
      <c r="E307" s="9" t="str">
        <f ca="1">+WORLDCUP!BD59</f>
        <v>Bosnia y Herzegovina</v>
      </c>
      <c r="F307" s="9" t="str">
        <f ca="1">+WORLDCUP!BD63</f>
        <v>Japón</v>
      </c>
      <c r="G307" s="9" t="str">
        <f ca="1">+WORLDCUP!BD58</f>
        <v>República Checa</v>
      </c>
      <c r="H307" s="9" t="str">
        <f ca="1">+WORLDCUP!BD64</f>
        <v>Bélgica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c r="A308" s="9" t="s">
        <v>1093</v>
      </c>
      <c r="B308" s="9">
        <f ca="1">+IF(A308=WORLDCUP!$BI$112,1,0)</f>
        <v>0</v>
      </c>
      <c r="C308" s="9" t="str">
        <f ca="1">+WORLDCUP!BD62</f>
        <v>Ecuador</v>
      </c>
      <c r="D308" s="9" t="str">
        <f ca="1">+WORLDCUP!BD67</f>
        <v>Jordania</v>
      </c>
      <c r="E308" s="9" t="str">
        <f ca="1">+WORLDCUP!BD59</f>
        <v>Bosnia y Herzegovina</v>
      </c>
      <c r="F308" s="9" t="str">
        <f ca="1">+WORLDCUP!BD63</f>
        <v>Japón</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c r="A309" s="9" t="s">
        <v>1094</v>
      </c>
      <c r="B309" s="9">
        <f ca="1">+IF(A309=WORLDCUP!$BI$112,1,0)</f>
        <v>0</v>
      </c>
      <c r="C309" s="9" t="str">
        <f ca="1">+WORLDCUP!BD62</f>
        <v>Ecuador</v>
      </c>
      <c r="D309" s="9" t="str">
        <f ca="1">+WORLDCUP!BD64</f>
        <v>Bélgica</v>
      </c>
      <c r="E309" s="9" t="str">
        <f ca="1">+WORLDCUP!BD59</f>
        <v>Bosnia y Herzegovina</v>
      </c>
      <c r="F309" s="9" t="str">
        <f ca="1">+WORLDCUP!BD63</f>
        <v>Japón</v>
      </c>
      <c r="G309" s="9" t="str">
        <f ca="1">+WORLDCUP!BD58</f>
        <v>República Checa</v>
      </c>
      <c r="H309" s="9" t="str">
        <f ca="1">+WORLDCUP!BD65</f>
        <v>España</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c r="A310" s="9" t="s">
        <v>1095</v>
      </c>
      <c r="B310" s="9">
        <f ca="1">+IF(A310=WORLDCUP!$BI$112,1,0)</f>
        <v>0</v>
      </c>
      <c r="C310" s="9" t="str">
        <f ca="1">+WORLDCUP!BD65</f>
        <v>España</v>
      </c>
      <c r="D310" s="9" t="str">
        <f ca="1">+WORLDCUP!BD67</f>
        <v>Jordania</v>
      </c>
      <c r="E310" s="9" t="str">
        <f ca="1">+WORLDCUP!BD59</f>
        <v>Bosnia y Herzegovina</v>
      </c>
      <c r="F310" s="9" t="str">
        <f ca="1">+WORLDCUP!BD63</f>
        <v>Japón</v>
      </c>
      <c r="G310" s="9" t="str">
        <f ca="1">+WORLDCUP!BD58</f>
        <v>República Checa</v>
      </c>
      <c r="H310" s="9" t="str">
        <f ca="1">+WORLDCUP!BD64</f>
        <v>Bélgica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c r="A311" s="9" t="s">
        <v>1096</v>
      </c>
      <c r="B311" s="9">
        <f ca="1">+IF(A311=WORLDCUP!$BI$112,1,0)</f>
        <v>0</v>
      </c>
      <c r="C311" s="9" t="str">
        <f ca="1">+WORLDCUP!BD65</f>
        <v>España</v>
      </c>
      <c r="D311" s="9" t="str">
        <f ca="1">+WORLDCUP!BD67</f>
        <v>Jordania</v>
      </c>
      <c r="E311" s="9" t="str">
        <f ca="1">+WORLDCUP!BD59</f>
        <v>Bosnia y Herzegovina</v>
      </c>
      <c r="F311" s="9" t="str">
        <f ca="1">+WORLDCUP!BD63</f>
        <v>Japón</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c r="A312" s="9" t="s">
        <v>1097</v>
      </c>
      <c r="B312" s="9">
        <f ca="1">+IF(A312=WORLDCUP!$BI$112,1,0)</f>
        <v>0</v>
      </c>
      <c r="C312" s="9" t="str">
        <f ca="1">+WORLDCUP!BD62</f>
        <v>Ecuador</v>
      </c>
      <c r="D312" s="9" t="str">
        <f ca="1">+WORLDCUP!BD64</f>
        <v>Bélgica</v>
      </c>
      <c r="E312" s="9" t="str">
        <f ca="1">+WORLDCUP!BD59</f>
        <v>Bosnia y Herzegovina</v>
      </c>
      <c r="F312" s="9" t="str">
        <f ca="1">+WORLDCUP!BD63</f>
        <v>Japón</v>
      </c>
      <c r="G312" s="9" t="str">
        <f ca="1">+WORLDCUP!BD58</f>
        <v>República Checa</v>
      </c>
      <c r="H312" s="9" t="str">
        <f ca="1">+WORLDCUP!BD65</f>
        <v>España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c r="A313" s="9" t="s">
        <v>1098</v>
      </c>
      <c r="B313" s="9">
        <f ca="1">+IF(A313=WORLDCUP!$BI$112,1,0)</f>
        <v>0</v>
      </c>
      <c r="C313" s="9" t="str">
        <f ca="1">+WORLDCUP!BD62</f>
        <v>Ecuador</v>
      </c>
      <c r="D313" s="9" t="str">
        <f ca="1">+WORLDCUP!BD64</f>
        <v>Bélgica</v>
      </c>
      <c r="E313" s="9" t="str">
        <f ca="1">+WORLDCUP!BD59</f>
        <v>Bosnia y Herzegovina</v>
      </c>
      <c r="F313" s="9" t="str">
        <f ca="1">+WORLDCUP!BD63</f>
        <v>Japón</v>
      </c>
      <c r="G313" s="9" t="str">
        <f ca="1">+WORLDCUP!BD58</f>
        <v>República Checa</v>
      </c>
      <c r="H313" s="9" t="str">
        <f ca="1">+WORLDCUP!BD65</f>
        <v>España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c r="A314" s="9" t="s">
        <v>1099</v>
      </c>
      <c r="B314" s="9">
        <f ca="1">+IF(A314=WORLDCUP!$BI$112,1,0)</f>
        <v>0</v>
      </c>
      <c r="C314" s="9" t="str">
        <f ca="1">+WORLDCUP!BD65</f>
        <v>España</v>
      </c>
      <c r="D314" s="9" t="str">
        <f ca="1">+WORLDCUP!BD67</f>
        <v>Jordania</v>
      </c>
      <c r="E314" s="9" t="str">
        <f ca="1">+WORLDCUP!BD59</f>
        <v>Bosnia y Herzegovina</v>
      </c>
      <c r="F314" s="9" t="str">
        <f ca="1">+WORLDCUP!BD63</f>
        <v>Japón</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c r="A315" s="9" t="s">
        <v>1100</v>
      </c>
      <c r="B315" s="9">
        <f ca="1">+IF(A315=WORLDCUP!$BI$112,1,0)</f>
        <v>0</v>
      </c>
      <c r="C315" s="9" t="str">
        <f ca="1">+WORLDCUP!BD66</f>
        <v>Senegal</v>
      </c>
      <c r="D315" s="9" t="str">
        <f ca="1">+WORLDCUP!BD67</f>
        <v>Jordania</v>
      </c>
      <c r="E315" s="9" t="str">
        <f ca="1">+WORLDCUP!BD59</f>
        <v>Bosnia y Herzegovina</v>
      </c>
      <c r="F315" s="9" t="str">
        <f ca="1">+WORLDCUP!BD61</f>
        <v>Turquía</v>
      </c>
      <c r="G315" s="9" t="str">
        <f ca="1">+WORLDCUP!BD58</f>
        <v>República Checa</v>
      </c>
      <c r="H315" s="9" t="str">
        <f ca="1">+WORLDCUP!BD65</f>
        <v>España</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c r="A316" s="9" t="s">
        <v>1101</v>
      </c>
      <c r="B316" s="9">
        <f ca="1">+IF(A316=WORLDCUP!$BI$112,1,0)</f>
        <v>0</v>
      </c>
      <c r="C316" s="9" t="str">
        <f ca="1">+WORLDCUP!BD66</f>
        <v>Senegal</v>
      </c>
      <c r="D316" s="9" t="str">
        <f ca="1">+WORLDCUP!BD67</f>
        <v>Jordania</v>
      </c>
      <c r="E316" s="9" t="str">
        <f ca="1">+WORLDCUP!BD59</f>
        <v>Bosnia y Herzegovina</v>
      </c>
      <c r="F316" s="9" t="str">
        <f ca="1">+WORLDCUP!BD61</f>
        <v>Turquía</v>
      </c>
      <c r="G316" s="9" t="str">
        <f ca="1">+WORLDCUP!BD58</f>
        <v>República Checa</v>
      </c>
      <c r="H316" s="9" t="str">
        <f ca="1">+WORLDCUP!BD64</f>
        <v>Bélgica</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c r="A317" s="9" t="s">
        <v>1102</v>
      </c>
      <c r="B317" s="9">
        <f ca="1">+IF(A317=WORLDCUP!$BI$112,1,0)</f>
        <v>0</v>
      </c>
      <c r="C317" s="9" t="str">
        <f ca="1">+WORLDCUP!BD65</f>
        <v>España</v>
      </c>
      <c r="D317" s="9" t="str">
        <f ca="1">+WORLDCUP!BD67</f>
        <v>Jordania</v>
      </c>
      <c r="E317" s="9" t="str">
        <f ca="1">+WORLDCUP!BD59</f>
        <v>Bosnia y Herzegovina</v>
      </c>
      <c r="F317" s="9" t="str">
        <f ca="1">+WORLDCUP!BD61</f>
        <v>Turquía</v>
      </c>
      <c r="G317" s="9" t="str">
        <f ca="1">+WORLDCUP!BD58</f>
        <v>República Checa</v>
      </c>
      <c r="H317" s="9" t="str">
        <f ca="1">+WORLDCUP!BD64</f>
        <v>Bélgica</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c r="A318" s="9" t="s">
        <v>1103</v>
      </c>
      <c r="B318" s="9">
        <f ca="1">+IF(A318=WORLDCUP!$BI$112,1,0)</f>
        <v>0</v>
      </c>
      <c r="C318" s="9" t="str">
        <f ca="1">+WORLDCUP!BD66</f>
        <v>Senegal</v>
      </c>
      <c r="D318" s="9" t="str">
        <f ca="1">+WORLDCUP!BD64</f>
        <v>Bélgica</v>
      </c>
      <c r="E318" s="9" t="str">
        <f ca="1">+WORLDCUP!BD59</f>
        <v>Bosnia y Herzegovina</v>
      </c>
      <c r="F318" s="9" t="str">
        <f ca="1">+WORLDCUP!BD61</f>
        <v>Turquía</v>
      </c>
      <c r="G318" s="9" t="str">
        <f ca="1">+WORLDCUP!BD58</f>
        <v>República Checa</v>
      </c>
      <c r="H318" s="9" t="str">
        <f ca="1">+WORLDCUP!BD65</f>
        <v>España</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c r="A319" s="9" t="s">
        <v>1104</v>
      </c>
      <c r="B319" s="9">
        <f ca="1">+IF(A319=WORLDCUP!$BI$112,1,0)</f>
        <v>0</v>
      </c>
      <c r="C319" s="9" t="str">
        <f ca="1">+WORLDCUP!BD65</f>
        <v>España</v>
      </c>
      <c r="D319" s="9" t="str">
        <f ca="1">+WORLDCUP!BD67</f>
        <v>Jordania</v>
      </c>
      <c r="E319" s="9" t="str">
        <f ca="1">+WORLDCUP!BD59</f>
        <v>Bosnia y Herzegovina</v>
      </c>
      <c r="F319" s="9" t="str">
        <f ca="1">+WORLDCUP!BD61</f>
        <v>Turquía</v>
      </c>
      <c r="G319" s="9" t="str">
        <f ca="1">+WORLDCUP!BD58</f>
        <v>República Checa</v>
      </c>
      <c r="H319" s="9" t="str">
        <f ca="1">+WORLDCUP!BD64</f>
        <v>Bélgica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c r="A320" s="9" t="s">
        <v>1105</v>
      </c>
      <c r="B320" s="9">
        <f ca="1">+IF(A320=WORLDCUP!$BI$112,1,0)</f>
        <v>0</v>
      </c>
      <c r="C320" s="9" t="str">
        <f ca="1">+WORLDCUP!BD65</f>
        <v>España</v>
      </c>
      <c r="D320" s="9" t="str">
        <f ca="1">+WORLDCUP!BD67</f>
        <v>Jordania</v>
      </c>
      <c r="E320" s="9" t="str">
        <f ca="1">+WORLDCUP!BD59</f>
        <v>Bosnia y Herzegovina</v>
      </c>
      <c r="F320" s="9" t="str">
        <f ca="1">+WORLDCUP!BD61</f>
        <v>Turquía</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c r="A321" s="9" t="s">
        <v>1106</v>
      </c>
      <c r="B321" s="9">
        <f ca="1">+IF(A321=WORLDCUP!$BI$112,1,0)</f>
        <v>0</v>
      </c>
      <c r="C321" s="9" t="str">
        <f ca="1">+WORLDCUP!BD66</f>
        <v>Senegal</v>
      </c>
      <c r="D321" s="9" t="str">
        <f ca="1">+WORLDCUP!BD67</f>
        <v>Jordania</v>
      </c>
      <c r="E321" s="9" t="str">
        <f ca="1">+WORLDCUP!BD59</f>
        <v>Bosnia y Herzegovina</v>
      </c>
      <c r="F321" s="9" t="str">
        <f ca="1">+WORLDCUP!BD61</f>
        <v>Turquía</v>
      </c>
      <c r="G321" s="9" t="str">
        <f ca="1">+WORLDCUP!BD58</f>
        <v>República Checa</v>
      </c>
      <c r="H321" s="9" t="str">
        <f ca="1">+WORLDCUP!BD63</f>
        <v>Japón</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c r="A322" s="9" t="s">
        <v>1107</v>
      </c>
      <c r="B322" s="9">
        <f ca="1">+IF(A322=WORLDCUP!$BI$112,1,0)</f>
        <v>0</v>
      </c>
      <c r="C322" s="9" t="str">
        <f ca="1">+WORLDCUP!BD65</f>
        <v>España</v>
      </c>
      <c r="D322" s="9" t="str">
        <f ca="1">+WORLDCUP!BD67</f>
        <v>Jordania</v>
      </c>
      <c r="E322" s="9" t="str">
        <f ca="1">+WORLDCUP!BD59</f>
        <v>Bosnia y Herzegovina</v>
      </c>
      <c r="F322" s="9" t="str">
        <f ca="1">+WORLDCUP!BD61</f>
        <v>Turquía</v>
      </c>
      <c r="G322" s="9" t="str">
        <f ca="1">+WORLDCUP!BD58</f>
        <v>República Checa</v>
      </c>
      <c r="H322" s="9" t="str">
        <f ca="1">+WORLDCUP!BD63</f>
        <v>Japón</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c r="A323" s="9" t="s">
        <v>1108</v>
      </c>
      <c r="B323" s="9">
        <f ca="1">+IF(A323=WORLDCUP!$BI$112,1,0)</f>
        <v>0</v>
      </c>
      <c r="C323" s="9" t="str">
        <f ca="1">+WORLDCUP!BD65</f>
        <v>España</v>
      </c>
      <c r="D323" s="9" t="str">
        <f ca="1">+WORLDCUP!BD66</f>
        <v>Senegal</v>
      </c>
      <c r="E323" s="9" t="str">
        <f ca="1">+WORLDCUP!BD59</f>
        <v>Bosnia y Herzegovina</v>
      </c>
      <c r="F323" s="9" t="str">
        <f ca="1">+WORLDCUP!BD61</f>
        <v>Turquía</v>
      </c>
      <c r="G323" s="9" t="str">
        <f ca="1">+WORLDCUP!BD58</f>
        <v>República Checa</v>
      </c>
      <c r="H323" s="9" t="str">
        <f ca="1">+WORLDCUP!BD63</f>
        <v>Japón</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c r="A324" s="9" t="s">
        <v>1109</v>
      </c>
      <c r="B324" s="9">
        <f ca="1">+IF(A324=WORLDCUP!$BI$112,1,0)</f>
        <v>0</v>
      </c>
      <c r="C324" s="9" t="str">
        <f ca="1">+WORLDCUP!BD65</f>
        <v>España</v>
      </c>
      <c r="D324" s="9" t="str">
        <f ca="1">+WORLDCUP!BD67</f>
        <v>Jordania</v>
      </c>
      <c r="E324" s="9" t="str">
        <f ca="1">+WORLDCUP!BD59</f>
        <v>Bosnia y Herzegovina</v>
      </c>
      <c r="F324" s="9" t="str">
        <f ca="1">+WORLDCUP!BD61</f>
        <v>Turquía</v>
      </c>
      <c r="G324" s="9" t="str">
        <f ca="1">+WORLDCUP!BD58</f>
        <v>República Checa</v>
      </c>
      <c r="H324" s="9" t="str">
        <f ca="1">+WORLDCUP!BD63</f>
        <v>Japón</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c r="A325" s="9" t="s">
        <v>1110</v>
      </c>
      <c r="B325" s="9">
        <f ca="1">+IF(A325=WORLDCUP!$BI$112,1,0)</f>
        <v>0</v>
      </c>
      <c r="C325" s="9" t="str">
        <f ca="1">+WORLDCUP!BD65</f>
        <v>España</v>
      </c>
      <c r="D325" s="9" t="str">
        <f ca="1">+WORLDCUP!BD67</f>
        <v>Jordania</v>
      </c>
      <c r="E325" s="9" t="str">
        <f ca="1">+WORLDCUP!BD59</f>
        <v>Bosnia y Herzegovina</v>
      </c>
      <c r="F325" s="9" t="str">
        <f ca="1">+WORLDCUP!BD61</f>
        <v>Turquía</v>
      </c>
      <c r="G325" s="9" t="str">
        <f ca="1">+WORLDCUP!BD58</f>
        <v>República Checa</v>
      </c>
      <c r="H325" s="9" t="str">
        <f ca="1">+WORLDCUP!BD63</f>
        <v>Japón</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c r="A326" s="9" t="s">
        <v>1111</v>
      </c>
      <c r="B326" s="9">
        <f ca="1">+IF(A326=WORLDCUP!$BI$112,1,0)</f>
        <v>0</v>
      </c>
      <c r="C326" s="9" t="str">
        <f ca="1">+WORLDCUP!BD63</f>
        <v>Japón</v>
      </c>
      <c r="D326" s="9" t="str">
        <f ca="1">+WORLDCUP!BD67</f>
        <v>Jordania</v>
      </c>
      <c r="E326" s="9" t="str">
        <f ca="1">+WORLDCUP!BD59</f>
        <v>Bosnia y Herzegovina</v>
      </c>
      <c r="F326" s="9" t="str">
        <f ca="1">+WORLDCUP!BD61</f>
        <v>Turquía</v>
      </c>
      <c r="G326" s="9" t="str">
        <f ca="1">+WORLDCUP!BD58</f>
        <v>República Checa</v>
      </c>
      <c r="H326" s="9" t="str">
        <f ca="1">+WORLDCUP!BD64</f>
        <v>Bélgica</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c r="A327" s="9" t="s">
        <v>1112</v>
      </c>
      <c r="B327" s="9">
        <f ca="1">+IF(A327=WORLDCUP!$BI$112,1,0)</f>
        <v>0</v>
      </c>
      <c r="C327" s="9" t="str">
        <f ca="1">+WORLDCUP!BD66</f>
        <v>Senegal</v>
      </c>
      <c r="D327" s="9" t="str">
        <f ca="1">+WORLDCUP!BD64</f>
        <v>Bélgica</v>
      </c>
      <c r="E327" s="9" t="str">
        <f ca="1">+WORLDCUP!BD59</f>
        <v>Bosnia y Herzegovina</v>
      </c>
      <c r="F327" s="9" t="str">
        <f ca="1">+WORLDCUP!BD61</f>
        <v>Turquía</v>
      </c>
      <c r="G327" s="9" t="str">
        <f ca="1">+WORLDCUP!BD58</f>
        <v>República Checa</v>
      </c>
      <c r="H327" s="9" t="str">
        <f ca="1">+WORLDCUP!BD63</f>
        <v>Japón</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c r="A328" s="9" t="s">
        <v>1113</v>
      </c>
      <c r="B328" s="9">
        <f ca="1">+IF(A328=WORLDCUP!$BI$112,1,0)</f>
        <v>0</v>
      </c>
      <c r="C328" s="9" t="str">
        <f ca="1">+WORLDCUP!BD63</f>
        <v>Japón</v>
      </c>
      <c r="D328" s="9" t="str">
        <f ca="1">+WORLDCUP!BD67</f>
        <v>Jordania</v>
      </c>
      <c r="E328" s="9" t="str">
        <f ca="1">+WORLDCUP!BD59</f>
        <v>Bosnia y Herzegovina</v>
      </c>
      <c r="F328" s="9" t="str">
        <f ca="1">+WORLDCUP!BD61</f>
        <v>Turquía</v>
      </c>
      <c r="G328" s="9" t="str">
        <f ca="1">+WORLDCUP!BD58</f>
        <v>República Checa</v>
      </c>
      <c r="H328" s="9" t="str">
        <f ca="1">+WORLDCUP!BD64</f>
        <v>Bélgica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c r="A329" s="9" t="s">
        <v>1114</v>
      </c>
      <c r="B329" s="9">
        <f ca="1">+IF(A329=WORLDCUP!$BI$112,1,0)</f>
        <v>0</v>
      </c>
      <c r="C329" s="9" t="str">
        <f ca="1">+WORLDCUP!BD63</f>
        <v>Japón</v>
      </c>
      <c r="D329" s="9" t="str">
        <f ca="1">+WORLDCUP!BD67</f>
        <v>Jordania</v>
      </c>
      <c r="E329" s="9" t="str">
        <f ca="1">+WORLDCUP!BD59</f>
        <v>Bosnia y Herzegovina</v>
      </c>
      <c r="F329" s="9" t="str">
        <f ca="1">+WORLDCUP!BD61</f>
        <v>Turquía</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c r="A330" s="9" t="s">
        <v>1115</v>
      </c>
      <c r="B330" s="9">
        <f ca="1">+IF(A330=WORLDCUP!$BI$112,1,0)</f>
        <v>0</v>
      </c>
      <c r="C330" s="9" t="str">
        <f ca="1">+WORLDCUP!BD65</f>
        <v>España</v>
      </c>
      <c r="D330" s="9" t="str">
        <f ca="1">+WORLDCUP!BD64</f>
        <v>Bélgica</v>
      </c>
      <c r="E330" s="9" t="str">
        <f ca="1">+WORLDCUP!BD59</f>
        <v>Bosnia y Herzegovina</v>
      </c>
      <c r="F330" s="9" t="str">
        <f ca="1">+WORLDCUP!BD61</f>
        <v>Turquía</v>
      </c>
      <c r="G330" s="9" t="str">
        <f ca="1">+WORLDCUP!BD58</f>
        <v>República Checa</v>
      </c>
      <c r="H330" s="9" t="str">
        <f ca="1">+WORLDCUP!BD63</f>
        <v>Japón</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c r="A331" s="9" t="s">
        <v>1116</v>
      </c>
      <c r="B331" s="9">
        <f ca="1">+IF(A331=WORLDCUP!$BI$112,1,0)</f>
        <v>0</v>
      </c>
      <c r="C331" s="9" t="str">
        <f ca="1">+WORLDCUP!BD65</f>
        <v>España</v>
      </c>
      <c r="D331" s="9" t="str">
        <f ca="1">+WORLDCUP!BD64</f>
        <v>Bélgica</v>
      </c>
      <c r="E331" s="9" t="str">
        <f ca="1">+WORLDCUP!BD59</f>
        <v>Bosnia y Herzegovina</v>
      </c>
      <c r="F331" s="9" t="str">
        <f ca="1">+WORLDCUP!BD61</f>
        <v>Turquía</v>
      </c>
      <c r="G331" s="9" t="str">
        <f ca="1">+WORLDCUP!BD58</f>
        <v>República Checa</v>
      </c>
      <c r="H331" s="9" t="str">
        <f ca="1">+WORLDCUP!BD63</f>
        <v>Japón</v>
      </c>
      <c r="I331" s="9" t="str">
        <f ca="1">+WORLDCUP!BD69</f>
        <v>Panamá</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c r="A332" s="9" t="s">
        <v>1117</v>
      </c>
      <c r="B332" s="9">
        <f ca="1">+IF(A332=WORLDCUP!$BI$112,1,0)</f>
        <v>0</v>
      </c>
      <c r="C332" s="9" t="str">
        <f ca="1">+WORLDCUP!BD65</f>
        <v>España</v>
      </c>
      <c r="D332" s="9" t="str">
        <f ca="1">+WORLDCUP!BD64</f>
        <v>Bélgica</v>
      </c>
      <c r="E332" s="9" t="str">
        <f ca="1">+WORLDCUP!BD59</f>
        <v>Bosnia y Herzegovina</v>
      </c>
      <c r="F332" s="9" t="str">
        <f ca="1">+WORLDCUP!BD61</f>
        <v>Turquía</v>
      </c>
      <c r="G332" s="9" t="str">
        <f ca="1">+WORLDCUP!BD58</f>
        <v>República Checa</v>
      </c>
      <c r="H332" s="9" t="str">
        <f ca="1">+WORLDCUP!BD63</f>
        <v>Japón</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c r="A333" s="9" t="s">
        <v>1118</v>
      </c>
      <c r="B333" s="9">
        <f ca="1">+IF(A333=WORLDCUP!$BI$112,1,0)</f>
        <v>0</v>
      </c>
      <c r="C333" s="9" t="str">
        <f ca="1">+WORLDCUP!BD65</f>
        <v>España</v>
      </c>
      <c r="D333" s="9" t="str">
        <f ca="1">+WORLDCUP!BD64</f>
        <v>Bélgica</v>
      </c>
      <c r="E333" s="9" t="str">
        <f ca="1">+WORLDCUP!BD59</f>
        <v>Bosnia y Herzegovina</v>
      </c>
      <c r="F333" s="9" t="str">
        <f ca="1">+WORLDCUP!BD61</f>
        <v>Turquía</v>
      </c>
      <c r="G333" s="9" t="str">
        <f ca="1">+WORLDCUP!BD58</f>
        <v>República Checa</v>
      </c>
      <c r="H333" s="9" t="str">
        <f ca="1">+WORLDCUP!BD63</f>
        <v>Japón</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c r="A334" s="9" t="s">
        <v>1119</v>
      </c>
      <c r="B334" s="9">
        <f ca="1">+IF(A334=WORLDCUP!$BI$112,1,0)</f>
        <v>0</v>
      </c>
      <c r="C334" s="9" t="str">
        <f ca="1">+WORLDCUP!BD65</f>
        <v>España</v>
      </c>
      <c r="D334" s="9" t="str">
        <f ca="1">+WORLDCUP!BD64</f>
        <v>Bélgica</v>
      </c>
      <c r="E334" s="9" t="str">
        <f ca="1">+WORLDCUP!BD59</f>
        <v>Bosnia y Herzegovina</v>
      </c>
      <c r="F334" s="9" t="str">
        <f ca="1">+WORLDCUP!BD61</f>
        <v>Turquía</v>
      </c>
      <c r="G334" s="9" t="str">
        <f ca="1">+WORLDCUP!BD58</f>
        <v>República Checa</v>
      </c>
      <c r="H334" s="9" t="str">
        <f ca="1">+WORLDCUP!BD63</f>
        <v>Japón</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c r="A335" s="9" t="s">
        <v>1120</v>
      </c>
      <c r="B335" s="9">
        <f ca="1">+IF(A335=WORLDCUP!$BI$112,1,0)</f>
        <v>0</v>
      </c>
      <c r="C335" s="9" t="str">
        <f ca="1">+WORLDCUP!BD65</f>
        <v>España</v>
      </c>
      <c r="D335" s="9" t="str">
        <f ca="1">+WORLDCUP!BD64</f>
        <v>Bélgica</v>
      </c>
      <c r="E335" s="9" t="str">
        <f ca="1">+WORLDCUP!BD59</f>
        <v>Bosnia y Herzegovina</v>
      </c>
      <c r="F335" s="9" t="str">
        <f ca="1">+WORLDCUP!BD61</f>
        <v>Turquía</v>
      </c>
      <c r="G335" s="9" t="str">
        <f ca="1">+WORLDCUP!BD58</f>
        <v>República Checa</v>
      </c>
      <c r="H335" s="9" t="str">
        <f ca="1">+WORLDCUP!BD63</f>
        <v>Japón</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c r="A336" s="9" t="s">
        <v>1121</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Turquía</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c r="A337" s="9" t="s">
        <v>1122</v>
      </c>
      <c r="B337" s="9">
        <f ca="1">+IF(A337=WORLDCUP!$BI$112,1,0)</f>
        <v>0</v>
      </c>
      <c r="C337" s="9" t="str">
        <f ca="1">+WORLDCUP!BD62</f>
        <v>Ecuador</v>
      </c>
      <c r="D337" s="9" t="str">
        <f ca="1">+WORLDCUP!BD67</f>
        <v>Jordania</v>
      </c>
      <c r="E337" s="9" t="str">
        <f ca="1">+WORLDCUP!BD59</f>
        <v>Bosnia y Herzegovina</v>
      </c>
      <c r="F337" s="9" t="str">
        <f ca="1">+WORLDCUP!BD61</f>
        <v>Turquía</v>
      </c>
      <c r="G337" s="9" t="str">
        <f ca="1">+WORLDCUP!BD58</f>
        <v>República Checa</v>
      </c>
      <c r="H337" s="9" t="str">
        <f ca="1">+WORLDCUP!BD65</f>
        <v>España</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c r="A338" s="9" t="s">
        <v>1123</v>
      </c>
      <c r="B338" s="9">
        <f ca="1">+IF(A338=WORLDCUP!$BI$112,1,0)</f>
        <v>0</v>
      </c>
      <c r="C338" s="9" t="str">
        <f ca="1">+WORLDCUP!BD62</f>
        <v>Ecuador</v>
      </c>
      <c r="D338" s="9" t="str">
        <f ca="1">+WORLDCUP!BD66</f>
        <v>Senegal</v>
      </c>
      <c r="E338" s="9" t="str">
        <f ca="1">+WORLDCUP!BD59</f>
        <v>Bosnia y Herzegovina</v>
      </c>
      <c r="F338" s="9" t="str">
        <f ca="1">+WORLDCUP!BD61</f>
        <v>Turquía</v>
      </c>
      <c r="G338" s="9" t="str">
        <f ca="1">+WORLDCUP!BD58</f>
        <v>República Checa</v>
      </c>
      <c r="H338" s="9" t="str">
        <f ca="1">+WORLDCUP!BD65</f>
        <v>España</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c r="A339" s="9" t="s">
        <v>1124</v>
      </c>
      <c r="B339" s="9">
        <f ca="1">+IF(A339=WORLDCUP!$BI$112,1,0)</f>
        <v>0</v>
      </c>
      <c r="C339" s="9" t="str">
        <f ca="1">+WORLDCUP!BD62</f>
        <v>Ecuador</v>
      </c>
      <c r="D339" s="9" t="str">
        <f ca="1">+WORLDCUP!BD67</f>
        <v>Jordania</v>
      </c>
      <c r="E339" s="9" t="str">
        <f ca="1">+WORLDCUP!BD59</f>
        <v>Bosnia y Herzegovina</v>
      </c>
      <c r="F339" s="9" t="str">
        <f ca="1">+WORLDCUP!BD61</f>
        <v>Turquía</v>
      </c>
      <c r="G339" s="9" t="str">
        <f ca="1">+WORLDCUP!BD58</f>
        <v>República Checa</v>
      </c>
      <c r="H339" s="9" t="str">
        <f ca="1">+WORLDCUP!BD65</f>
        <v>España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c r="A340" s="9" t="s">
        <v>1125</v>
      </c>
      <c r="B340" s="9">
        <f ca="1">+IF(A340=WORLDCUP!$BI$112,1,0)</f>
        <v>0</v>
      </c>
      <c r="C340" s="9" t="str">
        <f ca="1">+WORLDCUP!BD62</f>
        <v>Ecuador</v>
      </c>
      <c r="D340" s="9" t="str">
        <f ca="1">+WORLDCUP!BD67</f>
        <v>Jordania</v>
      </c>
      <c r="E340" s="9" t="str">
        <f ca="1">+WORLDCUP!BD59</f>
        <v>Bosnia y Herzegovina</v>
      </c>
      <c r="F340" s="9" t="str">
        <f ca="1">+WORLDCUP!BD61</f>
        <v>Turquía</v>
      </c>
      <c r="G340" s="9" t="str">
        <f ca="1">+WORLDCUP!BD58</f>
        <v>República Checa</v>
      </c>
      <c r="H340" s="9" t="str">
        <f ca="1">+WORLDCUP!BD65</f>
        <v>España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c r="A341" s="9" t="s">
        <v>1126</v>
      </c>
      <c r="B341" s="9">
        <f ca="1">+IF(A341=WORLDCUP!$BI$112,1,0)</f>
        <v>0</v>
      </c>
      <c r="C341" s="9" t="str">
        <f ca="1">+WORLDCUP!BD62</f>
        <v>Ecuador</v>
      </c>
      <c r="D341" s="9" t="str">
        <f ca="1">+WORLDCUP!BD67</f>
        <v>Jordania</v>
      </c>
      <c r="E341" s="9" t="str">
        <f ca="1">+WORLDCUP!BD59</f>
        <v>Bosnia y Herzegovina</v>
      </c>
      <c r="F341" s="9" t="str">
        <f ca="1">+WORLDCUP!BD61</f>
        <v>Turquía</v>
      </c>
      <c r="G341" s="9" t="str">
        <f ca="1">+WORLDCUP!BD58</f>
        <v>República Checa</v>
      </c>
      <c r="H341" s="9" t="str">
        <f ca="1">+WORLDCUP!BD64</f>
        <v>Bélgica</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Turquía</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c r="A343" s="9" t="s">
        <v>1128</v>
      </c>
      <c r="B343" s="9">
        <f ca="1">+IF(A343=WORLDCUP!$BI$112,1,0)</f>
        <v>0</v>
      </c>
      <c r="C343" s="9" t="str">
        <f ca="1">+WORLDCUP!BD62</f>
        <v>Ecuador</v>
      </c>
      <c r="D343" s="9" t="str">
        <f ca="1">+WORLDCUP!BD67</f>
        <v>Jordania</v>
      </c>
      <c r="E343" s="9" t="str">
        <f ca="1">+WORLDCUP!BD59</f>
        <v>Bosnia y Herzegovina</v>
      </c>
      <c r="F343" s="9" t="str">
        <f ca="1">+WORLDCUP!BD61</f>
        <v>Turquía</v>
      </c>
      <c r="G343" s="9" t="str">
        <f ca="1">+WORLDCUP!BD58</f>
        <v>República Checa</v>
      </c>
      <c r="H343" s="9" t="str">
        <f ca="1">+WORLDCUP!BD64</f>
        <v>Bélgica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c r="A344" s="9" t="s">
        <v>1129</v>
      </c>
      <c r="B344" s="9">
        <f ca="1">+IF(A344=WORLDCUP!$BI$112,1,0)</f>
        <v>0</v>
      </c>
      <c r="C344" s="9" t="str">
        <f ca="1">+WORLDCUP!BD62</f>
        <v>Ecuador</v>
      </c>
      <c r="D344" s="9" t="str">
        <f ca="1">+WORLDCUP!BD67</f>
        <v>Jordania</v>
      </c>
      <c r="E344" s="9" t="str">
        <f ca="1">+WORLDCUP!BD59</f>
        <v>Bosnia y Herzegovina</v>
      </c>
      <c r="F344" s="9" t="str">
        <f ca="1">+WORLDCUP!BD61</f>
        <v>Turquía</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c r="A345" s="9" t="s">
        <v>1130</v>
      </c>
      <c r="B345" s="9">
        <f ca="1">+IF(A345=WORLDCUP!$BI$112,1,0)</f>
        <v>0</v>
      </c>
      <c r="C345" s="9" t="str">
        <f ca="1">+WORLDCUP!BD62</f>
        <v>Ecuador</v>
      </c>
      <c r="D345" s="9" t="str">
        <f ca="1">+WORLDCUP!BD64</f>
        <v>Bélgica</v>
      </c>
      <c r="E345" s="9" t="str">
        <f ca="1">+WORLDCUP!BD59</f>
        <v>Bosnia y Herzegovina</v>
      </c>
      <c r="F345" s="9" t="str">
        <f ca="1">+WORLDCUP!BD61</f>
        <v>Turquía</v>
      </c>
      <c r="G345" s="9" t="str">
        <f ca="1">+WORLDCUP!BD58</f>
        <v>República Checa</v>
      </c>
      <c r="H345" s="9" t="str">
        <f ca="1">+WORLDCUP!BD65</f>
        <v>España</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c r="A346" s="9" t="s">
        <v>1131</v>
      </c>
      <c r="B346" s="9">
        <f ca="1">+IF(A346=WORLDCUP!$BI$112,1,0)</f>
        <v>0</v>
      </c>
      <c r="C346" s="9" t="str">
        <f ca="1">+WORLDCUP!BD65</f>
        <v>España</v>
      </c>
      <c r="D346" s="9" t="str">
        <f ca="1">+WORLDCUP!BD67</f>
        <v>Jordania</v>
      </c>
      <c r="E346" s="9" t="str">
        <f ca="1">+WORLDCUP!BD59</f>
        <v>Bosnia y Herzegovina</v>
      </c>
      <c r="F346" s="9" t="str">
        <f ca="1">+WORLDCUP!BD61</f>
        <v>Turquía</v>
      </c>
      <c r="G346" s="9" t="str">
        <f ca="1">+WORLDCUP!BD58</f>
        <v>República Checa</v>
      </c>
      <c r="H346" s="9" t="str">
        <f ca="1">+WORLDCUP!BD64</f>
        <v>Bélgica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c r="A347" s="9" t="s">
        <v>1132</v>
      </c>
      <c r="B347" s="9">
        <f ca="1">+IF(A347=WORLDCUP!$BI$112,1,0)</f>
        <v>0</v>
      </c>
      <c r="C347" s="9" t="str">
        <f ca="1">+WORLDCUP!BD65</f>
        <v>España</v>
      </c>
      <c r="D347" s="9" t="str">
        <f ca="1">+WORLDCUP!BD67</f>
        <v>Jordania</v>
      </c>
      <c r="E347" s="9" t="str">
        <f ca="1">+WORLDCUP!BD59</f>
        <v>Bosnia y Herzegovina</v>
      </c>
      <c r="F347" s="9" t="str">
        <f ca="1">+WORLDCUP!BD61</f>
        <v>Turquía</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c r="A348" s="9" t="s">
        <v>1133</v>
      </c>
      <c r="B348" s="9">
        <f ca="1">+IF(A348=WORLDCUP!$BI$112,1,0)</f>
        <v>0</v>
      </c>
      <c r="C348" s="9" t="str">
        <f ca="1">+WORLDCUP!BD62</f>
        <v>Ecuador</v>
      </c>
      <c r="D348" s="9" t="str">
        <f ca="1">+WORLDCUP!BD64</f>
        <v>Bélgica</v>
      </c>
      <c r="E348" s="9" t="str">
        <f ca="1">+WORLDCUP!BD59</f>
        <v>Bosnia y Herzegovina</v>
      </c>
      <c r="F348" s="9" t="str">
        <f ca="1">+WORLDCUP!BD61</f>
        <v>Turquía</v>
      </c>
      <c r="G348" s="9" t="str">
        <f ca="1">+WORLDCUP!BD58</f>
        <v>República Checa</v>
      </c>
      <c r="H348" s="9" t="str">
        <f ca="1">+WORLDCUP!BD65</f>
        <v>España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c r="A349" s="9" t="s">
        <v>1134</v>
      </c>
      <c r="B349" s="9">
        <f ca="1">+IF(A349=WORLDCUP!$BI$112,1,0)</f>
        <v>0</v>
      </c>
      <c r="C349" s="9" t="str">
        <f ca="1">+WORLDCUP!BD62</f>
        <v>Ecuador</v>
      </c>
      <c r="D349" s="9" t="str">
        <f ca="1">+WORLDCUP!BD64</f>
        <v>Bélgica</v>
      </c>
      <c r="E349" s="9" t="str">
        <f ca="1">+WORLDCUP!BD59</f>
        <v>Bosnia y Herzegovina</v>
      </c>
      <c r="F349" s="9" t="str">
        <f ca="1">+WORLDCUP!BD61</f>
        <v>Turquía</v>
      </c>
      <c r="G349" s="9" t="str">
        <f ca="1">+WORLDCUP!BD58</f>
        <v>República Checa</v>
      </c>
      <c r="H349" s="9" t="str">
        <f ca="1">+WORLDCUP!BD65</f>
        <v>España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c r="A350" s="9" t="s">
        <v>1135</v>
      </c>
      <c r="B350" s="9">
        <f ca="1">+IF(A350=WORLDCUP!$BI$112,1,0)</f>
        <v>0</v>
      </c>
      <c r="C350" s="9" t="str">
        <f ca="1">+WORLDCUP!BD65</f>
        <v>España</v>
      </c>
      <c r="D350" s="9" t="str">
        <f ca="1">+WORLDCUP!BD67</f>
        <v>Jordania</v>
      </c>
      <c r="E350" s="9" t="str">
        <f ca="1">+WORLDCUP!BD59</f>
        <v>Bosnia y Herzegovina</v>
      </c>
      <c r="F350" s="9" t="str">
        <f ca="1">+WORLDCUP!BD61</f>
        <v>Turquía</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c r="A351" s="9" t="s">
        <v>1136</v>
      </c>
      <c r="B351" s="9">
        <f ca="1">+IF(A351=WORLDCUP!$BI$112,1,0)</f>
        <v>0</v>
      </c>
      <c r="C351" s="9" t="str">
        <f ca="1">+WORLDCUP!BD62</f>
        <v>Ecuador</v>
      </c>
      <c r="D351" s="9" t="str">
        <f ca="1">+WORLDCUP!BD67</f>
        <v>Jordania</v>
      </c>
      <c r="E351" s="9" t="str">
        <f ca="1">+WORLDCUP!BD59</f>
        <v>Bosnia y Herzegovina</v>
      </c>
      <c r="F351" s="9" t="str">
        <f ca="1">+WORLDCUP!BD61</f>
        <v>Turquía</v>
      </c>
      <c r="G351" s="9" t="str">
        <f ca="1">+WORLDCUP!BD58</f>
        <v>República Checa</v>
      </c>
      <c r="H351" s="9" t="str">
        <f ca="1">+WORLDCUP!BD63</f>
        <v>Japón</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c r="A352" s="9" t="s">
        <v>1137</v>
      </c>
      <c r="B352" s="9">
        <f ca="1">+IF(A352=WORLDCUP!$BI$112,1,0)</f>
        <v>0</v>
      </c>
      <c r="C352" s="9" t="str">
        <f ca="1">+WORLDCUP!BD62</f>
        <v>Ecuador</v>
      </c>
      <c r="D352" s="9" t="str">
        <f ca="1">+WORLDCUP!BD66</f>
        <v>Senegal</v>
      </c>
      <c r="E352" s="9" t="str">
        <f ca="1">+WORLDCUP!BD59</f>
        <v>Bosnia y Herzegovina</v>
      </c>
      <c r="F352" s="9" t="str">
        <f ca="1">+WORLDCUP!BD61</f>
        <v>Turquía</v>
      </c>
      <c r="G352" s="9" t="str">
        <f ca="1">+WORLDCUP!BD58</f>
        <v>República Checa</v>
      </c>
      <c r="H352" s="9" t="str">
        <f ca="1">+WORLDCUP!BD63</f>
        <v>Japón</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c r="A353" s="9" t="s">
        <v>1138</v>
      </c>
      <c r="B353" s="9">
        <f ca="1">+IF(A353=WORLDCUP!$BI$112,1,0)</f>
        <v>0</v>
      </c>
      <c r="C353" s="9" t="str">
        <f ca="1">+WORLDCUP!BD62</f>
        <v>Ecuador</v>
      </c>
      <c r="D353" s="9" t="str">
        <f ca="1">+WORLDCUP!BD67</f>
        <v>Jordania</v>
      </c>
      <c r="E353" s="9" t="str">
        <f ca="1">+WORLDCUP!BD59</f>
        <v>Bosnia y Herzegovina</v>
      </c>
      <c r="F353" s="9" t="str">
        <f ca="1">+WORLDCUP!BD61</f>
        <v>Turquía</v>
      </c>
      <c r="G353" s="9" t="str">
        <f ca="1">+WORLDCUP!BD58</f>
        <v>República Checa</v>
      </c>
      <c r="H353" s="9" t="str">
        <f ca="1">+WORLDCUP!BD63</f>
        <v>Japón</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c r="A354" s="9" t="s">
        <v>1139</v>
      </c>
      <c r="B354" s="9">
        <f ca="1">+IF(A354=WORLDCUP!$BI$112,1,0)</f>
        <v>0</v>
      </c>
      <c r="C354" s="9" t="str">
        <f ca="1">+WORLDCUP!BD62</f>
        <v>Ecuador</v>
      </c>
      <c r="D354" s="9" t="str">
        <f ca="1">+WORLDCUP!BD67</f>
        <v>Jordania</v>
      </c>
      <c r="E354" s="9" t="str">
        <f ca="1">+WORLDCUP!BD59</f>
        <v>Bosnia y Herzegovina</v>
      </c>
      <c r="F354" s="9" t="str">
        <f ca="1">+WORLDCUP!BD61</f>
        <v>Turquía</v>
      </c>
      <c r="G354" s="9" t="str">
        <f ca="1">+WORLDCUP!BD58</f>
        <v>República Checa</v>
      </c>
      <c r="H354" s="9" t="str">
        <f ca="1">+WORLDCUP!BD63</f>
        <v>Japón</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c r="A355" s="9" t="s">
        <v>1140</v>
      </c>
      <c r="B355" s="9">
        <f ca="1">+IF(A355=WORLDCUP!$BI$112,1,0)</f>
        <v>0</v>
      </c>
      <c r="C355" s="9" t="str">
        <f ca="1">+WORLDCUP!BD65</f>
        <v>España</v>
      </c>
      <c r="D355" s="9" t="str">
        <f ca="1">+WORLDCUP!BD62</f>
        <v>Ecuador</v>
      </c>
      <c r="E355" s="9" t="str">
        <f ca="1">+WORLDCUP!BD59</f>
        <v>Bosnia y Herzegovina</v>
      </c>
      <c r="F355" s="9" t="str">
        <f ca="1">+WORLDCUP!BD61</f>
        <v>Turquía</v>
      </c>
      <c r="G355" s="9" t="str">
        <f ca="1">+WORLDCUP!BD58</f>
        <v>República Checa</v>
      </c>
      <c r="H355" s="9" t="str">
        <f ca="1">+WORLDCUP!BD63</f>
        <v>Japón</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c r="A356" s="9" t="s">
        <v>1141</v>
      </c>
      <c r="B356" s="9">
        <f ca="1">+IF(A356=WORLDCUP!$BI$112,1,0)</f>
        <v>0</v>
      </c>
      <c r="C356" s="9" t="str">
        <f ca="1">+WORLDCUP!BD65</f>
        <v>España</v>
      </c>
      <c r="D356" s="9" t="str">
        <f ca="1">+WORLDCUP!BD67</f>
        <v>Jordania</v>
      </c>
      <c r="E356" s="9" t="str">
        <f ca="1">+WORLDCUP!BD59</f>
        <v>Bosnia y Herzegovina</v>
      </c>
      <c r="F356" s="9" t="str">
        <f ca="1">+WORLDCUP!BD61</f>
        <v>Turquía</v>
      </c>
      <c r="G356" s="9" t="str">
        <f ca="1">+WORLDCUP!BD58</f>
        <v>República Checa</v>
      </c>
      <c r="H356" s="9" t="str">
        <f ca="1">+WORLDCUP!BD63</f>
        <v>Japón</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c r="A357" s="9" t="s">
        <v>1142</v>
      </c>
      <c r="B357" s="9">
        <f ca="1">+IF(A357=WORLDCUP!$BI$112,1,0)</f>
        <v>0</v>
      </c>
      <c r="C357" s="9" t="str">
        <f ca="1">+WORLDCUP!BD65</f>
        <v>España</v>
      </c>
      <c r="D357" s="9" t="str">
        <f ca="1">+WORLDCUP!BD67</f>
        <v>Jordania</v>
      </c>
      <c r="E357" s="9" t="str">
        <f ca="1">+WORLDCUP!BD59</f>
        <v>Bosnia y Herzegovina</v>
      </c>
      <c r="F357" s="9" t="str">
        <f ca="1">+WORLDCUP!BD61</f>
        <v>Turquía</v>
      </c>
      <c r="G357" s="9" t="str">
        <f ca="1">+WORLDCUP!BD58</f>
        <v>República Checa</v>
      </c>
      <c r="H357" s="9" t="str">
        <f ca="1">+WORLDCUP!BD63</f>
        <v>Japón</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c r="A358" s="9" t="s">
        <v>1143</v>
      </c>
      <c r="B358" s="9">
        <f ca="1">+IF(A358=WORLDCUP!$BI$112,1,0)</f>
        <v>0</v>
      </c>
      <c r="C358" s="9" t="str">
        <f ca="1">+WORLDCUP!BD65</f>
        <v>España</v>
      </c>
      <c r="D358" s="9" t="str">
        <f ca="1">+WORLDCUP!BD62</f>
        <v>Ecuador</v>
      </c>
      <c r="E358" s="9" t="str">
        <f ca="1">+WORLDCUP!BD59</f>
        <v>Bosnia y Herzegovina</v>
      </c>
      <c r="F358" s="9" t="str">
        <f ca="1">+WORLDCUP!BD61</f>
        <v>Turquía</v>
      </c>
      <c r="G358" s="9" t="str">
        <f ca="1">+WORLDCUP!BD58</f>
        <v>República Checa</v>
      </c>
      <c r="H358" s="9" t="str">
        <f ca="1">+WORLDCUP!BD63</f>
        <v>Japón</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c r="A359" s="9" t="s">
        <v>1144</v>
      </c>
      <c r="B359" s="9">
        <f ca="1">+IF(A359=WORLDCUP!$BI$112,1,0)</f>
        <v>0</v>
      </c>
      <c r="C359" s="9" t="str">
        <f ca="1">+WORLDCUP!BD65</f>
        <v>España</v>
      </c>
      <c r="D359" s="9" t="str">
        <f ca="1">+WORLDCUP!BD62</f>
        <v>Ecuador</v>
      </c>
      <c r="E359" s="9" t="str">
        <f ca="1">+WORLDCUP!BD59</f>
        <v>Bosnia y Herzegovina</v>
      </c>
      <c r="F359" s="9" t="str">
        <f ca="1">+WORLDCUP!BD61</f>
        <v>Turquía</v>
      </c>
      <c r="G359" s="9" t="str">
        <f ca="1">+WORLDCUP!BD58</f>
        <v>República Checa</v>
      </c>
      <c r="H359" s="9" t="str">
        <f ca="1">+WORLDCUP!BD63</f>
        <v>Japón</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c r="A360" s="9" t="s">
        <v>1145</v>
      </c>
      <c r="B360" s="9">
        <f ca="1">+IF(A360=WORLDCUP!$BI$112,1,0)</f>
        <v>0</v>
      </c>
      <c r="C360" s="9" t="str">
        <f ca="1">+WORLDCUP!BD65</f>
        <v>España</v>
      </c>
      <c r="D360" s="9" t="str">
        <f ca="1">+WORLDCUP!BD67</f>
        <v>Jordania</v>
      </c>
      <c r="E360" s="9" t="str">
        <f ca="1">+WORLDCUP!BD59</f>
        <v>Bosnia y Herzegovina</v>
      </c>
      <c r="F360" s="9" t="str">
        <f ca="1">+WORLDCUP!BD61</f>
        <v>Turquía</v>
      </c>
      <c r="G360" s="9" t="str">
        <f ca="1">+WORLDCUP!BD58</f>
        <v>República Checa</v>
      </c>
      <c r="H360" s="9" t="str">
        <f ca="1">+WORLDCUP!BD63</f>
        <v>Japón</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c r="A361" s="9" t="s">
        <v>1146</v>
      </c>
      <c r="B361" s="9">
        <f ca="1">+IF(A361=WORLDCUP!$BI$112,1,0)</f>
        <v>0</v>
      </c>
      <c r="C361" s="9" t="str">
        <f ca="1">+WORLDCUP!BD62</f>
        <v>Ecuador</v>
      </c>
      <c r="D361" s="9" t="str">
        <f ca="1">+WORLDCUP!BD64</f>
        <v>Bélgica</v>
      </c>
      <c r="E361" s="9" t="str">
        <f ca="1">+WORLDCUP!BD59</f>
        <v>Bosnia y Herzegovina</v>
      </c>
      <c r="F361" s="9" t="str">
        <f ca="1">+WORLDCUP!BD61</f>
        <v>Turquía</v>
      </c>
      <c r="G361" s="9" t="str">
        <f ca="1">+WORLDCUP!BD58</f>
        <v>República Checa</v>
      </c>
      <c r="H361" s="9" t="str">
        <f ca="1">+WORLDCUP!BD63</f>
        <v>Japón</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c r="A362" s="9" t="s">
        <v>1147</v>
      </c>
      <c r="B362" s="9">
        <f ca="1">+IF(A362=WORLDCUP!$BI$112,1,0)</f>
        <v>0</v>
      </c>
      <c r="C362" s="9" t="str">
        <f ca="1">+WORLDCUP!BD62</f>
        <v>Ecuador</v>
      </c>
      <c r="D362" s="9" t="str">
        <f ca="1">+WORLDCUP!BD64</f>
        <v>Bélgica</v>
      </c>
      <c r="E362" s="9" t="str">
        <f ca="1">+WORLDCUP!BD59</f>
        <v>Bosnia y Herzegovina</v>
      </c>
      <c r="F362" s="9" t="str">
        <f ca="1">+WORLDCUP!BD61</f>
        <v>Turquía</v>
      </c>
      <c r="G362" s="9" t="str">
        <f ca="1">+WORLDCUP!BD58</f>
        <v>República Checa</v>
      </c>
      <c r="H362" s="9" t="str">
        <f ca="1">+WORLDCUP!BD63</f>
        <v>Japón</v>
      </c>
      <c r="I362" s="9" t="str">
        <f ca="1">+WORLDCUP!BD69</f>
        <v>Panamá</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c r="A363" s="9" t="s">
        <v>1148</v>
      </c>
      <c r="B363" s="9">
        <f ca="1">+IF(A363=WORLDCUP!$BI$112,1,0)</f>
        <v>0</v>
      </c>
      <c r="C363" s="9" t="str">
        <f ca="1">+WORLDCUP!BD62</f>
        <v>Ecuador</v>
      </c>
      <c r="D363" s="9" t="str">
        <f ca="1">+WORLDCUP!BD64</f>
        <v>Bélgica</v>
      </c>
      <c r="E363" s="9" t="str">
        <f ca="1">+WORLDCUP!BD59</f>
        <v>Bosnia y Herzegovina</v>
      </c>
      <c r="F363" s="9" t="str">
        <f ca="1">+WORLDCUP!BD61</f>
        <v>Turquía</v>
      </c>
      <c r="G363" s="9" t="str">
        <f ca="1">+WORLDCUP!BD58</f>
        <v>República Checa</v>
      </c>
      <c r="H363" s="9" t="str">
        <f ca="1">+WORLDCUP!BD63</f>
        <v>Japón</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c r="A364" s="9" t="s">
        <v>1149</v>
      </c>
      <c r="B364" s="9">
        <f ca="1">+IF(A364=WORLDCUP!$BI$112,1,0)</f>
        <v>0</v>
      </c>
      <c r="C364" s="9" t="str">
        <f ca="1">+WORLDCUP!BD62</f>
        <v>Ecuador</v>
      </c>
      <c r="D364" s="9" t="str">
        <f ca="1">+WORLDCUP!BD64</f>
        <v>Bélgica</v>
      </c>
      <c r="E364" s="9" t="str">
        <f ca="1">+WORLDCUP!BD59</f>
        <v>Bosnia y Herzegovina</v>
      </c>
      <c r="F364" s="9" t="str">
        <f ca="1">+WORLDCUP!BD61</f>
        <v>Turquía</v>
      </c>
      <c r="G364" s="9" t="str">
        <f ca="1">+WORLDCUP!BD58</f>
        <v>República Checa</v>
      </c>
      <c r="H364" s="9" t="str">
        <f ca="1">+WORLDCUP!BD63</f>
        <v>Japón</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c r="A365" s="9" t="s">
        <v>1150</v>
      </c>
      <c r="B365" s="9">
        <f ca="1">+IF(A365=WORLDCUP!$BI$112,1,0)</f>
        <v>0</v>
      </c>
      <c r="C365" s="9" t="str">
        <f ca="1">+WORLDCUP!BD62</f>
        <v>Ecuador</v>
      </c>
      <c r="D365" s="9" t="str">
        <f ca="1">+WORLDCUP!BD64</f>
        <v>Bélgica</v>
      </c>
      <c r="E365" s="9" t="str">
        <f ca="1">+WORLDCUP!BD59</f>
        <v>Bosnia y Herzegovina</v>
      </c>
      <c r="F365" s="9" t="str">
        <f ca="1">+WORLDCUP!BD61</f>
        <v>Turquía</v>
      </c>
      <c r="G365" s="9" t="str">
        <f ca="1">+WORLDCUP!BD58</f>
        <v>República Checa</v>
      </c>
      <c r="H365" s="9" t="str">
        <f ca="1">+WORLDCUP!BD63</f>
        <v>Japón</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c r="A366" s="9" t="s">
        <v>1151</v>
      </c>
      <c r="B366" s="9">
        <f ca="1">+IF(A366=WORLDCUP!$BI$112,1,0)</f>
        <v>0</v>
      </c>
      <c r="C366" s="9" t="str">
        <f ca="1">+WORLDCUP!BD62</f>
        <v>Ecuador</v>
      </c>
      <c r="D366" s="9" t="str">
        <f ca="1">+WORLDCUP!BD64</f>
        <v>Bélgica</v>
      </c>
      <c r="E366" s="9" t="str">
        <f ca="1">+WORLDCUP!BD59</f>
        <v>Bosnia y Herzegovina</v>
      </c>
      <c r="F366" s="9" t="str">
        <f ca="1">+WORLDCUP!BD61</f>
        <v>Turquía</v>
      </c>
      <c r="G366" s="9" t="str">
        <f ca="1">+WORLDCUP!BD58</f>
        <v>República Checa</v>
      </c>
      <c r="H366" s="9" t="str">
        <f ca="1">+WORLDCUP!BD63</f>
        <v>Japón</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c r="A367" s="9" t="s">
        <v>1152</v>
      </c>
      <c r="B367" s="9">
        <f ca="1">+IF(A367=WORLDCUP!$BI$112,1,0)</f>
        <v>0</v>
      </c>
      <c r="C367" s="9" t="str">
        <f ca="1">+WORLDCUP!BD65</f>
        <v>España</v>
      </c>
      <c r="D367" s="9" t="str">
        <f ca="1">+WORLDCUP!BD64</f>
        <v>Bélgica</v>
      </c>
      <c r="E367" s="9" t="str">
        <f ca="1">+WORLDCUP!BD59</f>
        <v>Bosnia y Herzegovina</v>
      </c>
      <c r="F367" s="9" t="str">
        <f ca="1">+WORLDCUP!BD61</f>
        <v>Turquía</v>
      </c>
      <c r="G367" s="9" t="str">
        <f ca="1">+WORLDCUP!BD58</f>
        <v>República Checa</v>
      </c>
      <c r="H367" s="9" t="str">
        <f ca="1">+WORLDCUP!BD63</f>
        <v>Japón</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c r="A368" s="9" t="s">
        <v>1153</v>
      </c>
      <c r="B368" s="9">
        <f ca="1">+IF(A368=WORLDCUP!$BI$112,1,0)</f>
        <v>0</v>
      </c>
      <c r="C368" s="9" t="str">
        <f ca="1">+WORLDCUP!BD65</f>
        <v>España</v>
      </c>
      <c r="D368" s="9" t="str">
        <f ca="1">+WORLDCUP!BD64</f>
        <v>Bélgica</v>
      </c>
      <c r="E368" s="9" t="str">
        <f ca="1">+WORLDCUP!BD59</f>
        <v>Bosnia y Herzegovina</v>
      </c>
      <c r="F368" s="9" t="str">
        <f ca="1">+WORLDCUP!BD61</f>
        <v>Turquía</v>
      </c>
      <c r="G368" s="9" t="str">
        <f ca="1">+WORLDCUP!BD58</f>
        <v>República Checa</v>
      </c>
      <c r="H368" s="9" t="str">
        <f ca="1">+WORLDCUP!BD63</f>
        <v>Japón</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c r="A369" s="9" t="s">
        <v>1154</v>
      </c>
      <c r="B369" s="9">
        <f ca="1">+IF(A369=WORLDCUP!$BI$112,1,0)</f>
        <v>0</v>
      </c>
      <c r="C369" s="9" t="str">
        <f ca="1">+WORLDCUP!BD65</f>
        <v>España</v>
      </c>
      <c r="D369" s="9" t="str">
        <f ca="1">+WORLDCUP!BD64</f>
        <v>Bélgica</v>
      </c>
      <c r="E369" s="9" t="str">
        <f ca="1">+WORLDCUP!BD59</f>
        <v>Bosnia y Herzegovina</v>
      </c>
      <c r="F369" s="9" t="str">
        <f ca="1">+WORLDCUP!BD61</f>
        <v>Turquía</v>
      </c>
      <c r="G369" s="9" t="str">
        <f ca="1">+WORLDCUP!BD58</f>
        <v>República Checa</v>
      </c>
      <c r="H369" s="9" t="str">
        <f ca="1">+WORLDCUP!BD63</f>
        <v>Japón</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c r="A370" s="9" t="s">
        <v>1155</v>
      </c>
      <c r="B370" s="9">
        <f ca="1">+IF(A370=WORLDCUP!$BI$112,1,0)</f>
        <v>0</v>
      </c>
      <c r="C370" s="9" t="str">
        <f ca="1">+WORLDCUP!BD65</f>
        <v>España</v>
      </c>
      <c r="D370" s="9" t="str">
        <f ca="1">+WORLDCUP!BD64</f>
        <v>Bélgica</v>
      </c>
      <c r="E370" s="9" t="str">
        <f ca="1">+WORLDCUP!BD59</f>
        <v>Bosnia y Herzegovina</v>
      </c>
      <c r="F370" s="9" t="str">
        <f ca="1">+WORLDCUP!BD61</f>
        <v>Turquía</v>
      </c>
      <c r="G370" s="9" t="str">
        <f ca="1">+WORLDCUP!BD58</f>
        <v>República Checa</v>
      </c>
      <c r="H370" s="9" t="str">
        <f ca="1">+WORLDCUP!BD63</f>
        <v>Japón</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c r="A371" s="9" t="s">
        <v>1156</v>
      </c>
      <c r="B371" s="9">
        <f ca="1">+IF(A371=WORLDCUP!$BI$112,1,0)</f>
        <v>0</v>
      </c>
      <c r="C371" s="9" t="str">
        <f ca="1">+WORLDCUP!BD66</f>
        <v>Senegal</v>
      </c>
      <c r="D371" s="9" t="str">
        <f ca="1">+WORLDCUP!BD67</f>
        <v>Jordania</v>
      </c>
      <c r="E371" s="9" t="str">
        <f ca="1">+WORLDCUP!BD59</f>
        <v>Bosnia y Herzegovina</v>
      </c>
      <c r="F371" s="9" t="str">
        <f ca="1">+WORLDCUP!BD60</f>
        <v>Marruecos</v>
      </c>
      <c r="G371" s="9" t="str">
        <f ca="1">+WORLDCUP!BD58</f>
        <v>República Checa</v>
      </c>
      <c r="H371" s="9" t="str">
        <f ca="1">+WORLDCUP!BD65</f>
        <v>España</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c r="A372" s="9" t="s">
        <v>1157</v>
      </c>
      <c r="B372" s="9">
        <f ca="1">+IF(A372=WORLDCUP!$BI$112,1,0)</f>
        <v>0</v>
      </c>
      <c r="C372" s="9" t="str">
        <f ca="1">+WORLDCUP!BD66</f>
        <v>Senegal</v>
      </c>
      <c r="D372" s="9" t="str">
        <f ca="1">+WORLDCUP!BD67</f>
        <v>Jordania</v>
      </c>
      <c r="E372" s="9" t="str">
        <f ca="1">+WORLDCUP!BD59</f>
        <v>Bosnia y Herzegovina</v>
      </c>
      <c r="F372" s="9" t="str">
        <f ca="1">+WORLDCUP!BD60</f>
        <v>Marruecos</v>
      </c>
      <c r="G372" s="9" t="str">
        <f ca="1">+WORLDCUP!BD58</f>
        <v>República Checa</v>
      </c>
      <c r="H372" s="9" t="str">
        <f ca="1">+WORLDCUP!BD64</f>
        <v>Bélgica</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c r="A373" s="9" t="s">
        <v>1158</v>
      </c>
      <c r="B373" s="9">
        <f ca="1">+IF(A373=WORLDCUP!$BI$112,1,0)</f>
        <v>0</v>
      </c>
      <c r="C373" s="9" t="str">
        <f ca="1">+WORLDCUP!BD65</f>
        <v>España</v>
      </c>
      <c r="D373" s="9" t="str">
        <f ca="1">+WORLDCUP!BD67</f>
        <v>Jordania</v>
      </c>
      <c r="E373" s="9" t="str">
        <f ca="1">+WORLDCUP!BD59</f>
        <v>Bosnia y Herzegovina</v>
      </c>
      <c r="F373" s="9" t="str">
        <f ca="1">+WORLDCUP!BD60</f>
        <v>Marruecos</v>
      </c>
      <c r="G373" s="9" t="str">
        <f ca="1">+WORLDCUP!BD58</f>
        <v>República Checa</v>
      </c>
      <c r="H373" s="9" t="str">
        <f ca="1">+WORLDCUP!BD64</f>
        <v>Bélgica</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c r="A374" s="9" t="s">
        <v>1159</v>
      </c>
      <c r="B374" s="9">
        <f ca="1">+IF(A374=WORLDCUP!$BI$112,1,0)</f>
        <v>0</v>
      </c>
      <c r="C374" s="9" t="str">
        <f ca="1">+WORLDCUP!BD66</f>
        <v>Senegal</v>
      </c>
      <c r="D374" s="9" t="str">
        <f ca="1">+WORLDCUP!BD64</f>
        <v>Bélgica</v>
      </c>
      <c r="E374" s="9" t="str">
        <f ca="1">+WORLDCUP!BD59</f>
        <v>Bosnia y Herzegovina</v>
      </c>
      <c r="F374" s="9" t="str">
        <f ca="1">+WORLDCUP!BD60</f>
        <v>Marruecos</v>
      </c>
      <c r="G374" s="9" t="str">
        <f ca="1">+WORLDCUP!BD58</f>
        <v>República Checa</v>
      </c>
      <c r="H374" s="9" t="str">
        <f ca="1">+WORLDCUP!BD65</f>
        <v>España</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c r="A375" s="9" t="s">
        <v>1160</v>
      </c>
      <c r="B375" s="9">
        <f ca="1">+IF(A375=WORLDCUP!$BI$112,1,0)</f>
        <v>0</v>
      </c>
      <c r="C375" s="9" t="str">
        <f ca="1">+WORLDCUP!BD65</f>
        <v>España</v>
      </c>
      <c r="D375" s="9" t="str">
        <f ca="1">+WORLDCUP!BD67</f>
        <v>Jordania</v>
      </c>
      <c r="E375" s="9" t="str">
        <f ca="1">+WORLDCUP!BD59</f>
        <v>Bosnia y Herzegovina</v>
      </c>
      <c r="F375" s="9" t="str">
        <f ca="1">+WORLDCUP!BD60</f>
        <v>Marruecos</v>
      </c>
      <c r="G375" s="9" t="str">
        <f ca="1">+WORLDCUP!BD58</f>
        <v>República Checa</v>
      </c>
      <c r="H375" s="9" t="str">
        <f ca="1">+WORLDCUP!BD64</f>
        <v>Bélgica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c r="A376" s="9" t="s">
        <v>1161</v>
      </c>
      <c r="B376" s="9">
        <f ca="1">+IF(A376=WORLDCUP!$BI$112,1,0)</f>
        <v>0</v>
      </c>
      <c r="C376" s="9" t="str">
        <f ca="1">+WORLDCUP!BD65</f>
        <v>España</v>
      </c>
      <c r="D376" s="9" t="str">
        <f ca="1">+WORLDCUP!BD67</f>
        <v>Jordania</v>
      </c>
      <c r="E376" s="9" t="str">
        <f ca="1">+WORLDCUP!BD59</f>
        <v>Bosnia y Herzegovina</v>
      </c>
      <c r="F376" s="9" t="str">
        <f ca="1">+WORLDCUP!BD60</f>
        <v>Marruecos</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c r="A377" s="9" t="s">
        <v>1162</v>
      </c>
      <c r="B377" s="9">
        <f ca="1">+IF(A377=WORLDCUP!$BI$112,1,0)</f>
        <v>0</v>
      </c>
      <c r="C377" s="9" t="str">
        <f ca="1">+WORLDCUP!BD66</f>
        <v>Senegal</v>
      </c>
      <c r="D377" s="9" t="str">
        <f ca="1">+WORLDCUP!BD67</f>
        <v>Jordania</v>
      </c>
      <c r="E377" s="9" t="str">
        <f ca="1">+WORLDCUP!BD59</f>
        <v>Bosnia y Herzegovina</v>
      </c>
      <c r="F377" s="9" t="str">
        <f ca="1">+WORLDCUP!BD60</f>
        <v>Marruecos</v>
      </c>
      <c r="G377" s="9" t="str">
        <f ca="1">+WORLDCUP!BD58</f>
        <v>República Checa</v>
      </c>
      <c r="H377" s="9" t="str">
        <f ca="1">+WORLDCUP!BD63</f>
        <v>Japón</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c r="A378" s="9" t="s">
        <v>1163</v>
      </c>
      <c r="B378" s="9">
        <f ca="1">+IF(A378=WORLDCUP!$BI$112,1,0)</f>
        <v>0</v>
      </c>
      <c r="C378" s="9" t="str">
        <f ca="1">+WORLDCUP!BD65</f>
        <v>España</v>
      </c>
      <c r="D378" s="9" t="str">
        <f ca="1">+WORLDCUP!BD67</f>
        <v>Jordania</v>
      </c>
      <c r="E378" s="9" t="str">
        <f ca="1">+WORLDCUP!BD59</f>
        <v>Bosnia y Herzegovina</v>
      </c>
      <c r="F378" s="9" t="str">
        <f ca="1">+WORLDCUP!BD60</f>
        <v>Marruecos</v>
      </c>
      <c r="G378" s="9" t="str">
        <f ca="1">+WORLDCUP!BD58</f>
        <v>República Checa</v>
      </c>
      <c r="H378" s="9" t="str">
        <f ca="1">+WORLDCUP!BD63</f>
        <v>Japón</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c r="A379" s="9" t="s">
        <v>1164</v>
      </c>
      <c r="B379" s="9">
        <f ca="1">+IF(A379=WORLDCUP!$BI$112,1,0)</f>
        <v>0</v>
      </c>
      <c r="C379" s="9" t="str">
        <f ca="1">+WORLDCUP!BD65</f>
        <v>España</v>
      </c>
      <c r="D379" s="9" t="str">
        <f ca="1">+WORLDCUP!BD66</f>
        <v>Senegal</v>
      </c>
      <c r="E379" s="9" t="str">
        <f ca="1">+WORLDCUP!BD59</f>
        <v>Bosnia y Herzegovina</v>
      </c>
      <c r="F379" s="9" t="str">
        <f ca="1">+WORLDCUP!BD60</f>
        <v>Marruecos</v>
      </c>
      <c r="G379" s="9" t="str">
        <f ca="1">+WORLDCUP!BD58</f>
        <v>República Checa</v>
      </c>
      <c r="H379" s="9" t="str">
        <f ca="1">+WORLDCUP!BD63</f>
        <v>Japón</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c r="A380" s="9" t="s">
        <v>1165</v>
      </c>
      <c r="B380" s="9">
        <f ca="1">+IF(A380=WORLDCUP!$BI$112,1,0)</f>
        <v>0</v>
      </c>
      <c r="C380" s="9" t="str">
        <f ca="1">+WORLDCUP!BD65</f>
        <v>España</v>
      </c>
      <c r="D380" s="9" t="str">
        <f ca="1">+WORLDCUP!BD67</f>
        <v>Jordania</v>
      </c>
      <c r="E380" s="9" t="str">
        <f ca="1">+WORLDCUP!BD59</f>
        <v>Bosnia y Herzegovina</v>
      </c>
      <c r="F380" s="9" t="str">
        <f ca="1">+WORLDCUP!BD60</f>
        <v>Marruecos</v>
      </c>
      <c r="G380" s="9" t="str">
        <f ca="1">+WORLDCUP!BD58</f>
        <v>República Checa</v>
      </c>
      <c r="H380" s="9" t="str">
        <f ca="1">+WORLDCUP!BD63</f>
        <v>Japón</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c r="A381" s="9" t="s">
        <v>1166</v>
      </c>
      <c r="B381" s="9">
        <f ca="1">+IF(A381=WORLDCUP!$BI$112,1,0)</f>
        <v>0</v>
      </c>
      <c r="C381" s="9" t="str">
        <f ca="1">+WORLDCUP!BD65</f>
        <v>España</v>
      </c>
      <c r="D381" s="9" t="str">
        <f ca="1">+WORLDCUP!BD67</f>
        <v>Jordania</v>
      </c>
      <c r="E381" s="9" t="str">
        <f ca="1">+WORLDCUP!BD59</f>
        <v>Bosnia y Herzegovina</v>
      </c>
      <c r="F381" s="9" t="str">
        <f ca="1">+WORLDCUP!BD60</f>
        <v>Marruecos</v>
      </c>
      <c r="G381" s="9" t="str">
        <f ca="1">+WORLDCUP!BD58</f>
        <v>República Checa</v>
      </c>
      <c r="H381" s="9" t="str">
        <f ca="1">+WORLDCUP!BD63</f>
        <v>Japón</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c r="A382" s="9" t="s">
        <v>1167</v>
      </c>
      <c r="B382" s="9">
        <f ca="1">+IF(A382=WORLDCUP!$BI$112,1,0)</f>
        <v>0</v>
      </c>
      <c r="C382" s="9" t="str">
        <f ca="1">+WORLDCUP!BD60</f>
        <v>Marruecos</v>
      </c>
      <c r="D382" s="9" t="str">
        <f ca="1">+WORLDCUP!BD67</f>
        <v>Jordania</v>
      </c>
      <c r="E382" s="9" t="str">
        <f ca="1">+WORLDCUP!BD59</f>
        <v>Bosnia y Herzegovina</v>
      </c>
      <c r="F382" s="9" t="str">
        <f ca="1">+WORLDCUP!BD63</f>
        <v>Japón</v>
      </c>
      <c r="G382" s="9" t="str">
        <f ca="1">+WORLDCUP!BD58</f>
        <v>República Checa</v>
      </c>
      <c r="H382" s="9" t="str">
        <f ca="1">+WORLDCUP!BD64</f>
        <v>Bélgica</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c r="A383" s="9" t="s">
        <v>1168</v>
      </c>
      <c r="B383" s="9">
        <f ca="1">+IF(A383=WORLDCUP!$BI$112,1,0)</f>
        <v>0</v>
      </c>
      <c r="C383" s="9" t="str">
        <f ca="1">+WORLDCUP!BD66</f>
        <v>Senegal</v>
      </c>
      <c r="D383" s="9" t="str">
        <f ca="1">+WORLDCUP!BD64</f>
        <v>Bélgica</v>
      </c>
      <c r="E383" s="9" t="str">
        <f ca="1">+WORLDCUP!BD59</f>
        <v>Bosnia y Herzegovina</v>
      </c>
      <c r="F383" s="9" t="str">
        <f ca="1">+WORLDCUP!BD60</f>
        <v>Marruecos</v>
      </c>
      <c r="G383" s="9" t="str">
        <f ca="1">+WORLDCUP!BD58</f>
        <v>República Checa</v>
      </c>
      <c r="H383" s="9" t="str">
        <f ca="1">+WORLDCUP!BD63</f>
        <v>Japón</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c r="A384" s="9" t="s">
        <v>1169</v>
      </c>
      <c r="B384" s="9">
        <f ca="1">+IF(A384=WORLDCUP!$BI$112,1,0)</f>
        <v>0</v>
      </c>
      <c r="C384" s="9" t="str">
        <f ca="1">+WORLDCUP!BD60</f>
        <v>Marruecos</v>
      </c>
      <c r="D384" s="9" t="str">
        <f ca="1">+WORLDCUP!BD67</f>
        <v>Jordania</v>
      </c>
      <c r="E384" s="9" t="str">
        <f ca="1">+WORLDCUP!BD59</f>
        <v>Bosnia y Herzegovina</v>
      </c>
      <c r="F384" s="9" t="str">
        <f ca="1">+WORLDCUP!BD63</f>
        <v>Japón</v>
      </c>
      <c r="G384" s="9" t="str">
        <f ca="1">+WORLDCUP!BD58</f>
        <v>República Checa</v>
      </c>
      <c r="H384" s="9" t="str">
        <f ca="1">+WORLDCUP!BD64</f>
        <v>Bélgica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c r="A385" s="9" t="s">
        <v>1170</v>
      </c>
      <c r="B385" s="9">
        <f ca="1">+IF(A385=WORLDCUP!$BI$112,1,0)</f>
        <v>0</v>
      </c>
      <c r="C385" s="9" t="str">
        <f ca="1">+WORLDCUP!BD60</f>
        <v>Marruecos</v>
      </c>
      <c r="D385" s="9" t="str">
        <f ca="1">+WORLDCUP!BD67</f>
        <v>Jordania</v>
      </c>
      <c r="E385" s="9" t="str">
        <f ca="1">+WORLDCUP!BD59</f>
        <v>Bosnia y Herzegovina</v>
      </c>
      <c r="F385" s="9" t="str">
        <f ca="1">+WORLDCUP!BD63</f>
        <v>Japón</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c r="A386" s="9" t="s">
        <v>1171</v>
      </c>
      <c r="B386" s="9">
        <f ca="1">+IF(A386=WORLDCUP!$BI$112,1,0)</f>
        <v>0</v>
      </c>
      <c r="C386" s="9" t="str">
        <f ca="1">+WORLDCUP!BD65</f>
        <v>España</v>
      </c>
      <c r="D386" s="9" t="str">
        <f ca="1">+WORLDCUP!BD64</f>
        <v>Bélgica</v>
      </c>
      <c r="E386" s="9" t="str">
        <f ca="1">+WORLDCUP!BD59</f>
        <v>Bosnia y Herzegovina</v>
      </c>
      <c r="F386" s="9" t="str">
        <f ca="1">+WORLDCUP!BD60</f>
        <v>Marruecos</v>
      </c>
      <c r="G386" s="9" t="str">
        <f ca="1">+WORLDCUP!BD58</f>
        <v>República Checa</v>
      </c>
      <c r="H386" s="9" t="str">
        <f ca="1">+WORLDCUP!BD63</f>
        <v>Japón</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c r="A387" s="9" t="s">
        <v>1172</v>
      </c>
      <c r="B387" s="9">
        <f ca="1">+IF(A387=WORLDCUP!$BI$112,1,0)</f>
        <v>0</v>
      </c>
      <c r="C387" s="9" t="str">
        <f ca="1">+WORLDCUP!BD65</f>
        <v>España</v>
      </c>
      <c r="D387" s="9" t="str">
        <f ca="1">+WORLDCUP!BD64</f>
        <v>Bélgica</v>
      </c>
      <c r="E387" s="9" t="str">
        <f ca="1">+WORLDCUP!BD59</f>
        <v>Bosnia y Herzegovina</v>
      </c>
      <c r="F387" s="9" t="str">
        <f ca="1">+WORLDCUP!BD60</f>
        <v>Marruecos</v>
      </c>
      <c r="G387" s="9" t="str">
        <f ca="1">+WORLDCUP!BD58</f>
        <v>República Checa</v>
      </c>
      <c r="H387" s="9" t="str">
        <f ca="1">+WORLDCUP!BD63</f>
        <v>Japón</v>
      </c>
      <c r="I387" s="9" t="str">
        <f ca="1">+WORLDCUP!BD69</f>
        <v>Panamá</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c r="A388" s="9" t="s">
        <v>1173</v>
      </c>
      <c r="B388" s="9">
        <f ca="1">+IF(A388=WORLDCUP!$BI$112,1,0)</f>
        <v>0</v>
      </c>
      <c r="C388" s="9" t="str">
        <f ca="1">+WORLDCUP!BD65</f>
        <v>España</v>
      </c>
      <c r="D388" s="9" t="str">
        <f ca="1">+WORLDCUP!BD64</f>
        <v>Bélgica</v>
      </c>
      <c r="E388" s="9" t="str">
        <f ca="1">+WORLDCUP!BD59</f>
        <v>Bosnia y Herzegovina</v>
      </c>
      <c r="F388" s="9" t="str">
        <f ca="1">+WORLDCUP!BD60</f>
        <v>Marruecos</v>
      </c>
      <c r="G388" s="9" t="str">
        <f ca="1">+WORLDCUP!BD58</f>
        <v>República Checa</v>
      </c>
      <c r="H388" s="9" t="str">
        <f ca="1">+WORLDCUP!BD63</f>
        <v>Japón</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c r="A389" s="9" t="s">
        <v>1174</v>
      </c>
      <c r="B389" s="9">
        <f ca="1">+IF(A389=WORLDCUP!$BI$112,1,0)</f>
        <v>0</v>
      </c>
      <c r="C389" s="9" t="str">
        <f ca="1">+WORLDCUP!BD65</f>
        <v>España</v>
      </c>
      <c r="D389" s="9" t="str">
        <f ca="1">+WORLDCUP!BD64</f>
        <v>Bélgica</v>
      </c>
      <c r="E389" s="9" t="str">
        <f ca="1">+WORLDCUP!BD59</f>
        <v>Bosnia y Herzegovina</v>
      </c>
      <c r="F389" s="9" t="str">
        <f ca="1">+WORLDCUP!BD60</f>
        <v>Marruecos</v>
      </c>
      <c r="G389" s="9" t="str">
        <f ca="1">+WORLDCUP!BD58</f>
        <v>República Checa</v>
      </c>
      <c r="H389" s="9" t="str">
        <f ca="1">+WORLDCUP!BD63</f>
        <v>Japón</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c r="A390" s="9" t="s">
        <v>1175</v>
      </c>
      <c r="B390" s="9">
        <f ca="1">+IF(A390=WORLDCUP!$BI$112,1,0)</f>
        <v>0</v>
      </c>
      <c r="C390" s="9" t="str">
        <f ca="1">+WORLDCUP!BD65</f>
        <v>España</v>
      </c>
      <c r="D390" s="9" t="str">
        <f ca="1">+WORLDCUP!BD64</f>
        <v>Bélgica</v>
      </c>
      <c r="E390" s="9" t="str">
        <f ca="1">+WORLDCUP!BD59</f>
        <v>Bosnia y Herzegovina</v>
      </c>
      <c r="F390" s="9" t="str">
        <f ca="1">+WORLDCUP!BD60</f>
        <v>Marruecos</v>
      </c>
      <c r="G390" s="9" t="str">
        <f ca="1">+WORLDCUP!BD58</f>
        <v>República Checa</v>
      </c>
      <c r="H390" s="9" t="str">
        <f ca="1">+WORLDCUP!BD63</f>
        <v>Japón</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c r="A391" s="9" t="s">
        <v>1176</v>
      </c>
      <c r="B391" s="9">
        <f ca="1">+IF(A391=WORLDCUP!$BI$112,1,0)</f>
        <v>0</v>
      </c>
      <c r="C391" s="9" t="str">
        <f ca="1">+WORLDCUP!BD65</f>
        <v>España</v>
      </c>
      <c r="D391" s="9" t="str">
        <f ca="1">+WORLDCUP!BD64</f>
        <v>Bélgica</v>
      </c>
      <c r="E391" s="9" t="str">
        <f ca="1">+WORLDCUP!BD59</f>
        <v>Bosnia y Herzegovina</v>
      </c>
      <c r="F391" s="9" t="str">
        <f ca="1">+WORLDCUP!BD60</f>
        <v>Marruecos</v>
      </c>
      <c r="G391" s="9" t="str">
        <f ca="1">+WORLDCUP!BD58</f>
        <v>República Checa</v>
      </c>
      <c r="H391" s="9" t="str">
        <f ca="1">+WORLDCUP!BD63</f>
        <v>Japón</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c r="A392" s="9" t="s">
        <v>1177</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Marruecos</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c r="A393" s="9" t="s">
        <v>1178</v>
      </c>
      <c r="B393" s="9">
        <f ca="1">+IF(A393=WORLDCUP!$BI$112,1,0)</f>
        <v>0</v>
      </c>
      <c r="C393" s="9" t="str">
        <f ca="1">+WORLDCUP!BD62</f>
        <v>Ecuador</v>
      </c>
      <c r="D393" s="9" t="str">
        <f ca="1">+WORLDCUP!BD67</f>
        <v>Jordania</v>
      </c>
      <c r="E393" s="9" t="str">
        <f ca="1">+WORLDCUP!BD59</f>
        <v>Bosnia y Herzegovina</v>
      </c>
      <c r="F393" s="9" t="str">
        <f ca="1">+WORLDCUP!BD60</f>
        <v>Marruecos</v>
      </c>
      <c r="G393" s="9" t="str">
        <f ca="1">+WORLDCUP!BD58</f>
        <v>República Checa</v>
      </c>
      <c r="H393" s="9" t="str">
        <f ca="1">+WORLDCUP!BD65</f>
        <v>España</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c r="A394" s="9" t="s">
        <v>1179</v>
      </c>
      <c r="B394" s="9">
        <f ca="1">+IF(A394=WORLDCUP!$BI$112,1,0)</f>
        <v>0</v>
      </c>
      <c r="C394" s="9" t="str">
        <f ca="1">+WORLDCUP!BD62</f>
        <v>Ecuador</v>
      </c>
      <c r="D394" s="9" t="str">
        <f ca="1">+WORLDCUP!BD66</f>
        <v>Senegal</v>
      </c>
      <c r="E394" s="9" t="str">
        <f ca="1">+WORLDCUP!BD59</f>
        <v>Bosnia y Herzegovina</v>
      </c>
      <c r="F394" s="9" t="str">
        <f ca="1">+WORLDCUP!BD60</f>
        <v>Marruecos</v>
      </c>
      <c r="G394" s="9" t="str">
        <f ca="1">+WORLDCUP!BD58</f>
        <v>República Checa</v>
      </c>
      <c r="H394" s="9" t="str">
        <f ca="1">+WORLDCUP!BD65</f>
        <v>España</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c r="A395" s="9" t="s">
        <v>1180</v>
      </c>
      <c r="B395" s="9">
        <f ca="1">+IF(A395=WORLDCUP!$BI$112,1,0)</f>
        <v>0</v>
      </c>
      <c r="C395" s="9" t="str">
        <f ca="1">+WORLDCUP!BD62</f>
        <v>Ecuador</v>
      </c>
      <c r="D395" s="9" t="str">
        <f ca="1">+WORLDCUP!BD67</f>
        <v>Jordania</v>
      </c>
      <c r="E395" s="9" t="str">
        <f ca="1">+WORLDCUP!BD59</f>
        <v>Bosnia y Herzegovina</v>
      </c>
      <c r="F395" s="9" t="str">
        <f ca="1">+WORLDCUP!BD60</f>
        <v>Marruecos</v>
      </c>
      <c r="G395" s="9" t="str">
        <f ca="1">+WORLDCUP!BD58</f>
        <v>República Checa</v>
      </c>
      <c r="H395" s="9" t="str">
        <f ca="1">+WORLDCUP!BD65</f>
        <v>España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c r="A396" s="9" t="s">
        <v>1181</v>
      </c>
      <c r="B396" s="9">
        <f ca="1">+IF(A396=WORLDCUP!$BI$112,1,0)</f>
        <v>0</v>
      </c>
      <c r="C396" s="9" t="str">
        <f ca="1">+WORLDCUP!BD62</f>
        <v>Ecuador</v>
      </c>
      <c r="D396" s="9" t="str">
        <f ca="1">+WORLDCUP!BD67</f>
        <v>Jordania</v>
      </c>
      <c r="E396" s="9" t="str">
        <f ca="1">+WORLDCUP!BD59</f>
        <v>Bosnia y Herzegovina</v>
      </c>
      <c r="F396" s="9" t="str">
        <f ca="1">+WORLDCUP!BD60</f>
        <v>Marruecos</v>
      </c>
      <c r="G396" s="9" t="str">
        <f ca="1">+WORLDCUP!BD58</f>
        <v>República Checa</v>
      </c>
      <c r="H396" s="9" t="str">
        <f ca="1">+WORLDCUP!BD65</f>
        <v>España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c r="A397" s="9" t="s">
        <v>1182</v>
      </c>
      <c r="B397" s="9">
        <f ca="1">+IF(A397=WORLDCUP!$BI$112,1,0)</f>
        <v>0</v>
      </c>
      <c r="C397" s="9" t="str">
        <f ca="1">+WORLDCUP!BD62</f>
        <v>Ecuador</v>
      </c>
      <c r="D397" s="9" t="str">
        <f ca="1">+WORLDCUP!BD67</f>
        <v>Jordania</v>
      </c>
      <c r="E397" s="9" t="str">
        <f ca="1">+WORLDCUP!BD59</f>
        <v>Bosnia y Herzegovina</v>
      </c>
      <c r="F397" s="9" t="str">
        <f ca="1">+WORLDCUP!BD60</f>
        <v>Marruecos</v>
      </c>
      <c r="G397" s="9" t="str">
        <f ca="1">+WORLDCUP!BD58</f>
        <v>República Checa</v>
      </c>
      <c r="H397" s="9" t="str">
        <f ca="1">+WORLDCUP!BD64</f>
        <v>Bélgica</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Marruecos</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c r="A399" s="9" t="s">
        <v>1184</v>
      </c>
      <c r="B399" s="9">
        <f ca="1">+IF(A399=WORLDCUP!$BI$112,1,0)</f>
        <v>0</v>
      </c>
      <c r="C399" s="9" t="str">
        <f ca="1">+WORLDCUP!BD62</f>
        <v>Ecuador</v>
      </c>
      <c r="D399" s="9" t="str">
        <f ca="1">+WORLDCUP!BD67</f>
        <v>Jordania</v>
      </c>
      <c r="E399" s="9" t="str">
        <f ca="1">+WORLDCUP!BD59</f>
        <v>Bosnia y Herzegovina</v>
      </c>
      <c r="F399" s="9" t="str">
        <f ca="1">+WORLDCUP!BD60</f>
        <v>Marruecos</v>
      </c>
      <c r="G399" s="9" t="str">
        <f ca="1">+WORLDCUP!BD58</f>
        <v>República Checa</v>
      </c>
      <c r="H399" s="9" t="str">
        <f ca="1">+WORLDCUP!BD64</f>
        <v>Bélgica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c r="A400" s="9" t="s">
        <v>1185</v>
      </c>
      <c r="B400" s="9">
        <f ca="1">+IF(A400=WORLDCUP!$BI$112,1,0)</f>
        <v>0</v>
      </c>
      <c r="C400" s="9" t="str">
        <f ca="1">+WORLDCUP!BD62</f>
        <v>Ecuador</v>
      </c>
      <c r="D400" s="9" t="str">
        <f ca="1">+WORLDCUP!BD67</f>
        <v>Jordania</v>
      </c>
      <c r="E400" s="9" t="str">
        <f ca="1">+WORLDCUP!BD59</f>
        <v>Bosnia y Herzegovina</v>
      </c>
      <c r="F400" s="9" t="str">
        <f ca="1">+WORLDCUP!BD60</f>
        <v>Marruecos</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c r="A401" s="9" t="s">
        <v>1186</v>
      </c>
      <c r="B401" s="9">
        <f ca="1">+IF(A401=WORLDCUP!$BI$112,1,0)</f>
        <v>0</v>
      </c>
      <c r="C401" s="9" t="str">
        <f ca="1">+WORLDCUP!BD62</f>
        <v>Ecuador</v>
      </c>
      <c r="D401" s="9" t="str">
        <f ca="1">+WORLDCUP!BD64</f>
        <v>Bélgica</v>
      </c>
      <c r="E401" s="9" t="str">
        <f ca="1">+WORLDCUP!BD59</f>
        <v>Bosnia y Herzegovina</v>
      </c>
      <c r="F401" s="9" t="str">
        <f ca="1">+WORLDCUP!BD60</f>
        <v>Marruecos</v>
      </c>
      <c r="G401" s="9" t="str">
        <f ca="1">+WORLDCUP!BD58</f>
        <v>República Checa</v>
      </c>
      <c r="H401" s="9" t="str">
        <f ca="1">+WORLDCUP!BD65</f>
        <v>España</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c r="A402" s="9" t="s">
        <v>1187</v>
      </c>
      <c r="B402" s="9">
        <f ca="1">+IF(A402=WORLDCUP!$BI$112,1,0)</f>
        <v>0</v>
      </c>
      <c r="C402" s="9" t="str">
        <f ca="1">+WORLDCUP!BD65</f>
        <v>España</v>
      </c>
      <c r="D402" s="9" t="str">
        <f ca="1">+WORLDCUP!BD67</f>
        <v>Jordania</v>
      </c>
      <c r="E402" s="9" t="str">
        <f ca="1">+WORLDCUP!BD59</f>
        <v>Bosnia y Herzegovina</v>
      </c>
      <c r="F402" s="9" t="str">
        <f ca="1">+WORLDCUP!BD60</f>
        <v>Marruecos</v>
      </c>
      <c r="G402" s="9" t="str">
        <f ca="1">+WORLDCUP!BD58</f>
        <v>República Checa</v>
      </c>
      <c r="H402" s="9" t="str">
        <f ca="1">+WORLDCUP!BD64</f>
        <v>Bélgica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c r="A403" s="9" t="s">
        <v>1188</v>
      </c>
      <c r="B403" s="9">
        <f ca="1">+IF(A403=WORLDCUP!$BI$112,1,0)</f>
        <v>0</v>
      </c>
      <c r="C403" s="9" t="str">
        <f ca="1">+WORLDCUP!BD65</f>
        <v>España</v>
      </c>
      <c r="D403" s="9" t="str">
        <f ca="1">+WORLDCUP!BD67</f>
        <v>Jordania</v>
      </c>
      <c r="E403" s="9" t="str">
        <f ca="1">+WORLDCUP!BD59</f>
        <v>Bosnia y Herzegovina</v>
      </c>
      <c r="F403" s="9" t="str">
        <f ca="1">+WORLDCUP!BD60</f>
        <v>Marruecos</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c r="A404" s="9" t="s">
        <v>1189</v>
      </c>
      <c r="B404" s="9">
        <f ca="1">+IF(A404=WORLDCUP!$BI$112,1,0)</f>
        <v>0</v>
      </c>
      <c r="C404" s="9" t="str">
        <f ca="1">+WORLDCUP!BD62</f>
        <v>Ecuador</v>
      </c>
      <c r="D404" s="9" t="str">
        <f ca="1">+WORLDCUP!BD64</f>
        <v>Bélgica</v>
      </c>
      <c r="E404" s="9" t="str">
        <f ca="1">+WORLDCUP!BD59</f>
        <v>Bosnia y Herzegovina</v>
      </c>
      <c r="F404" s="9" t="str">
        <f ca="1">+WORLDCUP!BD60</f>
        <v>Marruecos</v>
      </c>
      <c r="G404" s="9" t="str">
        <f ca="1">+WORLDCUP!BD58</f>
        <v>República Checa</v>
      </c>
      <c r="H404" s="9" t="str">
        <f ca="1">+WORLDCUP!BD65</f>
        <v>España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c r="A405" s="9" t="s">
        <v>1190</v>
      </c>
      <c r="B405" s="9">
        <f ca="1">+IF(A405=WORLDCUP!$BI$112,1,0)</f>
        <v>0</v>
      </c>
      <c r="C405" s="9" t="str">
        <f ca="1">+WORLDCUP!BD62</f>
        <v>Ecuador</v>
      </c>
      <c r="D405" s="9" t="str">
        <f ca="1">+WORLDCUP!BD64</f>
        <v>Bélgica</v>
      </c>
      <c r="E405" s="9" t="str">
        <f ca="1">+WORLDCUP!BD59</f>
        <v>Bosnia y Herzegovina</v>
      </c>
      <c r="F405" s="9" t="str">
        <f ca="1">+WORLDCUP!BD60</f>
        <v>Marruecos</v>
      </c>
      <c r="G405" s="9" t="str">
        <f ca="1">+WORLDCUP!BD58</f>
        <v>República Checa</v>
      </c>
      <c r="H405" s="9" t="str">
        <f ca="1">+WORLDCUP!BD65</f>
        <v>España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c r="A406" s="9" t="s">
        <v>1191</v>
      </c>
      <c r="B406" s="9">
        <f ca="1">+IF(A406=WORLDCUP!$BI$112,1,0)</f>
        <v>0</v>
      </c>
      <c r="C406" s="9" t="str">
        <f ca="1">+WORLDCUP!BD65</f>
        <v>España</v>
      </c>
      <c r="D406" s="9" t="str">
        <f ca="1">+WORLDCUP!BD67</f>
        <v>Jordania</v>
      </c>
      <c r="E406" s="9" t="str">
        <f ca="1">+WORLDCUP!BD59</f>
        <v>Bosnia y Herzegovina</v>
      </c>
      <c r="F406" s="9" t="str">
        <f ca="1">+WORLDCUP!BD60</f>
        <v>Marruecos</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c r="A407" s="9" t="s">
        <v>1192</v>
      </c>
      <c r="B407" s="9">
        <f ca="1">+IF(A407=WORLDCUP!$BI$112,1,0)</f>
        <v>0</v>
      </c>
      <c r="C407" s="9" t="str">
        <f ca="1">+WORLDCUP!BD62</f>
        <v>Ecuador</v>
      </c>
      <c r="D407" s="9" t="str">
        <f ca="1">+WORLDCUP!BD67</f>
        <v>Jordania</v>
      </c>
      <c r="E407" s="9" t="str">
        <f ca="1">+WORLDCUP!BD59</f>
        <v>Bosnia y Herzegovina</v>
      </c>
      <c r="F407" s="9" t="str">
        <f ca="1">+WORLDCUP!BD60</f>
        <v>Marruecos</v>
      </c>
      <c r="G407" s="9" t="str">
        <f ca="1">+WORLDCUP!BD58</f>
        <v>República Checa</v>
      </c>
      <c r="H407" s="9" t="str">
        <f ca="1">+WORLDCUP!BD63</f>
        <v>Japón</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c r="A408" s="9" t="s">
        <v>1193</v>
      </c>
      <c r="B408" s="9">
        <f ca="1">+IF(A408=WORLDCUP!$BI$112,1,0)</f>
        <v>0</v>
      </c>
      <c r="C408" s="9" t="str">
        <f ca="1">+WORLDCUP!BD62</f>
        <v>Ecuador</v>
      </c>
      <c r="D408" s="9" t="str">
        <f ca="1">+WORLDCUP!BD66</f>
        <v>Senegal</v>
      </c>
      <c r="E408" s="9" t="str">
        <f ca="1">+WORLDCUP!BD59</f>
        <v>Bosnia y Herzegovina</v>
      </c>
      <c r="F408" s="9" t="str">
        <f ca="1">+WORLDCUP!BD60</f>
        <v>Marruecos</v>
      </c>
      <c r="G408" s="9" t="str">
        <f ca="1">+WORLDCUP!BD58</f>
        <v>República Checa</v>
      </c>
      <c r="H408" s="9" t="str">
        <f ca="1">+WORLDCUP!BD63</f>
        <v>Japón</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c r="A409" s="9" t="s">
        <v>1194</v>
      </c>
      <c r="B409" s="9">
        <f ca="1">+IF(A409=WORLDCUP!$BI$112,1,0)</f>
        <v>0</v>
      </c>
      <c r="C409" s="9" t="str">
        <f ca="1">+WORLDCUP!BD62</f>
        <v>Ecuador</v>
      </c>
      <c r="D409" s="9" t="str">
        <f ca="1">+WORLDCUP!BD67</f>
        <v>Jordania</v>
      </c>
      <c r="E409" s="9" t="str">
        <f ca="1">+WORLDCUP!BD59</f>
        <v>Bosnia y Herzegovina</v>
      </c>
      <c r="F409" s="9" t="str">
        <f ca="1">+WORLDCUP!BD60</f>
        <v>Marruecos</v>
      </c>
      <c r="G409" s="9" t="str">
        <f ca="1">+WORLDCUP!BD58</f>
        <v>República Checa</v>
      </c>
      <c r="H409" s="9" t="str">
        <f ca="1">+WORLDCUP!BD63</f>
        <v>Japón</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c r="A410" s="9" t="s">
        <v>1195</v>
      </c>
      <c r="B410" s="9">
        <f ca="1">+IF(A410=WORLDCUP!$BI$112,1,0)</f>
        <v>0</v>
      </c>
      <c r="C410" s="9" t="str">
        <f ca="1">+WORLDCUP!BD62</f>
        <v>Ecuador</v>
      </c>
      <c r="D410" s="9" t="str">
        <f ca="1">+WORLDCUP!BD67</f>
        <v>Jordania</v>
      </c>
      <c r="E410" s="9" t="str">
        <f ca="1">+WORLDCUP!BD59</f>
        <v>Bosnia y Herzegovina</v>
      </c>
      <c r="F410" s="9" t="str">
        <f ca="1">+WORLDCUP!BD60</f>
        <v>Marruecos</v>
      </c>
      <c r="G410" s="9" t="str">
        <f ca="1">+WORLDCUP!BD58</f>
        <v>República Checa</v>
      </c>
      <c r="H410" s="9" t="str">
        <f ca="1">+WORLDCUP!BD63</f>
        <v>Japón</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c r="A411" s="9" t="s">
        <v>1196</v>
      </c>
      <c r="B411" s="9">
        <f ca="1">+IF(A411=WORLDCUP!$BI$112,1,0)</f>
        <v>0</v>
      </c>
      <c r="C411" s="9" t="str">
        <f ca="1">+WORLDCUP!BD65</f>
        <v>España</v>
      </c>
      <c r="D411" s="9" t="str">
        <f ca="1">+WORLDCUP!BD62</f>
        <v>Ecuador</v>
      </c>
      <c r="E411" s="9" t="str">
        <f ca="1">+WORLDCUP!BD59</f>
        <v>Bosnia y Herzegovina</v>
      </c>
      <c r="F411" s="9" t="str">
        <f ca="1">+WORLDCUP!BD60</f>
        <v>Marruecos</v>
      </c>
      <c r="G411" s="9" t="str">
        <f ca="1">+WORLDCUP!BD58</f>
        <v>República Checa</v>
      </c>
      <c r="H411" s="9" t="str">
        <f ca="1">+WORLDCUP!BD63</f>
        <v>Japón</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c r="A412" s="9" t="s">
        <v>1197</v>
      </c>
      <c r="B412" s="9">
        <f ca="1">+IF(A412=WORLDCUP!$BI$112,1,0)</f>
        <v>0</v>
      </c>
      <c r="C412" s="9" t="str">
        <f ca="1">+WORLDCUP!BD65</f>
        <v>España</v>
      </c>
      <c r="D412" s="9" t="str">
        <f ca="1">+WORLDCUP!BD67</f>
        <v>Jordania</v>
      </c>
      <c r="E412" s="9" t="str">
        <f ca="1">+WORLDCUP!BD59</f>
        <v>Bosnia y Herzegovina</v>
      </c>
      <c r="F412" s="9" t="str">
        <f ca="1">+WORLDCUP!BD60</f>
        <v>Marruecos</v>
      </c>
      <c r="G412" s="9" t="str">
        <f ca="1">+WORLDCUP!BD58</f>
        <v>República Checa</v>
      </c>
      <c r="H412" s="9" t="str">
        <f ca="1">+WORLDCUP!BD63</f>
        <v>Japón</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c r="A413" s="9" t="s">
        <v>1198</v>
      </c>
      <c r="B413" s="9">
        <f ca="1">+IF(A413=WORLDCUP!$BI$112,1,0)</f>
        <v>0</v>
      </c>
      <c r="C413" s="9" t="str">
        <f ca="1">+WORLDCUP!BD65</f>
        <v>España</v>
      </c>
      <c r="D413" s="9" t="str">
        <f ca="1">+WORLDCUP!BD67</f>
        <v>Jordania</v>
      </c>
      <c r="E413" s="9" t="str">
        <f ca="1">+WORLDCUP!BD59</f>
        <v>Bosnia y Herzegovina</v>
      </c>
      <c r="F413" s="9" t="str">
        <f ca="1">+WORLDCUP!BD60</f>
        <v>Marruecos</v>
      </c>
      <c r="G413" s="9" t="str">
        <f ca="1">+WORLDCUP!BD58</f>
        <v>República Checa</v>
      </c>
      <c r="H413" s="9" t="str">
        <f ca="1">+WORLDCUP!BD63</f>
        <v>Japón</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c r="A414" s="9" t="s">
        <v>1199</v>
      </c>
      <c r="B414" s="9">
        <f ca="1">+IF(A414=WORLDCUP!$BI$112,1,0)</f>
        <v>0</v>
      </c>
      <c r="C414" s="9" t="str">
        <f ca="1">+WORLDCUP!BD65</f>
        <v>España</v>
      </c>
      <c r="D414" s="9" t="str">
        <f ca="1">+WORLDCUP!BD62</f>
        <v>Ecuador</v>
      </c>
      <c r="E414" s="9" t="str">
        <f ca="1">+WORLDCUP!BD59</f>
        <v>Bosnia y Herzegovina</v>
      </c>
      <c r="F414" s="9" t="str">
        <f ca="1">+WORLDCUP!BD60</f>
        <v>Marruecos</v>
      </c>
      <c r="G414" s="9" t="str">
        <f ca="1">+WORLDCUP!BD58</f>
        <v>República Checa</v>
      </c>
      <c r="H414" s="9" t="str">
        <f ca="1">+WORLDCUP!BD63</f>
        <v>Japón</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c r="A415" s="9" t="s">
        <v>1200</v>
      </c>
      <c r="B415" s="9">
        <f ca="1">+IF(A415=WORLDCUP!$BI$112,1,0)</f>
        <v>0</v>
      </c>
      <c r="C415" s="9" t="str">
        <f ca="1">+WORLDCUP!BD65</f>
        <v>España</v>
      </c>
      <c r="D415" s="9" t="str">
        <f ca="1">+WORLDCUP!BD62</f>
        <v>Ecuador</v>
      </c>
      <c r="E415" s="9" t="str">
        <f ca="1">+WORLDCUP!BD59</f>
        <v>Bosnia y Herzegovina</v>
      </c>
      <c r="F415" s="9" t="str">
        <f ca="1">+WORLDCUP!BD60</f>
        <v>Marruecos</v>
      </c>
      <c r="G415" s="9" t="str">
        <f ca="1">+WORLDCUP!BD58</f>
        <v>República Checa</v>
      </c>
      <c r="H415" s="9" t="str">
        <f ca="1">+WORLDCUP!BD63</f>
        <v>Japón</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c r="A416" s="9" t="s">
        <v>1201</v>
      </c>
      <c r="B416" s="9">
        <f ca="1">+IF(A416=WORLDCUP!$BI$112,1,0)</f>
        <v>0</v>
      </c>
      <c r="C416" s="9" t="str">
        <f ca="1">+WORLDCUP!BD65</f>
        <v>España</v>
      </c>
      <c r="D416" s="9" t="str">
        <f ca="1">+WORLDCUP!BD67</f>
        <v>Jordania</v>
      </c>
      <c r="E416" s="9" t="str">
        <f ca="1">+WORLDCUP!BD59</f>
        <v>Bosnia y Herzegovina</v>
      </c>
      <c r="F416" s="9" t="str">
        <f ca="1">+WORLDCUP!BD60</f>
        <v>Marruecos</v>
      </c>
      <c r="G416" s="9" t="str">
        <f ca="1">+WORLDCUP!BD58</f>
        <v>República Checa</v>
      </c>
      <c r="H416" s="9" t="str">
        <f ca="1">+WORLDCUP!BD63</f>
        <v>Japón</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c r="A417" s="9" t="s">
        <v>1202</v>
      </c>
      <c r="B417" s="9">
        <f ca="1">+IF(A417=WORLDCUP!$BI$112,1,0)</f>
        <v>0</v>
      </c>
      <c r="C417" s="9" t="str">
        <f ca="1">+WORLDCUP!BD62</f>
        <v>Ecuador</v>
      </c>
      <c r="D417" s="9" t="str">
        <f ca="1">+WORLDCUP!BD64</f>
        <v>Bélgica</v>
      </c>
      <c r="E417" s="9" t="str">
        <f ca="1">+WORLDCUP!BD59</f>
        <v>Bosnia y Herzegovina</v>
      </c>
      <c r="F417" s="9" t="str">
        <f ca="1">+WORLDCUP!BD60</f>
        <v>Marruecos</v>
      </c>
      <c r="G417" s="9" t="str">
        <f ca="1">+WORLDCUP!BD58</f>
        <v>República Checa</v>
      </c>
      <c r="H417" s="9" t="str">
        <f ca="1">+WORLDCUP!BD63</f>
        <v>Japón</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c r="A418" s="9" t="s">
        <v>1203</v>
      </c>
      <c r="B418" s="9">
        <f ca="1">+IF(A418=WORLDCUP!$BI$112,1,0)</f>
        <v>0</v>
      </c>
      <c r="C418" s="9" t="str">
        <f ca="1">+WORLDCUP!BD62</f>
        <v>Ecuador</v>
      </c>
      <c r="D418" s="9" t="str">
        <f ca="1">+WORLDCUP!BD64</f>
        <v>Bélgica</v>
      </c>
      <c r="E418" s="9" t="str">
        <f ca="1">+WORLDCUP!BD59</f>
        <v>Bosnia y Herzegovina</v>
      </c>
      <c r="F418" s="9" t="str">
        <f ca="1">+WORLDCUP!BD60</f>
        <v>Marruecos</v>
      </c>
      <c r="G418" s="9" t="str">
        <f ca="1">+WORLDCUP!BD58</f>
        <v>República Checa</v>
      </c>
      <c r="H418" s="9" t="str">
        <f ca="1">+WORLDCUP!BD63</f>
        <v>Japón</v>
      </c>
      <c r="I418" s="9" t="str">
        <f ca="1">+WORLDCUP!BD69</f>
        <v>Panamá</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c r="A419" s="9" t="s">
        <v>1204</v>
      </c>
      <c r="B419" s="9">
        <f ca="1">+IF(A419=WORLDCUP!$BI$112,1,0)</f>
        <v>0</v>
      </c>
      <c r="C419" s="9" t="str">
        <f ca="1">+WORLDCUP!BD62</f>
        <v>Ecuador</v>
      </c>
      <c r="D419" s="9" t="str">
        <f ca="1">+WORLDCUP!BD64</f>
        <v>Bélgica</v>
      </c>
      <c r="E419" s="9" t="str">
        <f ca="1">+WORLDCUP!BD59</f>
        <v>Bosnia y Herzegovina</v>
      </c>
      <c r="F419" s="9" t="str">
        <f ca="1">+WORLDCUP!BD60</f>
        <v>Marruecos</v>
      </c>
      <c r="G419" s="9" t="str">
        <f ca="1">+WORLDCUP!BD58</f>
        <v>República Checa</v>
      </c>
      <c r="H419" s="9" t="str">
        <f ca="1">+WORLDCUP!BD63</f>
        <v>Japón</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c r="A420" s="9" t="s">
        <v>1205</v>
      </c>
      <c r="B420" s="9">
        <f ca="1">+IF(A420=WORLDCUP!$BI$112,1,0)</f>
        <v>0</v>
      </c>
      <c r="C420" s="9" t="str">
        <f ca="1">+WORLDCUP!BD62</f>
        <v>Ecuador</v>
      </c>
      <c r="D420" s="9" t="str">
        <f ca="1">+WORLDCUP!BD64</f>
        <v>Bélgica</v>
      </c>
      <c r="E420" s="9" t="str">
        <f ca="1">+WORLDCUP!BD59</f>
        <v>Bosnia y Herzegovina</v>
      </c>
      <c r="F420" s="9" t="str">
        <f ca="1">+WORLDCUP!BD60</f>
        <v>Marruecos</v>
      </c>
      <c r="G420" s="9" t="str">
        <f ca="1">+WORLDCUP!BD58</f>
        <v>República Checa</v>
      </c>
      <c r="H420" s="9" t="str">
        <f ca="1">+WORLDCUP!BD63</f>
        <v>Japón</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c r="A421" s="9" t="s">
        <v>1206</v>
      </c>
      <c r="B421" s="9">
        <f ca="1">+IF(A421=WORLDCUP!$BI$112,1,0)</f>
        <v>0</v>
      </c>
      <c r="C421" s="9" t="str">
        <f ca="1">+WORLDCUP!BD62</f>
        <v>Ecuador</v>
      </c>
      <c r="D421" s="9" t="str">
        <f ca="1">+WORLDCUP!BD64</f>
        <v>Bélgica</v>
      </c>
      <c r="E421" s="9" t="str">
        <f ca="1">+WORLDCUP!BD59</f>
        <v>Bosnia y Herzegovina</v>
      </c>
      <c r="F421" s="9" t="str">
        <f ca="1">+WORLDCUP!BD60</f>
        <v>Marruecos</v>
      </c>
      <c r="G421" s="9" t="str">
        <f ca="1">+WORLDCUP!BD58</f>
        <v>República Checa</v>
      </c>
      <c r="H421" s="9" t="str">
        <f ca="1">+WORLDCUP!BD63</f>
        <v>Japón</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c r="A422" s="9" t="s">
        <v>1207</v>
      </c>
      <c r="B422" s="9">
        <f ca="1">+IF(A422=WORLDCUP!$BI$112,1,0)</f>
        <v>0</v>
      </c>
      <c r="C422" s="9" t="str">
        <f ca="1">+WORLDCUP!BD62</f>
        <v>Ecuador</v>
      </c>
      <c r="D422" s="9" t="str">
        <f ca="1">+WORLDCUP!BD64</f>
        <v>Bélgica</v>
      </c>
      <c r="E422" s="9" t="str">
        <f ca="1">+WORLDCUP!BD59</f>
        <v>Bosnia y Herzegovina</v>
      </c>
      <c r="F422" s="9" t="str">
        <f ca="1">+WORLDCUP!BD60</f>
        <v>Marruecos</v>
      </c>
      <c r="G422" s="9" t="str">
        <f ca="1">+WORLDCUP!BD58</f>
        <v>República Checa</v>
      </c>
      <c r="H422" s="9" t="str">
        <f ca="1">+WORLDCUP!BD63</f>
        <v>Japón</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c r="A423" s="9" t="s">
        <v>1208</v>
      </c>
      <c r="B423" s="9">
        <f ca="1">+IF(A423=WORLDCUP!$BI$112,1,0)</f>
        <v>0</v>
      </c>
      <c r="C423" s="9" t="str">
        <f ca="1">+WORLDCUP!BD65</f>
        <v>España</v>
      </c>
      <c r="D423" s="9" t="str">
        <f ca="1">+WORLDCUP!BD64</f>
        <v>Bélgica</v>
      </c>
      <c r="E423" s="9" t="str">
        <f ca="1">+WORLDCUP!BD59</f>
        <v>Bosnia y Herzegovina</v>
      </c>
      <c r="F423" s="9" t="str">
        <f ca="1">+WORLDCUP!BD60</f>
        <v>Marruecos</v>
      </c>
      <c r="G423" s="9" t="str">
        <f ca="1">+WORLDCUP!BD58</f>
        <v>República Checa</v>
      </c>
      <c r="H423" s="9" t="str">
        <f ca="1">+WORLDCUP!BD63</f>
        <v>Japón</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c r="A424" s="9" t="s">
        <v>1209</v>
      </c>
      <c r="B424" s="9">
        <f ca="1">+IF(A424=WORLDCUP!$BI$112,1,0)</f>
        <v>1</v>
      </c>
      <c r="C424" s="9" t="str">
        <f ca="1">+WORLDCUP!BD65</f>
        <v>España</v>
      </c>
      <c r="D424" s="9" t="str">
        <f ca="1">+WORLDCUP!BD64</f>
        <v>Bélgica</v>
      </c>
      <c r="E424" s="9" t="str">
        <f ca="1">+WORLDCUP!BD59</f>
        <v>Bosnia y Herzegovina</v>
      </c>
      <c r="F424" s="9" t="str">
        <f ca="1">+WORLDCUP!BD60</f>
        <v>Marruecos</v>
      </c>
      <c r="G424" s="9" t="str">
        <f ca="1">+WORLDCUP!BD58</f>
        <v>República Checa</v>
      </c>
      <c r="H424" s="9" t="str">
        <f ca="1">+WORLDCUP!BD63</f>
        <v>Japón</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c r="A425" s="9" t="s">
        <v>1210</v>
      </c>
      <c r="B425" s="9">
        <f ca="1">+IF(A425=WORLDCUP!$BI$112,1,0)</f>
        <v>0</v>
      </c>
      <c r="C425" s="9" t="str">
        <f ca="1">+WORLDCUP!BD65</f>
        <v>España</v>
      </c>
      <c r="D425" s="9" t="str">
        <f ca="1">+WORLDCUP!BD64</f>
        <v>Bélgica</v>
      </c>
      <c r="E425" s="9" t="str">
        <f ca="1">+WORLDCUP!BD59</f>
        <v>Bosnia y Herzegovina</v>
      </c>
      <c r="F425" s="9" t="str">
        <f ca="1">+WORLDCUP!BD60</f>
        <v>Marruecos</v>
      </c>
      <c r="G425" s="9" t="str">
        <f ca="1">+WORLDCUP!BD58</f>
        <v>República Checa</v>
      </c>
      <c r="H425" s="9" t="str">
        <f ca="1">+WORLDCUP!BD63</f>
        <v>Japón</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c r="A426" s="9" t="s">
        <v>1211</v>
      </c>
      <c r="B426" s="9">
        <f ca="1">+IF(A426=WORLDCUP!$BI$112,1,0)</f>
        <v>0</v>
      </c>
      <c r="C426" s="9" t="str">
        <f ca="1">+WORLDCUP!BD65</f>
        <v>España</v>
      </c>
      <c r="D426" s="9" t="str">
        <f ca="1">+WORLDCUP!BD64</f>
        <v>Bélgica</v>
      </c>
      <c r="E426" s="9" t="str">
        <f ca="1">+WORLDCUP!BD59</f>
        <v>Bosnia y Herzegovina</v>
      </c>
      <c r="F426" s="9" t="str">
        <f ca="1">+WORLDCUP!BD60</f>
        <v>Marruecos</v>
      </c>
      <c r="G426" s="9" t="str">
        <f ca="1">+WORLDCUP!BD58</f>
        <v>República Checa</v>
      </c>
      <c r="H426" s="9" t="str">
        <f ca="1">+WORLDCUP!BD63</f>
        <v>Japón</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c r="A427" s="9" t="s">
        <v>1212</v>
      </c>
      <c r="B427" s="9">
        <f ca="1">+IF(A427=WORLDCUP!$BI$112,1,0)</f>
        <v>0</v>
      </c>
      <c r="C427" s="9" t="str">
        <f ca="1">+WORLDCUP!BD66</f>
        <v>Senegal</v>
      </c>
      <c r="D427" s="9" t="str">
        <f ca="1">+WORLDCUP!BD67</f>
        <v>Jordania</v>
      </c>
      <c r="E427" s="9" t="str">
        <f ca="1">+WORLDCUP!BD59</f>
        <v>Bosnia y Herzegovina</v>
      </c>
      <c r="F427" s="9" t="str">
        <f ca="1">+WORLDCUP!BD60</f>
        <v>Marruecos</v>
      </c>
      <c r="G427" s="9" t="str">
        <f ca="1">+WORLDCUP!BD58</f>
        <v>República Checa</v>
      </c>
      <c r="H427" s="9" t="str">
        <f ca="1">+WORLDCUP!BD61</f>
        <v>Turquía</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c r="A428" s="9" t="s">
        <v>1213</v>
      </c>
      <c r="B428" s="9">
        <f ca="1">+IF(A428=WORLDCUP!$BI$112,1,0)</f>
        <v>0</v>
      </c>
      <c r="C428" s="9" t="str">
        <f ca="1">+WORLDCUP!BD65</f>
        <v>España</v>
      </c>
      <c r="D428" s="9" t="str">
        <f ca="1">+WORLDCUP!BD67</f>
        <v>Jordania</v>
      </c>
      <c r="E428" s="9" t="str">
        <f ca="1">+WORLDCUP!BD59</f>
        <v>Bosnia y Herzegovina</v>
      </c>
      <c r="F428" s="9" t="str">
        <f ca="1">+WORLDCUP!BD60</f>
        <v>Marruecos</v>
      </c>
      <c r="G428" s="9" t="str">
        <f ca="1">+WORLDCUP!BD58</f>
        <v>República Checa</v>
      </c>
      <c r="H428" s="9" t="str">
        <f ca="1">+WORLDCUP!BD61</f>
        <v>Turquía</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c r="A429" s="9" t="s">
        <v>1214</v>
      </c>
      <c r="B429" s="9">
        <f ca="1">+IF(A429=WORLDCUP!$BI$112,1,0)</f>
        <v>0</v>
      </c>
      <c r="C429" s="9" t="str">
        <f ca="1">+WORLDCUP!BD65</f>
        <v>España</v>
      </c>
      <c r="D429" s="9" t="str">
        <f ca="1">+WORLDCUP!BD66</f>
        <v>Senegal</v>
      </c>
      <c r="E429" s="9" t="str">
        <f ca="1">+WORLDCUP!BD59</f>
        <v>Bosnia y Herzegovina</v>
      </c>
      <c r="F429" s="9" t="str">
        <f ca="1">+WORLDCUP!BD60</f>
        <v>Marruecos</v>
      </c>
      <c r="G429" s="9" t="str">
        <f ca="1">+WORLDCUP!BD58</f>
        <v>República Checa</v>
      </c>
      <c r="H429" s="9" t="str">
        <f ca="1">+WORLDCUP!BD61</f>
        <v>Turquía</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c r="A430" s="9" t="s">
        <v>1215</v>
      </c>
      <c r="B430" s="9">
        <f ca="1">+IF(A430=WORLDCUP!$BI$112,1,0)</f>
        <v>0</v>
      </c>
      <c r="C430" s="9" t="str">
        <f ca="1">+WORLDCUP!BD65</f>
        <v>España</v>
      </c>
      <c r="D430" s="9" t="str">
        <f ca="1">+WORLDCUP!BD67</f>
        <v>Jordania</v>
      </c>
      <c r="E430" s="9" t="str">
        <f ca="1">+WORLDCUP!BD59</f>
        <v>Bosnia y Herzegovina</v>
      </c>
      <c r="F430" s="9" t="str">
        <f ca="1">+WORLDCUP!BD60</f>
        <v>Marruecos</v>
      </c>
      <c r="G430" s="9" t="str">
        <f ca="1">+WORLDCUP!BD58</f>
        <v>República Checa</v>
      </c>
      <c r="H430" s="9" t="str">
        <f ca="1">+WORLDCUP!BD61</f>
        <v>Turquía</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c r="A431" s="9" t="s">
        <v>1216</v>
      </c>
      <c r="B431" s="9">
        <f ca="1">+IF(A431=WORLDCUP!$BI$112,1,0)</f>
        <v>0</v>
      </c>
      <c r="C431" s="9" t="str">
        <f ca="1">+WORLDCUP!BD65</f>
        <v>España</v>
      </c>
      <c r="D431" s="9" t="str">
        <f ca="1">+WORLDCUP!BD67</f>
        <v>Jordania</v>
      </c>
      <c r="E431" s="9" t="str">
        <f ca="1">+WORLDCUP!BD59</f>
        <v>Bosnia y Herzegovina</v>
      </c>
      <c r="F431" s="9" t="str">
        <f ca="1">+WORLDCUP!BD60</f>
        <v>Marruecos</v>
      </c>
      <c r="G431" s="9" t="str">
        <f ca="1">+WORLDCUP!BD58</f>
        <v>República Checa</v>
      </c>
      <c r="H431" s="9" t="str">
        <f ca="1">+WORLDCUP!BD61</f>
        <v>Turquía</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c r="A432" s="9" t="s">
        <v>1217</v>
      </c>
      <c r="B432" s="9">
        <f ca="1">+IF(A432=WORLDCUP!$BI$112,1,0)</f>
        <v>0</v>
      </c>
      <c r="C432" s="9" t="str">
        <f ca="1">+WORLDCUP!BD60</f>
        <v>Marruecos</v>
      </c>
      <c r="D432" s="9" t="str">
        <f ca="1">+WORLDCUP!BD67</f>
        <v>Jordania</v>
      </c>
      <c r="E432" s="9" t="str">
        <f ca="1">+WORLDCUP!BD59</f>
        <v>Bosnia y Herzegovina</v>
      </c>
      <c r="F432" s="9" t="str">
        <f ca="1">+WORLDCUP!BD61</f>
        <v>Turquía</v>
      </c>
      <c r="G432" s="9" t="str">
        <f ca="1">+WORLDCUP!BD58</f>
        <v>República Checa</v>
      </c>
      <c r="H432" s="9" t="str">
        <f ca="1">+WORLDCUP!BD64</f>
        <v>Bélgica</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c r="A433" s="9" t="s">
        <v>1218</v>
      </c>
      <c r="B433" s="9">
        <f ca="1">+IF(A433=WORLDCUP!$BI$112,1,0)</f>
        <v>0</v>
      </c>
      <c r="C433" s="9" t="str">
        <f ca="1">+WORLDCUP!BD66</f>
        <v>Senegal</v>
      </c>
      <c r="D433" s="9" t="str">
        <f ca="1">+WORLDCUP!BD64</f>
        <v>Bélgica</v>
      </c>
      <c r="E433" s="9" t="str">
        <f ca="1">+WORLDCUP!BD59</f>
        <v>Bosnia y Herzegovina</v>
      </c>
      <c r="F433" s="9" t="str">
        <f ca="1">+WORLDCUP!BD60</f>
        <v>Marruecos</v>
      </c>
      <c r="G433" s="9" t="str">
        <f ca="1">+WORLDCUP!BD58</f>
        <v>República Checa</v>
      </c>
      <c r="H433" s="9" t="str">
        <f ca="1">+WORLDCUP!BD61</f>
        <v>Turquía</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c r="A434" s="9" t="s">
        <v>1219</v>
      </c>
      <c r="B434" s="9">
        <f ca="1">+IF(A434=WORLDCUP!$BI$112,1,0)</f>
        <v>0</v>
      </c>
      <c r="C434" s="9" t="str">
        <f ca="1">+WORLDCUP!BD60</f>
        <v>Marruecos</v>
      </c>
      <c r="D434" s="9" t="str">
        <f ca="1">+WORLDCUP!BD67</f>
        <v>Jordania</v>
      </c>
      <c r="E434" s="9" t="str">
        <f ca="1">+WORLDCUP!BD59</f>
        <v>Bosnia y Herzegovina</v>
      </c>
      <c r="F434" s="9" t="str">
        <f ca="1">+WORLDCUP!BD61</f>
        <v>Turquía</v>
      </c>
      <c r="G434" s="9" t="str">
        <f ca="1">+WORLDCUP!BD58</f>
        <v>República Checa</v>
      </c>
      <c r="H434" s="9" t="str">
        <f ca="1">+WORLDCUP!BD64</f>
        <v>Bélgica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c r="A435" s="9" t="s">
        <v>1220</v>
      </c>
      <c r="B435" s="9">
        <f ca="1">+IF(A435=WORLDCUP!$BI$112,1,0)</f>
        <v>0</v>
      </c>
      <c r="C435" s="9" t="str">
        <f ca="1">+WORLDCUP!BD60</f>
        <v>Marruecos</v>
      </c>
      <c r="D435" s="9" t="str">
        <f ca="1">+WORLDCUP!BD67</f>
        <v>Jordania</v>
      </c>
      <c r="E435" s="9" t="str">
        <f ca="1">+WORLDCUP!BD59</f>
        <v>Bosnia y Herzegovina</v>
      </c>
      <c r="F435" s="9" t="str">
        <f ca="1">+WORLDCUP!BD61</f>
        <v>Turquía</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c r="A436" s="9" t="s">
        <v>1221</v>
      </c>
      <c r="B436" s="9">
        <f ca="1">+IF(A436=WORLDCUP!$BI$112,1,0)</f>
        <v>0</v>
      </c>
      <c r="C436" s="9" t="str">
        <f ca="1">+WORLDCUP!BD65</f>
        <v>España</v>
      </c>
      <c r="D436" s="9" t="str">
        <f ca="1">+WORLDCUP!BD64</f>
        <v>Bélgica</v>
      </c>
      <c r="E436" s="9" t="str">
        <f ca="1">+WORLDCUP!BD59</f>
        <v>Bosnia y Herzegovina</v>
      </c>
      <c r="F436" s="9" t="str">
        <f ca="1">+WORLDCUP!BD60</f>
        <v>Marruecos</v>
      </c>
      <c r="G436" s="9" t="str">
        <f ca="1">+WORLDCUP!BD58</f>
        <v>República Checa</v>
      </c>
      <c r="H436" s="9" t="str">
        <f ca="1">+WORLDCUP!BD61</f>
        <v>Turquía</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c r="A437" s="9" t="s">
        <v>1222</v>
      </c>
      <c r="B437" s="9">
        <f ca="1">+IF(A437=WORLDCUP!$BI$112,1,0)</f>
        <v>0</v>
      </c>
      <c r="C437" s="9" t="str">
        <f ca="1">+WORLDCUP!BD65</f>
        <v>España</v>
      </c>
      <c r="D437" s="9" t="str">
        <f ca="1">+WORLDCUP!BD64</f>
        <v>Bélgica</v>
      </c>
      <c r="E437" s="9" t="str">
        <f ca="1">+WORLDCUP!BD59</f>
        <v>Bosnia y Herzegovina</v>
      </c>
      <c r="F437" s="9" t="str">
        <f ca="1">+WORLDCUP!BD60</f>
        <v>Marruecos</v>
      </c>
      <c r="G437" s="9" t="str">
        <f ca="1">+WORLDCUP!BD58</f>
        <v>República Checa</v>
      </c>
      <c r="H437" s="9" t="str">
        <f ca="1">+WORLDCUP!BD61</f>
        <v>Turquía</v>
      </c>
      <c r="I437" s="9" t="str">
        <f ca="1">+WORLDCUP!BD69</f>
        <v>Panamá</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c r="A438" s="9" t="s">
        <v>1223</v>
      </c>
      <c r="B438" s="9">
        <f ca="1">+IF(A438=WORLDCUP!$BI$112,1,0)</f>
        <v>0</v>
      </c>
      <c r="C438" s="9" t="str">
        <f ca="1">+WORLDCUP!BD65</f>
        <v>España</v>
      </c>
      <c r="D438" s="9" t="str">
        <f ca="1">+WORLDCUP!BD64</f>
        <v>Bélgica</v>
      </c>
      <c r="E438" s="9" t="str">
        <f ca="1">+WORLDCUP!BD59</f>
        <v>Bosnia y Herzegovina</v>
      </c>
      <c r="F438" s="9" t="str">
        <f ca="1">+WORLDCUP!BD60</f>
        <v>Marruecos</v>
      </c>
      <c r="G438" s="9" t="str">
        <f ca="1">+WORLDCUP!BD58</f>
        <v>República Checa</v>
      </c>
      <c r="H438" s="9" t="str">
        <f ca="1">+WORLDCUP!BD61</f>
        <v>Turquía</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c r="A439" s="9" t="s">
        <v>1224</v>
      </c>
      <c r="B439" s="9">
        <f ca="1">+IF(A439=WORLDCUP!$BI$112,1,0)</f>
        <v>0</v>
      </c>
      <c r="C439" s="9" t="str">
        <f ca="1">+WORLDCUP!BD65</f>
        <v>España</v>
      </c>
      <c r="D439" s="9" t="str">
        <f ca="1">+WORLDCUP!BD64</f>
        <v>Bélgica</v>
      </c>
      <c r="E439" s="9" t="str">
        <f ca="1">+WORLDCUP!BD59</f>
        <v>Bosnia y Herzegovina</v>
      </c>
      <c r="F439" s="9" t="str">
        <f ca="1">+WORLDCUP!BD60</f>
        <v>Marruecos</v>
      </c>
      <c r="G439" s="9" t="str">
        <f ca="1">+WORLDCUP!BD58</f>
        <v>República Checa</v>
      </c>
      <c r="H439" s="9" t="str">
        <f ca="1">+WORLDCUP!BD61</f>
        <v>Turquía</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c r="A440" s="9" t="s">
        <v>1225</v>
      </c>
      <c r="B440" s="9">
        <f ca="1">+IF(A440=WORLDCUP!$BI$112,1,0)</f>
        <v>0</v>
      </c>
      <c r="C440" s="9" t="str">
        <f ca="1">+WORLDCUP!BD65</f>
        <v>España</v>
      </c>
      <c r="D440" s="9" t="str">
        <f ca="1">+WORLDCUP!BD64</f>
        <v>Bélgica</v>
      </c>
      <c r="E440" s="9" t="str">
        <f ca="1">+WORLDCUP!BD59</f>
        <v>Bosnia y Herzegovina</v>
      </c>
      <c r="F440" s="9" t="str">
        <f ca="1">+WORLDCUP!BD60</f>
        <v>Marruecos</v>
      </c>
      <c r="G440" s="9" t="str">
        <f ca="1">+WORLDCUP!BD58</f>
        <v>República Checa</v>
      </c>
      <c r="H440" s="9" t="str">
        <f ca="1">+WORLDCUP!BD61</f>
        <v>Turquía</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c r="A441" s="9" t="s">
        <v>1226</v>
      </c>
      <c r="B441" s="9">
        <f ca="1">+IF(A441=WORLDCUP!$BI$112,1,0)</f>
        <v>0</v>
      </c>
      <c r="C441" s="9" t="str">
        <f ca="1">+WORLDCUP!BD65</f>
        <v>España</v>
      </c>
      <c r="D441" s="9" t="str">
        <f ca="1">+WORLDCUP!BD64</f>
        <v>Bélgica</v>
      </c>
      <c r="E441" s="9" t="str">
        <f ca="1">+WORLDCUP!BD59</f>
        <v>Bosnia y Herzegovina</v>
      </c>
      <c r="F441" s="9" t="str">
        <f ca="1">+WORLDCUP!BD60</f>
        <v>Marruecos</v>
      </c>
      <c r="G441" s="9" t="str">
        <f ca="1">+WORLDCUP!BD58</f>
        <v>República Checa</v>
      </c>
      <c r="H441" s="9" t="str">
        <f ca="1">+WORLDCUP!BD61</f>
        <v>Turquía</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c r="A442" s="9" t="s">
        <v>1227</v>
      </c>
      <c r="B442" s="9">
        <f ca="1">+IF(A442=WORLDCUP!$BI$112,1,0)</f>
        <v>0</v>
      </c>
      <c r="C442" s="9" t="str">
        <f ca="1">+WORLDCUP!BD60</f>
        <v>Marruecos</v>
      </c>
      <c r="D442" s="9" t="str">
        <f ca="1">+WORLDCUP!BD67</f>
        <v>Jordania</v>
      </c>
      <c r="E442" s="9" t="str">
        <f ca="1">+WORLDCUP!BD59</f>
        <v>Bosnia y Herzegovina</v>
      </c>
      <c r="F442" s="9" t="str">
        <f ca="1">+WORLDCUP!BD61</f>
        <v>Turquía</v>
      </c>
      <c r="G442" s="9" t="str">
        <f ca="1">+WORLDCUP!BD58</f>
        <v>República Checa</v>
      </c>
      <c r="H442" s="9" t="str">
        <f ca="1">+WORLDCUP!BD63</f>
        <v>Japón</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c r="A443" s="9" t="s">
        <v>1228</v>
      </c>
      <c r="B443" s="9">
        <f ca="1">+IF(A443=WORLDCUP!$BI$112,1,0)</f>
        <v>0</v>
      </c>
      <c r="C443" s="9" t="str">
        <f ca="1">+WORLDCUP!BD60</f>
        <v>Marruecos</v>
      </c>
      <c r="D443" s="9" t="str">
        <f ca="1">+WORLDCUP!BD66</f>
        <v>Senegal</v>
      </c>
      <c r="E443" s="9" t="str">
        <f ca="1">+WORLDCUP!BD59</f>
        <v>Bosnia y Herzegovina</v>
      </c>
      <c r="F443" s="9" t="str">
        <f ca="1">+WORLDCUP!BD61</f>
        <v>Turquía</v>
      </c>
      <c r="G443" s="9" t="str">
        <f ca="1">+WORLDCUP!BD58</f>
        <v>República Checa</v>
      </c>
      <c r="H443" s="9" t="str">
        <f ca="1">+WORLDCUP!BD63</f>
        <v>Japón</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c r="A444" s="9" t="s">
        <v>1229</v>
      </c>
      <c r="B444" s="9">
        <f ca="1">+IF(A444=WORLDCUP!$BI$112,1,0)</f>
        <v>0</v>
      </c>
      <c r="C444" s="9" t="str">
        <f ca="1">+WORLDCUP!BD60</f>
        <v>Marruecos</v>
      </c>
      <c r="D444" s="9" t="str">
        <f ca="1">+WORLDCUP!BD67</f>
        <v>Jordania</v>
      </c>
      <c r="E444" s="9" t="str">
        <f ca="1">+WORLDCUP!BD59</f>
        <v>Bosnia y Herzegovina</v>
      </c>
      <c r="F444" s="9" t="str">
        <f ca="1">+WORLDCUP!BD61</f>
        <v>Turquía</v>
      </c>
      <c r="G444" s="9" t="str">
        <f ca="1">+WORLDCUP!BD58</f>
        <v>República Checa</v>
      </c>
      <c r="H444" s="9" t="str">
        <f ca="1">+WORLDCUP!BD63</f>
        <v>Japón</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c r="A445" s="9" t="s">
        <v>1230</v>
      </c>
      <c r="B445" s="9">
        <f ca="1">+IF(A445=WORLDCUP!$BI$112,1,0)</f>
        <v>0</v>
      </c>
      <c r="C445" s="9" t="str">
        <f ca="1">+WORLDCUP!BD60</f>
        <v>Marruecos</v>
      </c>
      <c r="D445" s="9" t="str">
        <f ca="1">+WORLDCUP!BD67</f>
        <v>Jordania</v>
      </c>
      <c r="E445" s="9" t="str">
        <f ca="1">+WORLDCUP!BD59</f>
        <v>Bosnia y Herzegovina</v>
      </c>
      <c r="F445" s="9" t="str">
        <f ca="1">+WORLDCUP!BD61</f>
        <v>Turquía</v>
      </c>
      <c r="G445" s="9" t="str">
        <f ca="1">+WORLDCUP!BD58</f>
        <v>República Checa</v>
      </c>
      <c r="H445" s="9" t="str">
        <f ca="1">+WORLDCUP!BD63</f>
        <v>Japón</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c r="A446" s="9" t="s">
        <v>1231</v>
      </c>
      <c r="B446" s="9">
        <f ca="1">+IF(A446=WORLDCUP!$BI$112,1,0)</f>
        <v>0</v>
      </c>
      <c r="C446" s="9" t="str">
        <f ca="1">+WORLDCUP!BD65</f>
        <v>España</v>
      </c>
      <c r="D446" s="9" t="str">
        <f ca="1">+WORLDCUP!BD63</f>
        <v>Japón</v>
      </c>
      <c r="E446" s="9" t="str">
        <f ca="1">+WORLDCUP!BD59</f>
        <v>Bosnia y Herzegovina</v>
      </c>
      <c r="F446" s="9" t="str">
        <f ca="1">+WORLDCUP!BD60</f>
        <v>Marruecos</v>
      </c>
      <c r="G446" s="9" t="str">
        <f ca="1">+WORLDCUP!BD58</f>
        <v>República Checa</v>
      </c>
      <c r="H446" s="9" t="str">
        <f ca="1">+WORLDCUP!BD61</f>
        <v>Turquía</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c r="A447" s="9" t="s">
        <v>1232</v>
      </c>
      <c r="B447" s="9">
        <f ca="1">+IF(A447=WORLDCUP!$BI$112,1,0)</f>
        <v>0</v>
      </c>
      <c r="C447" s="9" t="str">
        <f ca="1">+WORLDCUP!BD60</f>
        <v>Marruecos</v>
      </c>
      <c r="D447" s="9" t="str">
        <f ca="1">+WORLDCUP!BD67</f>
        <v>Jordania</v>
      </c>
      <c r="E447" s="9" t="str">
        <f ca="1">+WORLDCUP!BD59</f>
        <v>Bosnia y Herzegovina</v>
      </c>
      <c r="F447" s="9" t="str">
        <f ca="1">+WORLDCUP!BD61</f>
        <v>Turquía</v>
      </c>
      <c r="G447" s="9" t="str">
        <f ca="1">+WORLDCUP!BD58</f>
        <v>República Checa</v>
      </c>
      <c r="H447" s="9" t="str">
        <f ca="1">+WORLDCUP!BD63</f>
        <v>Japón</v>
      </c>
      <c r="I447" s="9" t="str">
        <f ca="1">+WORLDCUP!BD69</f>
        <v>Panamá</v>
      </c>
      <c r="J447" s="9" t="str">
        <f ca="1">+WORLDCUP!BD65</f>
        <v>España</v>
      </c>
      <c r="N447" s="16" t="s">
        <v>1232</v>
      </c>
      <c r="O447" s="16">
        <v>446</v>
      </c>
      <c r="P447" s="16" t="s">
        <v>81</v>
      </c>
      <c r="Q447" s="16" t="s">
        <v>113</v>
      </c>
      <c r="R447" s="16" t="s">
        <v>77</v>
      </c>
      <c r="S447" s="16" t="s">
        <v>86</v>
      </c>
      <c r="T447" s="16" t="s">
        <v>72</v>
      </c>
      <c r="U447" s="16" t="s">
        <v>95</v>
      </c>
      <c r="V447" s="16" t="s">
        <v>122</v>
      </c>
      <c r="W447" s="16" t="s">
        <v>104</v>
      </c>
    </row>
    <row r="448" spans="1:23">
      <c r="A448" s="9" t="s">
        <v>1233</v>
      </c>
      <c r="B448" s="9">
        <f ca="1">+IF(A448=WORLDCUP!$BI$112,1,0)</f>
        <v>0</v>
      </c>
      <c r="C448" s="9" t="str">
        <f ca="1">+WORLDCUP!BD65</f>
        <v>España</v>
      </c>
      <c r="D448" s="9" t="str">
        <f ca="1">+WORLDCUP!BD67</f>
        <v>Jordania</v>
      </c>
      <c r="E448" s="9" t="str">
        <f ca="1">+WORLDCUP!BD59</f>
        <v>Bosnia y Herzegovina</v>
      </c>
      <c r="F448" s="9" t="str">
        <f ca="1">+WORLDCUP!BD60</f>
        <v>Marruecos</v>
      </c>
      <c r="G448" s="9" t="str">
        <f ca="1">+WORLDCUP!BD58</f>
        <v>República Checa</v>
      </c>
      <c r="H448" s="9" t="str">
        <f ca="1">+WORLDCUP!BD63</f>
        <v>Japón</v>
      </c>
      <c r="I448" s="9" t="str">
        <f ca="1">+WORLDCUP!BD61</f>
        <v>Turquía</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c r="A449" s="9" t="s">
        <v>1234</v>
      </c>
      <c r="B449" s="9">
        <f ca="1">+IF(A449=WORLDCUP!$BI$112,1,0)</f>
        <v>0</v>
      </c>
      <c r="C449" s="9" t="str">
        <f ca="1">+WORLDCUP!BD65</f>
        <v>España</v>
      </c>
      <c r="D449" s="9" t="str">
        <f ca="1">+WORLDCUP!BD63</f>
        <v>Japón</v>
      </c>
      <c r="E449" s="9" t="str">
        <f ca="1">+WORLDCUP!BD59</f>
        <v>Bosnia y Herzegovina</v>
      </c>
      <c r="F449" s="9" t="str">
        <f ca="1">+WORLDCUP!BD60</f>
        <v>Marruecos</v>
      </c>
      <c r="G449" s="9" t="str">
        <f ca="1">+WORLDCUP!BD58</f>
        <v>República Checa</v>
      </c>
      <c r="H449" s="9" t="str">
        <f ca="1">+WORLDCUP!BD61</f>
        <v>Turquía</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c r="A450" s="9" t="s">
        <v>1235</v>
      </c>
      <c r="B450" s="9">
        <f ca="1">+IF(A450=WORLDCUP!$BI$112,1,0)</f>
        <v>0</v>
      </c>
      <c r="C450" s="9" t="str">
        <f ca="1">+WORLDCUP!BD65</f>
        <v>España</v>
      </c>
      <c r="D450" s="9" t="str">
        <f ca="1">+WORLDCUP!BD63</f>
        <v>Japón</v>
      </c>
      <c r="E450" s="9" t="str">
        <f ca="1">+WORLDCUP!BD59</f>
        <v>Bosnia y Herzegovina</v>
      </c>
      <c r="F450" s="9" t="str">
        <f ca="1">+WORLDCUP!BD60</f>
        <v>Marruecos</v>
      </c>
      <c r="G450" s="9" t="str">
        <f ca="1">+WORLDCUP!BD58</f>
        <v>República Checa</v>
      </c>
      <c r="H450" s="9" t="str">
        <f ca="1">+WORLDCUP!BD61</f>
        <v>Turquía</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c r="A451" s="9" t="s">
        <v>1236</v>
      </c>
      <c r="B451" s="9">
        <f ca="1">+IF(A451=WORLDCUP!$BI$112,1,0)</f>
        <v>0</v>
      </c>
      <c r="C451" s="9" t="str">
        <f ca="1">+WORLDCUP!BD65</f>
        <v>España</v>
      </c>
      <c r="D451" s="9" t="str">
        <f ca="1">+WORLDCUP!BD67</f>
        <v>Jordania</v>
      </c>
      <c r="E451" s="9" t="str">
        <f ca="1">+WORLDCUP!BD59</f>
        <v>Bosnia y Herzegovina</v>
      </c>
      <c r="F451" s="9" t="str">
        <f ca="1">+WORLDCUP!BD60</f>
        <v>Marruecos</v>
      </c>
      <c r="G451" s="9" t="str">
        <f ca="1">+WORLDCUP!BD58</f>
        <v>República Checa</v>
      </c>
      <c r="H451" s="9" t="str">
        <f ca="1">+WORLDCUP!BD63</f>
        <v>Japón</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c r="A452" s="9" t="s">
        <v>1237</v>
      </c>
      <c r="B452" s="9">
        <f ca="1">+IF(A452=WORLDCUP!$BI$112,1,0)</f>
        <v>0</v>
      </c>
      <c r="C452" s="9" t="str">
        <f ca="1">+WORLDCUP!BD60</f>
        <v>Marruecos</v>
      </c>
      <c r="D452" s="9" t="str">
        <f ca="1">+WORLDCUP!BD64</f>
        <v>Bélgica</v>
      </c>
      <c r="E452" s="9" t="str">
        <f ca="1">+WORLDCUP!BD59</f>
        <v>Bosnia y Herzegovina</v>
      </c>
      <c r="F452" s="9" t="str">
        <f ca="1">+WORLDCUP!BD61</f>
        <v>Turquía</v>
      </c>
      <c r="G452" s="9" t="str">
        <f ca="1">+WORLDCUP!BD58</f>
        <v>República Checa</v>
      </c>
      <c r="H452" s="9" t="str">
        <f ca="1">+WORLDCUP!BD63</f>
        <v>Japón</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c r="A453" s="9" t="s">
        <v>1238</v>
      </c>
      <c r="B453" s="9">
        <f ca="1">+IF(A453=WORLDCUP!$BI$112,1,0)</f>
        <v>0</v>
      </c>
      <c r="C453" s="9" t="str">
        <f ca="1">+WORLDCUP!BD60</f>
        <v>Marruecos</v>
      </c>
      <c r="D453" s="9" t="str">
        <f ca="1">+WORLDCUP!BD64</f>
        <v>Bélgica</v>
      </c>
      <c r="E453" s="9" t="str">
        <f ca="1">+WORLDCUP!BD59</f>
        <v>Bosnia y Herzegovina</v>
      </c>
      <c r="F453" s="9" t="str">
        <f ca="1">+WORLDCUP!BD61</f>
        <v>Turquía</v>
      </c>
      <c r="G453" s="9" t="str">
        <f ca="1">+WORLDCUP!BD58</f>
        <v>República Checa</v>
      </c>
      <c r="H453" s="9" t="str">
        <f ca="1">+WORLDCUP!BD63</f>
        <v>Japón</v>
      </c>
      <c r="I453" s="9" t="str">
        <f ca="1">+WORLDCUP!BD69</f>
        <v>Panamá</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c r="A454" s="9" t="s">
        <v>1239</v>
      </c>
      <c r="B454" s="9">
        <f ca="1">+IF(A454=WORLDCUP!$BI$112,1,0)</f>
        <v>0</v>
      </c>
      <c r="C454" s="9" t="str">
        <f ca="1">+WORLDCUP!BD60</f>
        <v>Marruecos</v>
      </c>
      <c r="D454" s="9" t="str">
        <f ca="1">+WORLDCUP!BD64</f>
        <v>Bélgica</v>
      </c>
      <c r="E454" s="9" t="str">
        <f ca="1">+WORLDCUP!BD59</f>
        <v>Bosnia y Herzegovina</v>
      </c>
      <c r="F454" s="9" t="str">
        <f ca="1">+WORLDCUP!BD61</f>
        <v>Turquía</v>
      </c>
      <c r="G454" s="9" t="str">
        <f ca="1">+WORLDCUP!BD58</f>
        <v>República Checa</v>
      </c>
      <c r="H454" s="9" t="str">
        <f ca="1">+WORLDCUP!BD63</f>
        <v>Japón</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c r="A455" s="9" t="s">
        <v>1240</v>
      </c>
      <c r="B455" s="9">
        <f ca="1">+IF(A455=WORLDCUP!$BI$112,1,0)</f>
        <v>0</v>
      </c>
      <c r="C455" s="9" t="str">
        <f ca="1">+WORLDCUP!BD60</f>
        <v>Marruecos</v>
      </c>
      <c r="D455" s="9" t="str">
        <f ca="1">+WORLDCUP!BD64</f>
        <v>Bélgica</v>
      </c>
      <c r="E455" s="9" t="str">
        <f ca="1">+WORLDCUP!BD59</f>
        <v>Bosnia y Herzegovina</v>
      </c>
      <c r="F455" s="9" t="str">
        <f ca="1">+WORLDCUP!BD61</f>
        <v>Turquía</v>
      </c>
      <c r="G455" s="9" t="str">
        <f ca="1">+WORLDCUP!BD58</f>
        <v>República Checa</v>
      </c>
      <c r="H455" s="9" t="str">
        <f ca="1">+WORLDCUP!BD63</f>
        <v>Japón</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c r="A456" s="9" t="s">
        <v>1241</v>
      </c>
      <c r="B456" s="9">
        <f ca="1">+IF(A456=WORLDCUP!$BI$112,1,0)</f>
        <v>0</v>
      </c>
      <c r="C456" s="9" t="str">
        <f ca="1">+WORLDCUP!BD60</f>
        <v>Marruecos</v>
      </c>
      <c r="D456" s="9" t="str">
        <f ca="1">+WORLDCUP!BD64</f>
        <v>Bélgica</v>
      </c>
      <c r="E456" s="9" t="str">
        <f ca="1">+WORLDCUP!BD59</f>
        <v>Bosnia y Herzegovina</v>
      </c>
      <c r="F456" s="9" t="str">
        <f ca="1">+WORLDCUP!BD61</f>
        <v>Turquía</v>
      </c>
      <c r="G456" s="9" t="str">
        <f ca="1">+WORLDCUP!BD58</f>
        <v>República Checa</v>
      </c>
      <c r="H456" s="9" t="str">
        <f ca="1">+WORLDCUP!BD63</f>
        <v>Japón</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c r="A457" s="9" t="s">
        <v>1242</v>
      </c>
      <c r="B457" s="9">
        <f ca="1">+IF(A457=WORLDCUP!$BI$112,1,0)</f>
        <v>0</v>
      </c>
      <c r="C457" s="9" t="str">
        <f ca="1">+WORLDCUP!BD60</f>
        <v>Marruecos</v>
      </c>
      <c r="D457" s="9" t="str">
        <f ca="1">+WORLDCUP!BD64</f>
        <v>Bélgica</v>
      </c>
      <c r="E457" s="9" t="str">
        <f ca="1">+WORLDCUP!BD59</f>
        <v>Bosnia y Herzegovina</v>
      </c>
      <c r="F457" s="9" t="str">
        <f ca="1">+WORLDCUP!BD61</f>
        <v>Turquía</v>
      </c>
      <c r="G457" s="9" t="str">
        <f ca="1">+WORLDCUP!BD58</f>
        <v>República Checa</v>
      </c>
      <c r="H457" s="9" t="str">
        <f ca="1">+WORLDCUP!BD63</f>
        <v>Japón</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c r="A458" s="9" t="s">
        <v>1243</v>
      </c>
      <c r="B458" s="9">
        <f ca="1">+IF(A458=WORLDCUP!$BI$112,1,0)</f>
        <v>0</v>
      </c>
      <c r="C458" s="9" t="str">
        <f ca="1">+WORLDCUP!BD60</f>
        <v>Marruecos</v>
      </c>
      <c r="D458" s="9" t="str">
        <f ca="1">+WORLDCUP!BD64</f>
        <v>Bélgica</v>
      </c>
      <c r="E458" s="9" t="str">
        <f ca="1">+WORLDCUP!BD59</f>
        <v>Bosnia y Herzegovina</v>
      </c>
      <c r="F458" s="9" t="str">
        <f ca="1">+WORLDCUP!BD61</f>
        <v>Turquía</v>
      </c>
      <c r="G458" s="9" t="str">
        <f ca="1">+WORLDCUP!BD58</f>
        <v>República Checa</v>
      </c>
      <c r="H458" s="9" t="str">
        <f ca="1">+WORLDCUP!BD63</f>
        <v>Japón</v>
      </c>
      <c r="I458" s="9" t="str">
        <f ca="1">+WORLDCUP!BD69</f>
        <v>Panamá</v>
      </c>
      <c r="J458" s="9" t="str">
        <f ca="1">+WORLDCUP!BD65</f>
        <v>España</v>
      </c>
      <c r="N458" s="16" t="s">
        <v>1243</v>
      </c>
      <c r="O458" s="16">
        <v>457</v>
      </c>
      <c r="P458" s="16" t="s">
        <v>81</v>
      </c>
      <c r="Q458" s="16" t="s">
        <v>99</v>
      </c>
      <c r="R458" s="16" t="s">
        <v>77</v>
      </c>
      <c r="S458" s="16" t="s">
        <v>86</v>
      </c>
      <c r="T458" s="16" t="s">
        <v>72</v>
      </c>
      <c r="U458" s="16" t="s">
        <v>95</v>
      </c>
      <c r="V458" s="16" t="s">
        <v>122</v>
      </c>
      <c r="W458" s="16" t="s">
        <v>104</v>
      </c>
    </row>
    <row r="459" spans="1:23">
      <c r="A459" s="9" t="s">
        <v>1244</v>
      </c>
      <c r="B459" s="9">
        <f ca="1">+IF(A459=WORLDCUP!$BI$112,1,0)</f>
        <v>0</v>
      </c>
      <c r="C459" s="9" t="str">
        <f ca="1">+WORLDCUP!BD65</f>
        <v>España</v>
      </c>
      <c r="D459" s="9" t="str">
        <f ca="1">+WORLDCUP!BD64</f>
        <v>Bélgica</v>
      </c>
      <c r="E459" s="9" t="str">
        <f ca="1">+WORLDCUP!BD59</f>
        <v>Bosnia y Herzegovina</v>
      </c>
      <c r="F459" s="9" t="str">
        <f ca="1">+WORLDCUP!BD60</f>
        <v>Marruecos</v>
      </c>
      <c r="G459" s="9" t="str">
        <f ca="1">+WORLDCUP!BD58</f>
        <v>República Checa</v>
      </c>
      <c r="H459" s="9" t="str">
        <f ca="1">+WORLDCUP!BD63</f>
        <v>Japón</v>
      </c>
      <c r="I459" s="9" t="str">
        <f ca="1">+WORLDCUP!BD61</f>
        <v>Turquía</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c r="A460" s="9" t="s">
        <v>1245</v>
      </c>
      <c r="B460" s="9">
        <f ca="1">+IF(A460=WORLDCUP!$BI$112,1,0)</f>
        <v>0</v>
      </c>
      <c r="C460" s="9" t="str">
        <f ca="1">+WORLDCUP!BD65</f>
        <v>España</v>
      </c>
      <c r="D460" s="9" t="str">
        <f ca="1">+WORLDCUP!BD64</f>
        <v>Bélgica</v>
      </c>
      <c r="E460" s="9" t="str">
        <f ca="1">+WORLDCUP!BD59</f>
        <v>Bosnia y Herzegovina</v>
      </c>
      <c r="F460" s="9" t="str">
        <f ca="1">+WORLDCUP!BD60</f>
        <v>Marruecos</v>
      </c>
      <c r="G460" s="9" t="str">
        <f ca="1">+WORLDCUP!BD58</f>
        <v>República Checa</v>
      </c>
      <c r="H460" s="9" t="str">
        <f ca="1">+WORLDCUP!BD63</f>
        <v>Japón</v>
      </c>
      <c r="I460" s="9" t="str">
        <f ca="1">+WORLDCUP!BD61</f>
        <v>Turquía</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c r="A461" s="9" t="s">
        <v>1246</v>
      </c>
      <c r="B461" s="9">
        <f ca="1">+IF(A461=WORLDCUP!$BI$112,1,0)</f>
        <v>0</v>
      </c>
      <c r="C461" s="9" t="str">
        <f ca="1">+WORLDCUP!BD65</f>
        <v>España</v>
      </c>
      <c r="D461" s="9" t="str">
        <f ca="1">+WORLDCUP!BD64</f>
        <v>Bélgica</v>
      </c>
      <c r="E461" s="9" t="str">
        <f ca="1">+WORLDCUP!BD59</f>
        <v>Bosnia y Herzegovina</v>
      </c>
      <c r="F461" s="9" t="str">
        <f ca="1">+WORLDCUP!BD60</f>
        <v>Marruecos</v>
      </c>
      <c r="G461" s="9" t="str">
        <f ca="1">+WORLDCUP!BD58</f>
        <v>República Checa</v>
      </c>
      <c r="H461" s="9" t="str">
        <f ca="1">+WORLDCUP!BD63</f>
        <v>Japón</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c r="A462" s="9" t="s">
        <v>1247</v>
      </c>
      <c r="B462" s="9">
        <f ca="1">+IF(A462=WORLDCUP!$BI$112,1,0)</f>
        <v>0</v>
      </c>
      <c r="C462" s="9" t="str">
        <f ca="1">+WORLDCUP!BD62</f>
        <v>Ecuador</v>
      </c>
      <c r="D462" s="9" t="str">
        <f ca="1">+WORLDCUP!BD67</f>
        <v>Jordania</v>
      </c>
      <c r="E462" s="9" t="str">
        <f ca="1">+WORLDCUP!BD59</f>
        <v>Bosnia y Herzegovina</v>
      </c>
      <c r="F462" s="9" t="str">
        <f ca="1">+WORLDCUP!BD60</f>
        <v>Marruecos</v>
      </c>
      <c r="G462" s="9" t="str">
        <f ca="1">+WORLDCUP!BD58</f>
        <v>República Checa</v>
      </c>
      <c r="H462" s="9" t="str">
        <f ca="1">+WORLDCUP!BD61</f>
        <v>Turquía</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c r="A463" s="9" t="s">
        <v>1248</v>
      </c>
      <c r="B463" s="9">
        <f ca="1">+IF(A463=WORLDCUP!$BI$112,1,0)</f>
        <v>0</v>
      </c>
      <c r="C463" s="9" t="str">
        <f ca="1">+WORLDCUP!BD62</f>
        <v>Ecuador</v>
      </c>
      <c r="D463" s="9" t="str">
        <f ca="1">+WORLDCUP!BD66</f>
        <v>Senegal</v>
      </c>
      <c r="E463" s="9" t="str">
        <f ca="1">+WORLDCUP!BD59</f>
        <v>Bosnia y Herzegovina</v>
      </c>
      <c r="F463" s="9" t="str">
        <f ca="1">+WORLDCUP!BD60</f>
        <v>Marruecos</v>
      </c>
      <c r="G463" s="9" t="str">
        <f ca="1">+WORLDCUP!BD58</f>
        <v>República Checa</v>
      </c>
      <c r="H463" s="9" t="str">
        <f ca="1">+WORLDCUP!BD61</f>
        <v>Turquía</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c r="A464" s="9" t="s">
        <v>1249</v>
      </c>
      <c r="B464" s="9">
        <f ca="1">+IF(A464=WORLDCUP!$BI$112,1,0)</f>
        <v>0</v>
      </c>
      <c r="C464" s="9" t="str">
        <f ca="1">+WORLDCUP!BD62</f>
        <v>Ecuador</v>
      </c>
      <c r="D464" s="9" t="str">
        <f ca="1">+WORLDCUP!BD67</f>
        <v>Jordania</v>
      </c>
      <c r="E464" s="9" t="str">
        <f ca="1">+WORLDCUP!BD59</f>
        <v>Bosnia y Herzegovina</v>
      </c>
      <c r="F464" s="9" t="str">
        <f ca="1">+WORLDCUP!BD60</f>
        <v>Marruecos</v>
      </c>
      <c r="G464" s="9" t="str">
        <f ca="1">+WORLDCUP!BD58</f>
        <v>República Checa</v>
      </c>
      <c r="H464" s="9" t="str">
        <f ca="1">+WORLDCUP!BD61</f>
        <v>Turquía</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c r="A465" s="9" t="s">
        <v>1250</v>
      </c>
      <c r="B465" s="9">
        <f ca="1">+IF(A465=WORLDCUP!$BI$112,1,0)</f>
        <v>0</v>
      </c>
      <c r="C465" s="9" t="str">
        <f ca="1">+WORLDCUP!BD62</f>
        <v>Ecuador</v>
      </c>
      <c r="D465" s="9" t="str">
        <f ca="1">+WORLDCUP!BD67</f>
        <v>Jordania</v>
      </c>
      <c r="E465" s="9" t="str">
        <f ca="1">+WORLDCUP!BD59</f>
        <v>Bosnia y Herzegovina</v>
      </c>
      <c r="F465" s="9" t="str">
        <f ca="1">+WORLDCUP!BD60</f>
        <v>Marruecos</v>
      </c>
      <c r="G465" s="9" t="str">
        <f ca="1">+WORLDCUP!BD58</f>
        <v>República Checa</v>
      </c>
      <c r="H465" s="9" t="str">
        <f ca="1">+WORLDCUP!BD61</f>
        <v>Turquía</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c r="A466" s="9" t="s">
        <v>1251</v>
      </c>
      <c r="B466" s="9">
        <f ca="1">+IF(A466=WORLDCUP!$BI$112,1,0)</f>
        <v>0</v>
      </c>
      <c r="C466" s="9" t="str">
        <f ca="1">+WORLDCUP!BD65</f>
        <v>España</v>
      </c>
      <c r="D466" s="9" t="str">
        <f ca="1">+WORLDCUP!BD62</f>
        <v>Ecuador</v>
      </c>
      <c r="E466" s="9" t="str">
        <f ca="1">+WORLDCUP!BD59</f>
        <v>Bosnia y Herzegovina</v>
      </c>
      <c r="F466" s="9" t="str">
        <f ca="1">+WORLDCUP!BD60</f>
        <v>Marruecos</v>
      </c>
      <c r="G466" s="9" t="str">
        <f ca="1">+WORLDCUP!BD58</f>
        <v>República Checa</v>
      </c>
      <c r="H466" s="9" t="str">
        <f ca="1">+WORLDCUP!BD61</f>
        <v>Turquía</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c r="A467" s="9" t="s">
        <v>1252</v>
      </c>
      <c r="B467" s="9">
        <f ca="1">+IF(A467=WORLDCUP!$BI$112,1,0)</f>
        <v>0</v>
      </c>
      <c r="C467" s="9" t="str">
        <f ca="1">+WORLDCUP!BD65</f>
        <v>España</v>
      </c>
      <c r="D467" s="9" t="str">
        <f ca="1">+WORLDCUP!BD67</f>
        <v>Jordania</v>
      </c>
      <c r="E467" s="9" t="str">
        <f ca="1">+WORLDCUP!BD59</f>
        <v>Bosnia y Herzegovina</v>
      </c>
      <c r="F467" s="9" t="str">
        <f ca="1">+WORLDCUP!BD60</f>
        <v>Marruecos</v>
      </c>
      <c r="G467" s="9" t="str">
        <f ca="1">+WORLDCUP!BD58</f>
        <v>República Checa</v>
      </c>
      <c r="H467" s="9" t="str">
        <f ca="1">+WORLDCUP!BD61</f>
        <v>Turquía</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c r="A468" s="9" t="s">
        <v>1253</v>
      </c>
      <c r="B468" s="9">
        <f ca="1">+IF(A468=WORLDCUP!$BI$112,1,0)</f>
        <v>0</v>
      </c>
      <c r="C468" s="9" t="str">
        <f ca="1">+WORLDCUP!BD65</f>
        <v>España</v>
      </c>
      <c r="D468" s="9" t="str">
        <f ca="1">+WORLDCUP!BD67</f>
        <v>Jordania</v>
      </c>
      <c r="E468" s="9" t="str">
        <f ca="1">+WORLDCUP!BD59</f>
        <v>Bosnia y Herzegovina</v>
      </c>
      <c r="F468" s="9" t="str">
        <f ca="1">+WORLDCUP!BD60</f>
        <v>Marruecos</v>
      </c>
      <c r="G468" s="9" t="str">
        <f ca="1">+WORLDCUP!BD58</f>
        <v>República Checa</v>
      </c>
      <c r="H468" s="9" t="str">
        <f ca="1">+WORLDCUP!BD61</f>
        <v>Turquía</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c r="A469" s="9" t="s">
        <v>1254</v>
      </c>
      <c r="B469" s="9">
        <f ca="1">+IF(A469=WORLDCUP!$BI$112,1,0)</f>
        <v>0</v>
      </c>
      <c r="C469" s="9" t="str">
        <f ca="1">+WORLDCUP!BD65</f>
        <v>España</v>
      </c>
      <c r="D469" s="9" t="str">
        <f ca="1">+WORLDCUP!BD62</f>
        <v>Ecuador</v>
      </c>
      <c r="E469" s="9" t="str">
        <f ca="1">+WORLDCUP!BD59</f>
        <v>Bosnia y Herzegovina</v>
      </c>
      <c r="F469" s="9" t="str">
        <f ca="1">+WORLDCUP!BD60</f>
        <v>Marruecos</v>
      </c>
      <c r="G469" s="9" t="str">
        <f ca="1">+WORLDCUP!BD58</f>
        <v>República Checa</v>
      </c>
      <c r="H469" s="9" t="str">
        <f ca="1">+WORLDCUP!BD61</f>
        <v>Turquía</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c r="A470" s="9" t="s">
        <v>1255</v>
      </c>
      <c r="B470" s="9">
        <f ca="1">+IF(A470=WORLDCUP!$BI$112,1,0)</f>
        <v>0</v>
      </c>
      <c r="C470" s="9" t="str">
        <f ca="1">+WORLDCUP!BD65</f>
        <v>España</v>
      </c>
      <c r="D470" s="9" t="str">
        <f ca="1">+WORLDCUP!BD62</f>
        <v>Ecuador</v>
      </c>
      <c r="E470" s="9" t="str">
        <f ca="1">+WORLDCUP!BD59</f>
        <v>Bosnia y Herzegovina</v>
      </c>
      <c r="F470" s="9" t="str">
        <f ca="1">+WORLDCUP!BD60</f>
        <v>Marruecos</v>
      </c>
      <c r="G470" s="9" t="str">
        <f ca="1">+WORLDCUP!BD58</f>
        <v>República Checa</v>
      </c>
      <c r="H470" s="9" t="str">
        <f ca="1">+WORLDCUP!BD61</f>
        <v>Turquía</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c r="A471" s="9" t="s">
        <v>1256</v>
      </c>
      <c r="B471" s="9">
        <f ca="1">+IF(A471=WORLDCUP!$BI$112,1,0)</f>
        <v>0</v>
      </c>
      <c r="C471" s="9" t="str">
        <f ca="1">+WORLDCUP!BD65</f>
        <v>España</v>
      </c>
      <c r="D471" s="9" t="str">
        <f ca="1">+WORLDCUP!BD67</f>
        <v>Jordania</v>
      </c>
      <c r="E471" s="9" t="str">
        <f ca="1">+WORLDCUP!BD59</f>
        <v>Bosnia y Herzegovina</v>
      </c>
      <c r="F471" s="9" t="str">
        <f ca="1">+WORLDCUP!BD60</f>
        <v>Marruecos</v>
      </c>
      <c r="G471" s="9" t="str">
        <f ca="1">+WORLDCUP!BD58</f>
        <v>República Checa</v>
      </c>
      <c r="H471" s="9" t="str">
        <f ca="1">+WORLDCUP!BD61</f>
        <v>Turquía</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c r="A472" s="9" t="s">
        <v>1257</v>
      </c>
      <c r="B472" s="9">
        <f ca="1">+IF(A472=WORLDCUP!$BI$112,1,0)</f>
        <v>0</v>
      </c>
      <c r="C472" s="9" t="str">
        <f ca="1">+WORLDCUP!BD62</f>
        <v>Ecuador</v>
      </c>
      <c r="D472" s="9" t="str">
        <f ca="1">+WORLDCUP!BD64</f>
        <v>Bélgica</v>
      </c>
      <c r="E472" s="9" t="str">
        <f ca="1">+WORLDCUP!BD59</f>
        <v>Bosnia y Herzegovina</v>
      </c>
      <c r="F472" s="9" t="str">
        <f ca="1">+WORLDCUP!BD60</f>
        <v>Marruecos</v>
      </c>
      <c r="G472" s="9" t="str">
        <f ca="1">+WORLDCUP!BD58</f>
        <v>República Checa</v>
      </c>
      <c r="H472" s="9" t="str">
        <f ca="1">+WORLDCUP!BD61</f>
        <v>Turquía</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c r="A473" s="9" t="s">
        <v>1258</v>
      </c>
      <c r="B473" s="9">
        <f ca="1">+IF(A473=WORLDCUP!$BI$112,1,0)</f>
        <v>0</v>
      </c>
      <c r="C473" s="9" t="str">
        <f ca="1">+WORLDCUP!BD62</f>
        <v>Ecuador</v>
      </c>
      <c r="D473" s="9" t="str">
        <f ca="1">+WORLDCUP!BD64</f>
        <v>Bélgica</v>
      </c>
      <c r="E473" s="9" t="str">
        <f ca="1">+WORLDCUP!BD59</f>
        <v>Bosnia y Herzegovina</v>
      </c>
      <c r="F473" s="9" t="str">
        <f ca="1">+WORLDCUP!BD60</f>
        <v>Marruecos</v>
      </c>
      <c r="G473" s="9" t="str">
        <f ca="1">+WORLDCUP!BD58</f>
        <v>República Checa</v>
      </c>
      <c r="H473" s="9" t="str">
        <f ca="1">+WORLDCUP!BD61</f>
        <v>Turquía</v>
      </c>
      <c r="I473" s="9" t="str">
        <f ca="1">+WORLDCUP!BD69</f>
        <v>Panamá</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c r="A474" s="9" t="s">
        <v>1259</v>
      </c>
      <c r="B474" s="9">
        <f ca="1">+IF(A474=WORLDCUP!$BI$112,1,0)</f>
        <v>0</v>
      </c>
      <c r="C474" s="9" t="str">
        <f ca="1">+WORLDCUP!BD62</f>
        <v>Ecuador</v>
      </c>
      <c r="D474" s="9" t="str">
        <f ca="1">+WORLDCUP!BD64</f>
        <v>Bélgica</v>
      </c>
      <c r="E474" s="9" t="str">
        <f ca="1">+WORLDCUP!BD59</f>
        <v>Bosnia y Herzegovina</v>
      </c>
      <c r="F474" s="9" t="str">
        <f ca="1">+WORLDCUP!BD60</f>
        <v>Marruecos</v>
      </c>
      <c r="G474" s="9" t="str">
        <f ca="1">+WORLDCUP!BD58</f>
        <v>República Checa</v>
      </c>
      <c r="H474" s="9" t="str">
        <f ca="1">+WORLDCUP!BD61</f>
        <v>Turquía</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c r="A475" s="9" t="s">
        <v>1260</v>
      </c>
      <c r="B475" s="9">
        <f ca="1">+IF(A475=WORLDCUP!$BI$112,1,0)</f>
        <v>0</v>
      </c>
      <c r="C475" s="9" t="str">
        <f ca="1">+WORLDCUP!BD62</f>
        <v>Ecuador</v>
      </c>
      <c r="D475" s="9" t="str">
        <f ca="1">+WORLDCUP!BD64</f>
        <v>Bélgica</v>
      </c>
      <c r="E475" s="9" t="str">
        <f ca="1">+WORLDCUP!BD59</f>
        <v>Bosnia y Herzegovina</v>
      </c>
      <c r="F475" s="9" t="str">
        <f ca="1">+WORLDCUP!BD60</f>
        <v>Marruecos</v>
      </c>
      <c r="G475" s="9" t="str">
        <f ca="1">+WORLDCUP!BD58</f>
        <v>República Checa</v>
      </c>
      <c r="H475" s="9" t="str">
        <f ca="1">+WORLDCUP!BD61</f>
        <v>Turquía</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c r="A476" s="9" t="s">
        <v>1261</v>
      </c>
      <c r="B476" s="9">
        <f ca="1">+IF(A476=WORLDCUP!$BI$112,1,0)</f>
        <v>0</v>
      </c>
      <c r="C476" s="9" t="str">
        <f ca="1">+WORLDCUP!BD62</f>
        <v>Ecuador</v>
      </c>
      <c r="D476" s="9" t="str">
        <f ca="1">+WORLDCUP!BD64</f>
        <v>Bélgica</v>
      </c>
      <c r="E476" s="9" t="str">
        <f ca="1">+WORLDCUP!BD59</f>
        <v>Bosnia y Herzegovina</v>
      </c>
      <c r="F476" s="9" t="str">
        <f ca="1">+WORLDCUP!BD60</f>
        <v>Marruecos</v>
      </c>
      <c r="G476" s="9" t="str">
        <f ca="1">+WORLDCUP!BD58</f>
        <v>República Checa</v>
      </c>
      <c r="H476" s="9" t="str">
        <f ca="1">+WORLDCUP!BD61</f>
        <v>Turquía</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c r="A477" s="9" t="s">
        <v>1262</v>
      </c>
      <c r="B477" s="9">
        <f ca="1">+IF(A477=WORLDCUP!$BI$112,1,0)</f>
        <v>0</v>
      </c>
      <c r="C477" s="9" t="str">
        <f ca="1">+WORLDCUP!BD62</f>
        <v>Ecuador</v>
      </c>
      <c r="D477" s="9" t="str">
        <f ca="1">+WORLDCUP!BD64</f>
        <v>Bélgica</v>
      </c>
      <c r="E477" s="9" t="str">
        <f ca="1">+WORLDCUP!BD59</f>
        <v>Bosnia y Herzegovina</v>
      </c>
      <c r="F477" s="9" t="str">
        <f ca="1">+WORLDCUP!BD60</f>
        <v>Marruecos</v>
      </c>
      <c r="G477" s="9" t="str">
        <f ca="1">+WORLDCUP!BD58</f>
        <v>República Checa</v>
      </c>
      <c r="H477" s="9" t="str">
        <f ca="1">+WORLDCUP!BD61</f>
        <v>Turquía</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c r="A478" s="9" t="s">
        <v>1263</v>
      </c>
      <c r="B478" s="9">
        <f ca="1">+IF(A478=WORLDCUP!$BI$112,1,0)</f>
        <v>0</v>
      </c>
      <c r="C478" s="9" t="str">
        <f ca="1">+WORLDCUP!BD65</f>
        <v>España</v>
      </c>
      <c r="D478" s="9" t="str">
        <f ca="1">+WORLDCUP!BD64</f>
        <v>Bélgica</v>
      </c>
      <c r="E478" s="9" t="str">
        <f ca="1">+WORLDCUP!BD59</f>
        <v>Bosnia y Herzegovina</v>
      </c>
      <c r="F478" s="9" t="str">
        <f ca="1">+WORLDCUP!BD60</f>
        <v>Marruecos</v>
      </c>
      <c r="G478" s="9" t="str">
        <f ca="1">+WORLDCUP!BD58</f>
        <v>República Checa</v>
      </c>
      <c r="H478" s="9" t="str">
        <f ca="1">+WORLDCUP!BD61</f>
        <v>Turquía</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c r="A479" s="9" t="s">
        <v>1264</v>
      </c>
      <c r="B479" s="9">
        <f ca="1">+IF(A479=WORLDCUP!$BI$112,1,0)</f>
        <v>0</v>
      </c>
      <c r="C479" s="9" t="str">
        <f ca="1">+WORLDCUP!BD65</f>
        <v>España</v>
      </c>
      <c r="D479" s="9" t="str">
        <f ca="1">+WORLDCUP!BD64</f>
        <v>Bélgica</v>
      </c>
      <c r="E479" s="9" t="str">
        <f ca="1">+WORLDCUP!BD59</f>
        <v>Bosnia y Herzegovina</v>
      </c>
      <c r="F479" s="9" t="str">
        <f ca="1">+WORLDCUP!BD60</f>
        <v>Marruecos</v>
      </c>
      <c r="G479" s="9" t="str">
        <f ca="1">+WORLDCUP!BD58</f>
        <v>República Checa</v>
      </c>
      <c r="H479" s="9" t="str">
        <f ca="1">+WORLDCUP!BD61</f>
        <v>Turquía</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c r="A480" s="9" t="s">
        <v>1265</v>
      </c>
      <c r="B480" s="9">
        <f ca="1">+IF(A480=WORLDCUP!$BI$112,1,0)</f>
        <v>0</v>
      </c>
      <c r="C480" s="9" t="str">
        <f ca="1">+WORLDCUP!BD65</f>
        <v>España</v>
      </c>
      <c r="D480" s="9" t="str">
        <f ca="1">+WORLDCUP!BD64</f>
        <v>Bélgica</v>
      </c>
      <c r="E480" s="9" t="str">
        <f ca="1">+WORLDCUP!BD59</f>
        <v>Bosnia y Herzegovina</v>
      </c>
      <c r="F480" s="9" t="str">
        <f ca="1">+WORLDCUP!BD60</f>
        <v>Marruecos</v>
      </c>
      <c r="G480" s="9" t="str">
        <f ca="1">+WORLDCUP!BD58</f>
        <v>República Checa</v>
      </c>
      <c r="H480" s="9" t="str">
        <f ca="1">+WORLDCUP!BD61</f>
        <v>Turquía</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c r="A481" s="9" t="s">
        <v>1266</v>
      </c>
      <c r="B481" s="9">
        <f ca="1">+IF(A481=WORLDCUP!$BI$112,1,0)</f>
        <v>0</v>
      </c>
      <c r="C481" s="9" t="str">
        <f ca="1">+WORLDCUP!BD65</f>
        <v>España</v>
      </c>
      <c r="D481" s="9" t="str">
        <f ca="1">+WORLDCUP!BD64</f>
        <v>Bélgica</v>
      </c>
      <c r="E481" s="9" t="str">
        <f ca="1">+WORLDCUP!BD59</f>
        <v>Bosnia y Herzegovina</v>
      </c>
      <c r="F481" s="9" t="str">
        <f ca="1">+WORLDCUP!BD60</f>
        <v>Marruecos</v>
      </c>
      <c r="G481" s="9" t="str">
        <f ca="1">+WORLDCUP!BD58</f>
        <v>República Checa</v>
      </c>
      <c r="H481" s="9" t="str">
        <f ca="1">+WORLDCUP!BD61</f>
        <v>Turquía</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c r="A482" s="9" t="s">
        <v>1267</v>
      </c>
      <c r="B482" s="9">
        <f ca="1">+IF(A482=WORLDCUP!$BI$112,1,0)</f>
        <v>0</v>
      </c>
      <c r="C482" s="9" t="str">
        <f ca="1">+WORLDCUP!BD60</f>
        <v>Marruecos</v>
      </c>
      <c r="D482" s="9" t="str">
        <f ca="1">+WORLDCUP!BD62</f>
        <v>Ecuador</v>
      </c>
      <c r="E482" s="9" t="str">
        <f ca="1">+WORLDCUP!BD59</f>
        <v>Bosnia y Herzegovina</v>
      </c>
      <c r="F482" s="9" t="str">
        <f ca="1">+WORLDCUP!BD61</f>
        <v>Turquía</v>
      </c>
      <c r="G482" s="9" t="str">
        <f ca="1">+WORLDCUP!BD58</f>
        <v>República Checa</v>
      </c>
      <c r="H482" s="9" t="str">
        <f ca="1">+WORLDCUP!BD63</f>
        <v>Japón</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c r="A483" s="9" t="s">
        <v>1268</v>
      </c>
      <c r="B483" s="9">
        <f ca="1">+IF(A483=WORLDCUP!$BI$112,1,0)</f>
        <v>0</v>
      </c>
      <c r="C483" s="9" t="str">
        <f ca="1">+WORLDCUP!BD60</f>
        <v>Marruecos</v>
      </c>
      <c r="D483" s="9" t="str">
        <f ca="1">+WORLDCUP!BD67</f>
        <v>Jordania</v>
      </c>
      <c r="E483" s="9" t="str">
        <f ca="1">+WORLDCUP!BD59</f>
        <v>Bosnia y Herzegovina</v>
      </c>
      <c r="F483" s="9" t="str">
        <f ca="1">+WORLDCUP!BD61</f>
        <v>Turquía</v>
      </c>
      <c r="G483" s="9" t="str">
        <f ca="1">+WORLDCUP!BD58</f>
        <v>República Checa</v>
      </c>
      <c r="H483" s="9" t="str">
        <f ca="1">+WORLDCUP!BD63</f>
        <v>Japón</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c r="A484" s="9" t="s">
        <v>1269</v>
      </c>
      <c r="B484" s="9">
        <f ca="1">+IF(A484=WORLDCUP!$BI$112,1,0)</f>
        <v>0</v>
      </c>
      <c r="C484" s="9" t="str">
        <f ca="1">+WORLDCUP!BD60</f>
        <v>Marruecos</v>
      </c>
      <c r="D484" s="9" t="str">
        <f ca="1">+WORLDCUP!BD67</f>
        <v>Jordania</v>
      </c>
      <c r="E484" s="9" t="str">
        <f ca="1">+WORLDCUP!BD59</f>
        <v>Bosnia y Herzegovina</v>
      </c>
      <c r="F484" s="9" t="str">
        <f ca="1">+WORLDCUP!BD61</f>
        <v>Turquía</v>
      </c>
      <c r="G484" s="9" t="str">
        <f ca="1">+WORLDCUP!BD58</f>
        <v>República Checa</v>
      </c>
      <c r="H484" s="9" t="str">
        <f ca="1">+WORLDCUP!BD63</f>
        <v>Japón</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c r="A485" s="9" t="s">
        <v>1270</v>
      </c>
      <c r="B485" s="9">
        <f ca="1">+IF(A485=WORLDCUP!$BI$112,1,0)</f>
        <v>0</v>
      </c>
      <c r="C485" s="9" t="str">
        <f ca="1">+WORLDCUP!BD60</f>
        <v>Marruecos</v>
      </c>
      <c r="D485" s="9" t="str">
        <f ca="1">+WORLDCUP!BD62</f>
        <v>Ecuador</v>
      </c>
      <c r="E485" s="9" t="str">
        <f ca="1">+WORLDCUP!BD59</f>
        <v>Bosnia y Herzegovina</v>
      </c>
      <c r="F485" s="9" t="str">
        <f ca="1">+WORLDCUP!BD61</f>
        <v>Turquía</v>
      </c>
      <c r="G485" s="9" t="str">
        <f ca="1">+WORLDCUP!BD58</f>
        <v>República Checa</v>
      </c>
      <c r="H485" s="9" t="str">
        <f ca="1">+WORLDCUP!BD63</f>
        <v>Japón</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c r="A486" s="9" t="s">
        <v>1271</v>
      </c>
      <c r="B486" s="9">
        <f ca="1">+IF(A486=WORLDCUP!$BI$112,1,0)</f>
        <v>0</v>
      </c>
      <c r="C486" s="9" t="str">
        <f ca="1">+WORLDCUP!BD60</f>
        <v>Marruecos</v>
      </c>
      <c r="D486" s="9" t="str">
        <f ca="1">+WORLDCUP!BD62</f>
        <v>Ecuador</v>
      </c>
      <c r="E486" s="9" t="str">
        <f ca="1">+WORLDCUP!BD59</f>
        <v>Bosnia y Herzegovina</v>
      </c>
      <c r="F486" s="9" t="str">
        <f ca="1">+WORLDCUP!BD61</f>
        <v>Turquía</v>
      </c>
      <c r="G486" s="9" t="str">
        <f ca="1">+WORLDCUP!BD58</f>
        <v>República Checa</v>
      </c>
      <c r="H486" s="9" t="str">
        <f ca="1">+WORLDCUP!BD63</f>
        <v>Japón</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c r="A487" s="9" t="s">
        <v>1272</v>
      </c>
      <c r="B487" s="9">
        <f ca="1">+IF(A487=WORLDCUP!$BI$112,1,0)</f>
        <v>0</v>
      </c>
      <c r="C487" s="9" t="str">
        <f ca="1">+WORLDCUP!BD60</f>
        <v>Marruecos</v>
      </c>
      <c r="D487" s="9" t="str">
        <f ca="1">+WORLDCUP!BD67</f>
        <v>Jordania</v>
      </c>
      <c r="E487" s="9" t="str">
        <f ca="1">+WORLDCUP!BD59</f>
        <v>Bosnia y Herzegovina</v>
      </c>
      <c r="F487" s="9" t="str">
        <f ca="1">+WORLDCUP!BD61</f>
        <v>Turquía</v>
      </c>
      <c r="G487" s="9" t="str">
        <f ca="1">+WORLDCUP!BD58</f>
        <v>República Checa</v>
      </c>
      <c r="H487" s="9" t="str">
        <f ca="1">+WORLDCUP!BD63</f>
        <v>Japón</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c r="A488" s="9" t="s">
        <v>1273</v>
      </c>
      <c r="B488" s="9">
        <f ca="1">+IF(A488=WORLDCUP!$BI$112,1,0)</f>
        <v>0</v>
      </c>
      <c r="C488" s="9" t="str">
        <f ca="1">+WORLDCUP!BD65</f>
        <v>España</v>
      </c>
      <c r="D488" s="9" t="str">
        <f ca="1">+WORLDCUP!BD63</f>
        <v>Japón</v>
      </c>
      <c r="E488" s="9" t="str">
        <f ca="1">+WORLDCUP!BD59</f>
        <v>Bosnia y Herzegovina</v>
      </c>
      <c r="F488" s="9" t="str">
        <f ca="1">+WORLDCUP!BD60</f>
        <v>Marruecos</v>
      </c>
      <c r="G488" s="9" t="str">
        <f ca="1">+WORLDCUP!BD58</f>
        <v>República Checa</v>
      </c>
      <c r="H488" s="9" t="str">
        <f ca="1">+WORLDCUP!BD61</f>
        <v>Turquía</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c r="A489" s="9" t="s">
        <v>1274</v>
      </c>
      <c r="B489" s="9">
        <f ca="1">+IF(A489=WORLDCUP!$BI$112,1,0)</f>
        <v>0</v>
      </c>
      <c r="C489" s="9" t="str">
        <f ca="1">+WORLDCUP!BD65</f>
        <v>España</v>
      </c>
      <c r="D489" s="9" t="str">
        <f ca="1">+WORLDCUP!BD62</f>
        <v>Ecuador</v>
      </c>
      <c r="E489" s="9" t="str">
        <f ca="1">+WORLDCUP!BD59</f>
        <v>Bosnia y Herzegovina</v>
      </c>
      <c r="F489" s="9" t="str">
        <f ca="1">+WORLDCUP!BD60</f>
        <v>Marruecos</v>
      </c>
      <c r="G489" s="9" t="str">
        <f ca="1">+WORLDCUP!BD58</f>
        <v>República Checa</v>
      </c>
      <c r="H489" s="9" t="str">
        <f ca="1">+WORLDCUP!BD63</f>
        <v>Japón</v>
      </c>
      <c r="I489" s="9" t="str">
        <f ca="1">+WORLDCUP!BD61</f>
        <v>Turquía</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c r="A490" s="9" t="s">
        <v>1275</v>
      </c>
      <c r="B490" s="9">
        <f ca="1">+IF(A490=WORLDCUP!$BI$112,1,0)</f>
        <v>0</v>
      </c>
      <c r="C490" s="9" t="str">
        <f ca="1">+WORLDCUP!BD65</f>
        <v>España</v>
      </c>
      <c r="D490" s="9" t="str">
        <f ca="1">+WORLDCUP!BD67</f>
        <v>Jordania</v>
      </c>
      <c r="E490" s="9" t="str">
        <f ca="1">+WORLDCUP!BD59</f>
        <v>Bosnia y Herzegovina</v>
      </c>
      <c r="F490" s="9" t="str">
        <f ca="1">+WORLDCUP!BD60</f>
        <v>Marruecos</v>
      </c>
      <c r="G490" s="9" t="str">
        <f ca="1">+WORLDCUP!BD58</f>
        <v>República Checa</v>
      </c>
      <c r="H490" s="9" t="str">
        <f ca="1">+WORLDCUP!BD63</f>
        <v>Japón</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c r="A491" s="9" t="s">
        <v>1276</v>
      </c>
      <c r="B491" s="9">
        <f ca="1">+IF(A491=WORLDCUP!$BI$112,1,0)</f>
        <v>0</v>
      </c>
      <c r="C491" s="9" t="str">
        <f ca="1">+WORLDCUP!BD65</f>
        <v>España</v>
      </c>
      <c r="D491" s="9" t="str">
        <f ca="1">+WORLDCUP!BD62</f>
        <v>Ecuador</v>
      </c>
      <c r="E491" s="9" t="str">
        <f ca="1">+WORLDCUP!BD59</f>
        <v>Bosnia y Herzegovina</v>
      </c>
      <c r="F491" s="9" t="str">
        <f ca="1">+WORLDCUP!BD60</f>
        <v>Marruecos</v>
      </c>
      <c r="G491" s="9" t="str">
        <f ca="1">+WORLDCUP!BD58</f>
        <v>República Checa</v>
      </c>
      <c r="H491" s="9" t="str">
        <f ca="1">+WORLDCUP!BD63</f>
        <v>Japón</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c r="A492" s="9" t="s">
        <v>1277</v>
      </c>
      <c r="B492" s="9">
        <f ca="1">+IF(A492=WORLDCUP!$BI$112,1,0)</f>
        <v>0</v>
      </c>
      <c r="C492" s="9" t="str">
        <f ca="1">+WORLDCUP!BD60</f>
        <v>Marruecos</v>
      </c>
      <c r="D492" s="9" t="str">
        <f ca="1">+WORLDCUP!BD64</f>
        <v>Bélgica</v>
      </c>
      <c r="E492" s="9" t="str">
        <f ca="1">+WORLDCUP!BD59</f>
        <v>Bosnia y Herzegovina</v>
      </c>
      <c r="F492" s="9" t="str">
        <f ca="1">+WORLDCUP!BD61</f>
        <v>Turquía</v>
      </c>
      <c r="G492" s="9" t="str">
        <f ca="1">+WORLDCUP!BD58</f>
        <v>República Checa</v>
      </c>
      <c r="H492" s="9" t="str">
        <f ca="1">+WORLDCUP!BD63</f>
        <v>Japón</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c r="A493" s="9" t="s">
        <v>1278</v>
      </c>
      <c r="B493" s="9">
        <f ca="1">+IF(A493=WORLDCUP!$BI$112,1,0)</f>
        <v>0</v>
      </c>
      <c r="C493" s="9" t="str">
        <f ca="1">+WORLDCUP!BD60</f>
        <v>Marruecos</v>
      </c>
      <c r="D493" s="9" t="str">
        <f ca="1">+WORLDCUP!BD64</f>
        <v>Bélgica</v>
      </c>
      <c r="E493" s="9" t="str">
        <f ca="1">+WORLDCUP!BD59</f>
        <v>Bosnia y Herzegovina</v>
      </c>
      <c r="F493" s="9" t="str">
        <f ca="1">+WORLDCUP!BD61</f>
        <v>Turquía</v>
      </c>
      <c r="G493" s="9" t="str">
        <f ca="1">+WORLDCUP!BD58</f>
        <v>República Checa</v>
      </c>
      <c r="H493" s="9" t="str">
        <f ca="1">+WORLDCUP!BD63</f>
        <v>Japón</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c r="A494" s="9" t="s">
        <v>1279</v>
      </c>
      <c r="B494" s="9">
        <f ca="1">+IF(A494=WORLDCUP!$BI$112,1,0)</f>
        <v>0</v>
      </c>
      <c r="C494" s="9" t="str">
        <f ca="1">+WORLDCUP!BD60</f>
        <v>Marruecos</v>
      </c>
      <c r="D494" s="9" t="str">
        <f ca="1">+WORLDCUP!BD64</f>
        <v>Bélgica</v>
      </c>
      <c r="E494" s="9" t="str">
        <f ca="1">+WORLDCUP!BD59</f>
        <v>Bosnia y Herzegovina</v>
      </c>
      <c r="F494" s="9" t="str">
        <f ca="1">+WORLDCUP!BD61</f>
        <v>Turquía</v>
      </c>
      <c r="G494" s="9" t="str">
        <f ca="1">+WORLDCUP!BD58</f>
        <v>República Checa</v>
      </c>
      <c r="H494" s="9" t="str">
        <f ca="1">+WORLDCUP!BD63</f>
        <v>Japón</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c r="A495" s="9" t="s">
        <v>1280</v>
      </c>
      <c r="B495" s="9">
        <f ca="1">+IF(A495=WORLDCUP!$BI$112,1,0)</f>
        <v>0</v>
      </c>
      <c r="C495" s="9" t="str">
        <f ca="1">+WORLDCUP!BD60</f>
        <v>Marruecos</v>
      </c>
      <c r="D495" s="9" t="str">
        <f ca="1">+WORLDCUP!BD64</f>
        <v>Bélgica</v>
      </c>
      <c r="E495" s="9" t="str">
        <f ca="1">+WORLDCUP!BD59</f>
        <v>Bosnia y Herzegovina</v>
      </c>
      <c r="F495" s="9" t="str">
        <f ca="1">+WORLDCUP!BD61</f>
        <v>Turquía</v>
      </c>
      <c r="G495" s="9" t="str">
        <f ca="1">+WORLDCUP!BD58</f>
        <v>República Checa</v>
      </c>
      <c r="H495" s="9" t="str">
        <f ca="1">+WORLDCUP!BD63</f>
        <v>Japón</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c r="A496" s="9" t="s">
        <v>1281</v>
      </c>
      <c r="B496" s="9">
        <f ca="1">+IF(A496=WORLDCUP!$BI$112,1,0)</f>
        <v>0</v>
      </c>
      <c r="C496" s="9" t="str">
        <f ca="1">+WORLDCUP!BD65</f>
        <v>España</v>
      </c>
      <c r="D496" s="9" t="str">
        <f ca="1">+WORLDCUP!BD64</f>
        <v>Bélgica</v>
      </c>
      <c r="E496" s="9" t="str">
        <f ca="1">+WORLDCUP!BD59</f>
        <v>Bosnia y Herzegovina</v>
      </c>
      <c r="F496" s="9" t="str">
        <f ca="1">+WORLDCUP!BD60</f>
        <v>Marruecos</v>
      </c>
      <c r="G496" s="9" t="str">
        <f ca="1">+WORLDCUP!BD58</f>
        <v>República Checa</v>
      </c>
      <c r="H496" s="9" t="str">
        <f ca="1">+WORLDCUP!BD63</f>
        <v>Japón</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10"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77734375" defaultRowHeight="14.4"/>
  <cols>
    <col min="1" max="1" width="3" style="5" customWidth="1"/>
    <col min="2" max="2" width="15.77734375" style="5" customWidth="1"/>
    <col min="3" max="3" width="35.77734375" style="5" customWidth="1"/>
    <col min="4" max="4" width="0.44140625" style="5" customWidth="1"/>
    <col min="5" max="5" width="10.77734375" style="5" customWidth="1"/>
    <col min="6" max="6" width="0.44140625" style="5" customWidth="1"/>
    <col min="7" max="10" width="10.77734375" style="5" customWidth="1"/>
    <col min="11" max="11" width="4" style="5" customWidth="1"/>
    <col min="12" max="12" width="19.109375" style="5" customWidth="1"/>
    <col min="13" max="13" width="10.77734375" style="5" customWidth="1"/>
    <col min="14" max="17" width="15.77734375" style="5" customWidth="1"/>
    <col min="18" max="18" width="22.77734375" style="5" customWidth="1"/>
    <col min="20" max="22" width="10.77734375" style="16" customWidth="1"/>
    <col min="23" max="24" width="10.77734375" style="16" hidden="1" customWidth="1"/>
    <col min="25" max="25" width="10.77734375" style="16" customWidth="1"/>
    <col min="26" max="28" width="10.77734375" style="14" customWidth="1"/>
    <col min="29" max="149" width="10.77734375" style="5" customWidth="1"/>
    <col min="150" max="158" width="10.77734375" style="14" customWidth="1"/>
    <col min="159" max="161" width="10.77734375" style="5" customWidth="1"/>
    <col min="162" max="16384" width="10.77734375" style="5"/>
  </cols>
  <sheetData>
    <row r="1" spans="1:18">
      <c r="A1" s="223"/>
      <c r="B1" s="223"/>
      <c r="C1" s="223"/>
      <c r="D1" s="223"/>
      <c r="E1" s="225"/>
      <c r="F1" s="225"/>
      <c r="G1" s="225"/>
      <c r="H1" s="225"/>
      <c r="I1" s="225"/>
      <c r="J1" s="225"/>
      <c r="K1" s="224"/>
      <c r="L1" s="224"/>
      <c r="M1" s="224"/>
      <c r="N1" s="224"/>
      <c r="O1" s="224"/>
      <c r="P1" s="224"/>
      <c r="Q1" s="224"/>
    </row>
    <row r="2" spans="1:18">
      <c r="A2" s="223"/>
      <c r="B2" s="259" t="str">
        <f>Idiomas!D82</f>
        <v>Limitación de responsabilidad:</v>
      </c>
      <c r="C2" s="226"/>
      <c r="D2" s="226"/>
      <c r="E2" s="227"/>
      <c r="F2" s="227"/>
      <c r="G2" s="227"/>
      <c r="H2" s="227"/>
      <c r="I2" s="227"/>
      <c r="J2" s="227"/>
      <c r="K2" s="224"/>
      <c r="L2" s="259" t="s">
        <v>321</v>
      </c>
      <c r="M2" s="224"/>
      <c r="N2" s="224"/>
      <c r="O2" s="224"/>
      <c r="P2" s="224"/>
      <c r="Q2" s="224"/>
    </row>
    <row r="3" spans="1:18">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c r="A7" s="223"/>
      <c r="B7" s="683"/>
      <c r="C7" s="620"/>
      <c r="D7" s="620"/>
      <c r="E7" s="620"/>
      <c r="F7" s="620"/>
      <c r="G7" s="620"/>
      <c r="H7" s="620"/>
      <c r="I7" s="620"/>
      <c r="J7" s="684"/>
      <c r="K7" s="224"/>
      <c r="L7" s="335"/>
      <c r="M7" s="336"/>
      <c r="N7" s="336"/>
      <c r="O7" s="336"/>
      <c r="P7" s="336"/>
      <c r="Q7" s="336"/>
      <c r="R7" s="337"/>
    </row>
    <row r="8" spans="1:18">
      <c r="A8" s="223"/>
      <c r="B8" s="683"/>
      <c r="C8" s="620"/>
      <c r="D8" s="620"/>
      <c r="E8" s="620"/>
      <c r="F8" s="620"/>
      <c r="G8" s="620"/>
      <c r="H8" s="620"/>
      <c r="I8" s="620"/>
      <c r="J8" s="684"/>
      <c r="K8" s="224"/>
    </row>
    <row r="9" spans="1:18">
      <c r="A9" s="223"/>
      <c r="B9" s="683"/>
      <c r="C9" s="620"/>
      <c r="D9" s="620"/>
      <c r="E9" s="620"/>
      <c r="F9" s="620"/>
      <c r="G9" s="620"/>
      <c r="H9" s="620"/>
      <c r="I9" s="620"/>
      <c r="J9" s="684"/>
      <c r="K9" s="224"/>
      <c r="L9" s="259" t="s">
        <v>309</v>
      </c>
    </row>
    <row r="10" spans="1:18">
      <c r="A10" s="223"/>
      <c r="B10" s="683"/>
      <c r="C10" s="620"/>
      <c r="D10" s="620"/>
      <c r="E10" s="620"/>
      <c r="F10" s="620"/>
      <c r="G10" s="620"/>
      <c r="H10" s="620"/>
      <c r="I10" s="620"/>
      <c r="J10" s="684"/>
      <c r="K10" s="224"/>
      <c r="L10" s="331"/>
      <c r="M10" s="332"/>
      <c r="N10" s="332"/>
      <c r="O10" s="332"/>
      <c r="P10" s="332"/>
      <c r="Q10" s="332"/>
      <c r="R10" s="333"/>
    </row>
    <row r="11" spans="1:18">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c r="A17" s="223"/>
      <c r="B17" s="239"/>
      <c r="C17" s="240"/>
      <c r="D17" s="240"/>
      <c r="E17" s="240"/>
      <c r="F17" s="240"/>
      <c r="G17" s="240"/>
      <c r="H17" s="240"/>
      <c r="I17" s="240"/>
      <c r="J17" s="241"/>
      <c r="K17" s="224"/>
    </row>
    <row r="18" spans="1:158">
      <c r="A18" s="223"/>
      <c r="B18" s="223"/>
      <c r="C18" s="223"/>
      <c r="D18" s="223"/>
      <c r="E18" s="224"/>
      <c r="F18" s="224"/>
      <c r="G18" s="223"/>
      <c r="H18" s="223"/>
      <c r="I18" s="223"/>
      <c r="J18" s="343"/>
      <c r="K18" s="224"/>
      <c r="L18" s="259" t="s">
        <v>478</v>
      </c>
    </row>
    <row r="19" spans="1:158" ht="19.95" customHeight="1">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19.95" customHeight="1">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1.95" customHeight="1">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19.95" customHeight="1">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1.95" customHeight="1">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19.95" customHeight="1">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1.95" customHeight="1">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19.95" customHeight="1">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1.95" customHeight="1">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19.95" customHeight="1">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1.95" customHeight="1">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19.95" customHeight="1">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c r="A32" s="224"/>
      <c r="B32" s="248"/>
      <c r="C32" s="249"/>
      <c r="D32" s="249"/>
      <c r="E32" s="249"/>
      <c r="F32" s="249"/>
      <c r="G32" s="249"/>
      <c r="H32" s="249"/>
      <c r="I32" s="249"/>
      <c r="J32" s="250"/>
      <c r="K32" s="224"/>
      <c r="L32" s="256"/>
      <c r="M32" s="256"/>
      <c r="N32" s="256"/>
      <c r="O32" s="256"/>
      <c r="P32" s="256"/>
      <c r="Q32" s="256"/>
      <c r="R32" s="256"/>
    </row>
    <row r="33" spans="1:17" ht="16.05" customHeight="1" thickBot="1">
      <c r="A33" s="224"/>
      <c r="K33" s="224"/>
    </row>
    <row r="34" spans="1:17" ht="28.05" customHeight="1" thickBot="1">
      <c r="A34" s="224"/>
      <c r="B34" s="677" t="str">
        <f>HYPERLINK(Idiomas!D10,Idiomas!D9)</f>
        <v>▼ Descargar Excel Administrador Porra ▼</v>
      </c>
      <c r="C34" s="678"/>
      <c r="D34" s="678"/>
      <c r="E34" s="678"/>
      <c r="F34" s="678"/>
      <c r="G34" s="678"/>
      <c r="H34" s="678"/>
      <c r="I34" s="678"/>
      <c r="J34" s="679"/>
      <c r="K34" s="224"/>
      <c r="L34" s="282" t="s">
        <v>229</v>
      </c>
    </row>
    <row r="35" spans="1:17">
      <c r="A35" s="224"/>
      <c r="C35" s="224"/>
      <c r="D35" s="224"/>
      <c r="E35" s="224"/>
      <c r="F35" s="224"/>
      <c r="G35" s="224"/>
      <c r="H35" s="224"/>
      <c r="I35" s="224"/>
      <c r="J35" s="224"/>
      <c r="K35" s="224"/>
      <c r="L35" s="224"/>
      <c r="M35" s="223"/>
      <c r="N35" s="224"/>
      <c r="O35" s="224"/>
      <c r="P35" s="224"/>
      <c r="Q35" s="224"/>
    </row>
    <row r="36" spans="1:17" ht="28.05" customHeight="1">
      <c r="A36" s="224"/>
      <c r="D36" s="224"/>
      <c r="E36" s="224"/>
      <c r="F36" s="224"/>
      <c r="G36" s="224"/>
      <c r="H36" s="224"/>
      <c r="I36" s="224"/>
      <c r="J36" s="224"/>
      <c r="K36" s="224"/>
      <c r="L36" s="224"/>
      <c r="M36" s="223"/>
      <c r="N36" s="224"/>
      <c r="O36" s="224"/>
      <c r="P36" s="224"/>
      <c r="Q36" s="224"/>
    </row>
    <row r="37" spans="1:17" ht="15" customHeight="1">
      <c r="A37" s="224"/>
      <c r="K37" s="224"/>
      <c r="L37" s="224"/>
      <c r="M37" s="223"/>
      <c r="N37" s="224"/>
      <c r="O37" s="224"/>
      <c r="P37" s="224"/>
      <c r="Q37" s="224"/>
    </row>
    <row r="38" spans="1:17" ht="34.049999999999997" customHeight="1">
      <c r="A38" s="224"/>
      <c r="B38" s="224"/>
      <c r="D38" s="224"/>
      <c r="E38" s="224"/>
      <c r="F38" s="224"/>
      <c r="G38" s="224"/>
      <c r="H38" s="224"/>
      <c r="I38" s="224"/>
      <c r="J38" s="224"/>
      <c r="K38" s="224"/>
      <c r="M38" s="224"/>
      <c r="N38" s="224"/>
      <c r="O38" s="224"/>
      <c r="P38" s="224"/>
      <c r="Q38" s="224"/>
    </row>
    <row r="39" spans="1:17">
      <c r="A39" s="224"/>
      <c r="B39" s="224"/>
      <c r="C39" s="224"/>
      <c r="D39" s="224"/>
      <c r="E39" s="224"/>
      <c r="F39" s="224"/>
      <c r="G39" s="224"/>
      <c r="H39" s="224"/>
      <c r="I39" s="224"/>
      <c r="J39" s="224"/>
      <c r="K39" s="224"/>
      <c r="L39" s="224"/>
      <c r="M39" s="224"/>
      <c r="N39" s="224"/>
      <c r="O39" s="224"/>
      <c r="P39" s="224"/>
      <c r="Q39" s="224"/>
    </row>
    <row r="40" spans="1:17">
      <c r="A40" s="224"/>
      <c r="B40" s="224"/>
      <c r="C40" s="224"/>
      <c r="D40" s="224"/>
      <c r="E40" s="224"/>
      <c r="F40" s="224"/>
      <c r="G40" s="224"/>
      <c r="H40" s="224"/>
      <c r="I40" s="224"/>
      <c r="J40" s="224"/>
      <c r="K40" s="224"/>
      <c r="L40" s="224"/>
      <c r="M40" s="224"/>
      <c r="N40" s="224"/>
      <c r="O40" s="224"/>
      <c r="P40" s="224"/>
      <c r="Q40" s="224"/>
    </row>
    <row r="41" spans="1:17">
      <c r="A41" s="224"/>
      <c r="B41" s="224"/>
      <c r="C41" s="224"/>
      <c r="D41" s="224"/>
      <c r="E41" s="224"/>
      <c r="F41" s="224"/>
      <c r="G41" s="224"/>
      <c r="H41" s="224"/>
      <c r="I41" s="224"/>
      <c r="J41" s="224"/>
      <c r="K41" s="224"/>
      <c r="L41" s="224"/>
      <c r="M41" s="224"/>
      <c r="N41" s="224"/>
      <c r="O41" s="224"/>
      <c r="P41" s="224"/>
      <c r="Q41" s="224"/>
    </row>
    <row r="45" spans="1:17">
      <c r="B45" s="224"/>
    </row>
    <row r="83" spans="12:28">
      <c r="L83" s="3"/>
      <c r="M83" s="3"/>
      <c r="N83" s="3"/>
      <c r="O83" s="570"/>
      <c r="P83" s="6"/>
      <c r="Q83" s="6"/>
      <c r="R83" s="6"/>
      <c r="U83" s="9"/>
      <c r="V83" s="9"/>
      <c r="W83" s="9"/>
      <c r="X83" s="9"/>
      <c r="Y83" s="9"/>
      <c r="Z83" s="6"/>
      <c r="AA83" s="6"/>
      <c r="AB83" s="6"/>
    </row>
    <row r="84" spans="12:28" ht="60" customHeight="1">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c r="L88" s="3"/>
      <c r="M88" s="3"/>
      <c r="N88" s="3"/>
      <c r="O88" s="6"/>
      <c r="P88" s="6"/>
      <c r="Q88" s="6"/>
      <c r="R88" s="6"/>
      <c r="T88" s="16" t="s">
        <v>1303</v>
      </c>
      <c r="U88" s="9" t="s">
        <v>1304</v>
      </c>
      <c r="V88" s="9" t="s">
        <v>1305</v>
      </c>
      <c r="W88" s="9" t="s">
        <v>1306</v>
      </c>
      <c r="X88" s="571" t="e">
        <v>#VALUE!</v>
      </c>
      <c r="Y88" s="9">
        <v>4</v>
      </c>
      <c r="Z88" s="6"/>
      <c r="AA88" s="6"/>
      <c r="AB88" s="6"/>
    </row>
    <row r="89" spans="12:28" ht="16.05" customHeight="1">
      <c r="L89" s="3"/>
      <c r="M89" s="3"/>
      <c r="N89" s="3"/>
      <c r="O89" s="6"/>
      <c r="P89" s="6"/>
      <c r="Q89" s="6"/>
      <c r="R89" s="6"/>
      <c r="T89" s="16" t="s">
        <v>1307</v>
      </c>
      <c r="U89" s="9" t="s">
        <v>1308</v>
      </c>
      <c r="V89" s="9" t="s">
        <v>1308</v>
      </c>
      <c r="W89" s="572" t="s">
        <v>1309</v>
      </c>
      <c r="X89" s="571" t="e">
        <v>#VALUE!</v>
      </c>
      <c r="Y89" s="9">
        <v>-4</v>
      </c>
      <c r="Z89" s="6"/>
      <c r="AA89" s="6"/>
      <c r="AB89" s="6"/>
    </row>
    <row r="90" spans="12:28" ht="16.05" customHeight="1">
      <c r="L90" s="3"/>
      <c r="M90" s="3"/>
      <c r="N90" s="3"/>
      <c r="O90" s="6"/>
      <c r="P90" s="6"/>
      <c r="Q90" s="6"/>
      <c r="R90" s="6"/>
      <c r="T90" s="16" t="s">
        <v>1310</v>
      </c>
      <c r="U90" s="9" t="s">
        <v>1311</v>
      </c>
      <c r="V90" s="9" t="s">
        <v>1312</v>
      </c>
      <c r="W90" s="573" t="s">
        <v>1313</v>
      </c>
      <c r="X90" s="571" t="e">
        <v>#VALUE!</v>
      </c>
      <c r="Y90" s="9">
        <v>-3</v>
      </c>
      <c r="Z90" s="6"/>
      <c r="AA90" s="6"/>
      <c r="AB90" s="6"/>
    </row>
    <row r="91" spans="12:28">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05" customHeight="1">
      <c r="L92" s="3"/>
      <c r="M92" s="3"/>
      <c r="N92" s="397" t="s">
        <v>1294</v>
      </c>
      <c r="O92" s="397" t="s">
        <v>1295</v>
      </c>
      <c r="P92" s="397" t="s">
        <v>1315</v>
      </c>
      <c r="Q92" s="397" t="s">
        <v>1316</v>
      </c>
      <c r="R92" s="397" t="s">
        <v>1297</v>
      </c>
      <c r="Z92" s="6"/>
      <c r="AA92" s="6"/>
      <c r="AB92" s="6"/>
    </row>
    <row r="93" spans="12:28" ht="25.05" customHeight="1">
      <c r="L93" s="3"/>
      <c r="M93" s="9" t="s">
        <v>1314</v>
      </c>
      <c r="N93" s="574" t="s">
        <v>1317</v>
      </c>
      <c r="O93" s="574" t="s">
        <v>1318</v>
      </c>
      <c r="P93" s="574"/>
      <c r="Q93" s="574"/>
      <c r="R93" s="574"/>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1319</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9" priority="1">
      <formula>$J$18=1</formula>
    </cfRule>
  </conditionalFormatting>
  <conditionalFormatting sqref="M84:R84 M87">
    <cfRule type="expression" dxfId="8" priority="2">
      <formula>$J$18=1</formula>
    </cfRule>
  </conditionalFormatting>
  <conditionalFormatting sqref="N92:R93">
    <cfRule type="expression" dxfId="7"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4140625" defaultRowHeight="15" customHeight="1"/>
  <cols>
    <col min="1" max="1" width="6.77734375" style="6" bestFit="1" customWidth="1"/>
    <col min="2" max="2" width="16.77734375" style="6" customWidth="1"/>
    <col min="3" max="3" width="11.44140625" style="6" customWidth="1"/>
    <col min="4" max="4" width="8.77734375" style="6" bestFit="1" customWidth="1"/>
    <col min="5" max="5" width="11.33203125" style="6" customWidth="1"/>
    <col min="6" max="6" width="15.33203125" style="6" customWidth="1"/>
    <col min="7" max="7" width="4.109375" style="6" bestFit="1" customWidth="1"/>
    <col min="8" max="8" width="20.44140625" style="6" customWidth="1"/>
    <col min="9" max="9" width="13" style="6" customWidth="1"/>
    <col min="10" max="10" width="12" style="6" customWidth="1"/>
    <col min="11" max="11" width="20.44140625" style="6" customWidth="1"/>
    <col min="12" max="13" width="0" style="6" hidden="1"/>
    <col min="14" max="14" width="4.44140625" style="602" customWidth="1"/>
    <col min="15" max="17" width="20.44140625" style="603" customWidth="1"/>
    <col min="18" max="16384" width="20.44140625" style="603"/>
  </cols>
  <sheetData>
    <row r="1" spans="1:18 8826:8826" ht="15" customHeight="1">
      <c r="A1" s="397" t="s">
        <v>1402</v>
      </c>
      <c r="B1" s="397" t="s">
        <v>15</v>
      </c>
      <c r="C1" s="397" t="s">
        <v>327</v>
      </c>
      <c r="D1" s="397" t="s">
        <v>1403</v>
      </c>
      <c r="E1" s="9"/>
      <c r="F1" s="9" t="s">
        <v>1404</v>
      </c>
      <c r="G1" s="9"/>
      <c r="H1" s="397"/>
      <c r="I1" s="397"/>
      <c r="J1" s="9"/>
      <c r="K1" s="9" t="s">
        <v>402</v>
      </c>
      <c r="L1" s="9" t="s">
        <v>1405</v>
      </c>
      <c r="M1" s="9"/>
    </row>
    <row r="2" spans="1:18 8826:8826" ht="15" customHeight="1">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77734375" defaultRowHeight="14.4"/>
  <cols>
    <col min="1" max="1" width="13.109375" style="14" bestFit="1" customWidth="1"/>
    <col min="2" max="2" width="5" style="14" customWidth="1"/>
    <col min="3" max="3" width="12.44140625" style="14" customWidth="1"/>
    <col min="4" max="4" width="13.109375" style="14" customWidth="1"/>
    <col min="5" max="5" width="12.33203125" style="14" bestFit="1" customWidth="1"/>
    <col min="6" max="6" width="10.77734375" style="14" customWidth="1"/>
    <col min="7" max="7" width="12.33203125" style="14" bestFit="1" customWidth="1"/>
    <col min="8" max="9" width="10.77734375" style="14" customWidth="1"/>
    <col min="10" max="10" width="13.44140625" style="14" customWidth="1"/>
    <col min="11" max="15" width="10.77734375" style="14" customWidth="1"/>
    <col min="16" max="16" width="4.77734375" style="14" bestFit="1" customWidth="1"/>
    <col min="17" max="17" width="17.77734375" style="14" bestFit="1" customWidth="1"/>
    <col min="18" max="18" width="11.109375" style="14" bestFit="1" customWidth="1"/>
    <col min="19" max="19" width="11" style="14" bestFit="1" customWidth="1"/>
    <col min="20" max="20" width="10.33203125" style="14" bestFit="1" customWidth="1"/>
    <col min="21" max="21" width="10.44140625" style="14" customWidth="1"/>
    <col min="22" max="22" width="10.33203125" style="14" customWidth="1"/>
    <col min="23" max="23" width="3.33203125" style="14" bestFit="1" customWidth="1"/>
    <col min="24" max="26" width="10.77734375" style="14" customWidth="1"/>
    <col min="27" max="27" width="6.44140625" style="14" customWidth="1"/>
    <col min="28" max="33" width="10.77734375" style="14" customWidth="1"/>
    <col min="34" max="34" width="3.33203125" style="14" bestFit="1" customWidth="1"/>
    <col min="35" max="37" width="10.77734375" style="14" customWidth="1"/>
    <col min="38" max="16384" width="10.77734375" style="14"/>
  </cols>
  <sheetData>
    <row r="1" spans="1:35">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05" customHeight="1">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05" customHeight="1">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05" customHeight="1">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05" customHeight="1">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05" customHeight="1">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05" customHeight="1">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05" customHeight="1">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05" customHeight="1">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05" customHeight="1">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05" customHeight="1">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05" customHeight="1">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05" customHeight="1">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05" customHeight="1">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05" customHeight="1">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05" customHeight="1">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05" customHeight="1">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05" customHeight="1">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05" customHeight="1">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05" customHeight="1">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05" customHeight="1">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05" customHeight="1">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05" customHeight="1">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05" customHeight="1">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05" customHeight="1">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05" customHeight="1">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05" customHeight="1">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05" customHeight="1">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05" customHeight="1">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05" customHeight="1">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05" customHeight="1">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05" customHeight="1">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05" customHeight="1">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05" customHeight="1">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05" customHeight="1">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05" customHeight="1">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05" customHeight="1">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05" customHeight="1">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05" customHeight="1">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05" customHeight="1">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05" customHeight="1">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05" customHeight="1">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05" customHeight="1">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c r="A87" s="581">
        <v>46196.916666666657</v>
      </c>
      <c r="B87" s="16"/>
      <c r="C87" s="581">
        <f t="shared" ca="1" si="35"/>
        <v>46196.916666666657</v>
      </c>
      <c r="D87" s="608"/>
    </row>
    <row r="88" spans="1:35">
      <c r="A88" s="581">
        <v>46200.8125</v>
      </c>
      <c r="B88" s="16"/>
      <c r="C88" s="581">
        <f t="shared" ca="1" si="35"/>
        <v>46200.8125</v>
      </c>
      <c r="D88" s="608"/>
    </row>
    <row r="89" spans="1:35">
      <c r="A89" s="581">
        <v>46200.8125</v>
      </c>
      <c r="B89" s="16"/>
      <c r="C89" s="581">
        <f t="shared" ca="1" si="35"/>
        <v>46200.8125</v>
      </c>
      <c r="D89" s="608"/>
    </row>
    <row r="90" spans="1:35">
      <c r="A90" s="16"/>
      <c r="B90" s="16"/>
      <c r="C90" s="581"/>
    </row>
    <row r="91" spans="1:35">
      <c r="A91" s="9" t="s">
        <v>1509</v>
      </c>
      <c r="B91" s="16"/>
      <c r="C91" s="581"/>
    </row>
    <row r="92" spans="1:35">
      <c r="A92" s="581">
        <v>46190.666666666657</v>
      </c>
      <c r="B92" s="16"/>
      <c r="C92" s="581">
        <f t="shared" ref="C92:C97" ca="1" si="36">A92+INDEX($V$3:$V$86,MATCH($C$3,$P$3:$P$86,0))*INDEX($W$3:$W$86,MATCH($C$3,$P$3:$P$86,0))</f>
        <v>46190.666666666657</v>
      </c>
      <c r="D92" s="608"/>
    </row>
    <row r="93" spans="1:35">
      <c r="A93" s="581">
        <v>46190.791666666657</v>
      </c>
      <c r="B93" s="16"/>
      <c r="C93" s="581">
        <f t="shared" ca="1" si="36"/>
        <v>46190.791666666657</v>
      </c>
      <c r="D93" s="608"/>
    </row>
    <row r="94" spans="1:35">
      <c r="A94" s="581">
        <v>46196.666666666657</v>
      </c>
      <c r="B94" s="16"/>
      <c r="C94" s="581">
        <f t="shared" ca="1" si="36"/>
        <v>46196.666666666657</v>
      </c>
      <c r="D94" s="608"/>
    </row>
    <row r="95" spans="1:35">
      <c r="A95" s="581">
        <v>46196.791666666657</v>
      </c>
      <c r="B95" s="16"/>
      <c r="C95" s="581">
        <f t="shared" ca="1" si="36"/>
        <v>46196.791666666657</v>
      </c>
      <c r="D95" s="608"/>
    </row>
    <row r="96" spans="1:35">
      <c r="A96" s="581">
        <v>46200.708333333343</v>
      </c>
      <c r="B96" s="16"/>
      <c r="C96" s="581">
        <f t="shared" ca="1" si="36"/>
        <v>46200.708333333343</v>
      </c>
      <c r="D96" s="608"/>
    </row>
    <row r="97" spans="1:10">
      <c r="A97" s="581">
        <v>46200.708333333343</v>
      </c>
      <c r="B97" s="16"/>
      <c r="C97" s="581">
        <f t="shared" ca="1" si="36"/>
        <v>46200.708333333343</v>
      </c>
      <c r="D97" s="608"/>
    </row>
    <row r="98" spans="1:10">
      <c r="A98" s="16"/>
      <c r="B98" s="16"/>
      <c r="C98" s="16"/>
    </row>
    <row r="99" spans="1:10">
      <c r="A99" s="16"/>
      <c r="B99" s="16"/>
      <c r="C99" s="16"/>
    </row>
    <row r="100" spans="1:10">
      <c r="A100" s="612" t="s">
        <v>1510</v>
      </c>
      <c r="B100" s="16"/>
      <c r="C100" s="581"/>
      <c r="F100" s="16" t="s">
        <v>1511</v>
      </c>
      <c r="G100" s="16"/>
      <c r="I100" s="16" t="s">
        <v>1512</v>
      </c>
      <c r="J100" s="16"/>
    </row>
    <row r="101" spans="1:10">
      <c r="A101" s="581">
        <v>46201.625</v>
      </c>
      <c r="B101" s="16"/>
      <c r="C101" s="581">
        <f t="shared" ref="C101:C116" ca="1" si="37">A101+INDEX($V$3:$V$86,MATCH($C$3,$P$3:$P$86,0))*INDEX($W$3:$W$86,MATCH($C$3,$P$3:$P$86,0))</f>
        <v>46201.625</v>
      </c>
      <c r="F101" s="16">
        <v>73</v>
      </c>
      <c r="G101" s="581">
        <v>46201.625</v>
      </c>
      <c r="I101" s="16">
        <v>73</v>
      </c>
      <c r="J101" s="581">
        <v>46201.625</v>
      </c>
    </row>
    <row r="102" spans="1:10">
      <c r="A102" s="581">
        <v>46202.541666666657</v>
      </c>
      <c r="B102" s="16"/>
      <c r="C102" s="581">
        <f t="shared" ca="1" si="37"/>
        <v>46202.541666666657</v>
      </c>
      <c r="F102" s="16">
        <v>76</v>
      </c>
      <c r="G102" s="581">
        <v>46202.541666666657</v>
      </c>
      <c r="I102" s="16">
        <v>74</v>
      </c>
      <c r="J102" s="581">
        <v>46202.6875</v>
      </c>
    </row>
    <row r="103" spans="1:10">
      <c r="A103" s="581">
        <v>46202.6875</v>
      </c>
      <c r="B103" s="16"/>
      <c r="C103" s="581">
        <f t="shared" ca="1" si="37"/>
        <v>46202.6875</v>
      </c>
      <c r="F103" s="16">
        <v>74</v>
      </c>
      <c r="G103" s="581">
        <v>46202.6875</v>
      </c>
      <c r="I103" s="16">
        <v>75</v>
      </c>
      <c r="J103" s="581">
        <v>46202.875</v>
      </c>
    </row>
    <row r="104" spans="1:10">
      <c r="A104" s="581">
        <v>46202.875</v>
      </c>
      <c r="B104" s="16"/>
      <c r="C104" s="581">
        <f t="shared" ca="1" si="37"/>
        <v>46202.875</v>
      </c>
      <c r="F104" s="16">
        <v>75</v>
      </c>
      <c r="G104" s="581">
        <v>46202.875</v>
      </c>
      <c r="I104" s="16">
        <v>76</v>
      </c>
      <c r="J104" s="581">
        <v>46202.541666666657</v>
      </c>
    </row>
    <row r="105" spans="1:10">
      <c r="A105" s="581">
        <v>46203.541666666657</v>
      </c>
      <c r="B105" s="16"/>
      <c r="C105" s="581">
        <f t="shared" ca="1" si="37"/>
        <v>46203.541666666657</v>
      </c>
      <c r="F105" s="16">
        <v>78</v>
      </c>
      <c r="G105" s="581">
        <v>46203.541666666657</v>
      </c>
      <c r="I105" s="16">
        <v>77</v>
      </c>
      <c r="J105" s="581">
        <v>46203.708333333343</v>
      </c>
    </row>
    <row r="106" spans="1:10">
      <c r="A106" s="581">
        <v>46203.708333333343</v>
      </c>
      <c r="B106" s="16"/>
      <c r="C106" s="581">
        <f t="shared" ca="1" si="37"/>
        <v>46203.708333333343</v>
      </c>
      <c r="F106" s="16">
        <v>77</v>
      </c>
      <c r="G106" s="581">
        <v>46203.708333333343</v>
      </c>
      <c r="I106" s="16">
        <v>78</v>
      </c>
      <c r="J106" s="581">
        <v>46203.541666666657</v>
      </c>
    </row>
    <row r="107" spans="1:10">
      <c r="A107" s="581">
        <v>46203.875</v>
      </c>
      <c r="B107" s="16"/>
      <c r="C107" s="581">
        <f t="shared" ca="1" si="37"/>
        <v>46203.875</v>
      </c>
      <c r="F107" s="16">
        <v>79</v>
      </c>
      <c r="G107" s="581">
        <v>46203.875</v>
      </c>
      <c r="I107" s="16">
        <v>79</v>
      </c>
      <c r="J107" s="581">
        <v>46203.875</v>
      </c>
    </row>
    <row r="108" spans="1:10">
      <c r="A108" s="581">
        <v>46204.5</v>
      </c>
      <c r="B108" s="16"/>
      <c r="C108" s="581">
        <f t="shared" ca="1" si="37"/>
        <v>46204.5</v>
      </c>
      <c r="F108" s="16">
        <v>80</v>
      </c>
      <c r="G108" s="581">
        <v>46204.5</v>
      </c>
      <c r="I108" s="16">
        <v>80</v>
      </c>
      <c r="J108" s="581">
        <v>46204.5</v>
      </c>
    </row>
    <row r="109" spans="1:10">
      <c r="A109" s="581">
        <v>46204.666666666657</v>
      </c>
      <c r="B109" s="16"/>
      <c r="C109" s="581">
        <f t="shared" ca="1" si="37"/>
        <v>46204.666666666657</v>
      </c>
      <c r="F109" s="16">
        <v>82</v>
      </c>
      <c r="G109" s="581">
        <v>46204.666666666657</v>
      </c>
      <c r="I109" s="16">
        <v>81</v>
      </c>
      <c r="J109" s="581">
        <v>46204.833333333343</v>
      </c>
    </row>
    <row r="110" spans="1:10">
      <c r="A110" s="581">
        <v>46204.833333333343</v>
      </c>
      <c r="B110" s="16"/>
      <c r="C110" s="581">
        <f t="shared" ca="1" si="37"/>
        <v>46204.833333333343</v>
      </c>
      <c r="F110" s="16">
        <v>81</v>
      </c>
      <c r="G110" s="581">
        <v>46204.833333333343</v>
      </c>
      <c r="I110" s="16">
        <v>82</v>
      </c>
      <c r="J110" s="581">
        <v>46204.666666666657</v>
      </c>
    </row>
    <row r="111" spans="1:10">
      <c r="A111" s="581">
        <v>46205.625</v>
      </c>
      <c r="B111" s="16"/>
      <c r="C111" s="581">
        <f t="shared" ca="1" si="37"/>
        <v>46205.625</v>
      </c>
      <c r="F111" s="16">
        <v>84</v>
      </c>
      <c r="G111" s="581">
        <v>46205.625</v>
      </c>
      <c r="I111" s="16">
        <v>83</v>
      </c>
      <c r="J111" s="581">
        <v>46205.791666666657</v>
      </c>
    </row>
    <row r="112" spans="1:10">
      <c r="A112" s="581">
        <v>46205.791666666657</v>
      </c>
      <c r="B112" s="16"/>
      <c r="C112" s="581">
        <f t="shared" ca="1" si="37"/>
        <v>46205.791666666657</v>
      </c>
      <c r="F112" s="16">
        <v>83</v>
      </c>
      <c r="G112" s="581">
        <v>46205.791666666657</v>
      </c>
      <c r="I112" s="16">
        <v>84</v>
      </c>
      <c r="J112" s="581">
        <v>46205.625</v>
      </c>
    </row>
    <row r="113" spans="1:10">
      <c r="A113" s="581">
        <v>46205.958333333343</v>
      </c>
      <c r="B113" s="16"/>
      <c r="C113" s="581">
        <f t="shared" ca="1" si="37"/>
        <v>46205.958333333343</v>
      </c>
      <c r="F113" s="16">
        <v>85</v>
      </c>
      <c r="G113" s="581">
        <v>46205.958333333343</v>
      </c>
      <c r="I113" s="16">
        <v>85</v>
      </c>
      <c r="J113" s="581">
        <v>46205.958333333343</v>
      </c>
    </row>
    <row r="114" spans="1:10">
      <c r="A114" s="581">
        <v>46206.583333333343</v>
      </c>
      <c r="B114" s="16"/>
      <c r="C114" s="581">
        <f t="shared" ca="1" si="37"/>
        <v>46206.583333333343</v>
      </c>
      <c r="F114" s="16">
        <v>88</v>
      </c>
      <c r="G114" s="581">
        <v>46206.583333333343</v>
      </c>
      <c r="I114" s="16">
        <v>86</v>
      </c>
      <c r="J114" s="581">
        <v>46206.75</v>
      </c>
    </row>
    <row r="115" spans="1:10">
      <c r="A115" s="581">
        <v>46206.75</v>
      </c>
      <c r="B115" s="16"/>
      <c r="C115" s="581">
        <f t="shared" ca="1" si="37"/>
        <v>46206.75</v>
      </c>
      <c r="F115" s="16">
        <v>86</v>
      </c>
      <c r="G115" s="581">
        <v>46206.75</v>
      </c>
      <c r="I115" s="16">
        <v>87</v>
      </c>
      <c r="J115" s="581">
        <v>46206.895833333343</v>
      </c>
    </row>
    <row r="116" spans="1:10">
      <c r="A116" s="581">
        <v>46206.895833333343</v>
      </c>
      <c r="B116" s="16"/>
      <c r="C116" s="581">
        <f t="shared" ca="1" si="37"/>
        <v>46206.895833333343</v>
      </c>
      <c r="F116" s="16">
        <v>87</v>
      </c>
      <c r="G116" s="581">
        <v>46206.895833333343</v>
      </c>
      <c r="I116" s="16">
        <v>88</v>
      </c>
      <c r="J116" s="581">
        <v>46206.583333333343</v>
      </c>
    </row>
    <row r="117" spans="1:10">
      <c r="A117" s="16"/>
      <c r="B117" s="16"/>
      <c r="C117" s="581"/>
      <c r="F117" s="16"/>
      <c r="G117" s="581"/>
      <c r="I117" s="16"/>
      <c r="J117" s="16"/>
    </row>
    <row r="118" spans="1:10">
      <c r="A118" s="16"/>
      <c r="B118" s="16"/>
      <c r="C118" s="581"/>
      <c r="F118" s="16"/>
      <c r="G118" s="581"/>
      <c r="I118" s="16"/>
      <c r="J118" s="16"/>
    </row>
    <row r="119" spans="1:10">
      <c r="A119" s="612" t="s">
        <v>1513</v>
      </c>
      <c r="B119" s="16"/>
      <c r="C119" s="16"/>
      <c r="F119" s="16"/>
      <c r="G119" s="581"/>
      <c r="I119" s="16"/>
      <c r="J119" s="16"/>
    </row>
    <row r="120" spans="1:10">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c r="A121" s="581">
        <v>46207.708333333343</v>
      </c>
      <c r="B121" s="16"/>
      <c r="C121" s="581">
        <f t="shared" ca="1" si="38"/>
        <v>46207.708333333343</v>
      </c>
      <c r="D121" s="608"/>
      <c r="F121" s="16">
        <v>89</v>
      </c>
      <c r="G121" s="581">
        <v>46207.708333333343</v>
      </c>
      <c r="I121" s="16">
        <v>90</v>
      </c>
      <c r="J121" s="581">
        <v>46207.541666666657</v>
      </c>
    </row>
    <row r="122" spans="1:10">
      <c r="A122" s="581">
        <v>46208.666666666657</v>
      </c>
      <c r="B122" s="16"/>
      <c r="C122" s="581">
        <f t="shared" ca="1" si="38"/>
        <v>46208.666666666657</v>
      </c>
      <c r="D122" s="608"/>
      <c r="F122" s="16">
        <v>91</v>
      </c>
      <c r="G122" s="581">
        <v>46208.666666666657</v>
      </c>
      <c r="I122" s="16">
        <v>91</v>
      </c>
      <c r="J122" s="581">
        <v>46208.666666666657</v>
      </c>
    </row>
    <row r="123" spans="1:10">
      <c r="A123" s="581">
        <v>46208.833333333343</v>
      </c>
      <c r="B123" s="16"/>
      <c r="C123" s="581">
        <f t="shared" ca="1" si="38"/>
        <v>46208.833333333343</v>
      </c>
      <c r="D123" s="608"/>
      <c r="F123" s="16">
        <v>92</v>
      </c>
      <c r="G123" s="581">
        <v>46208.833333333343</v>
      </c>
      <c r="I123" s="16">
        <v>92</v>
      </c>
      <c r="J123" s="581">
        <v>46208.833333333343</v>
      </c>
    </row>
    <row r="124" spans="1:10">
      <c r="A124" s="581">
        <v>46209.625</v>
      </c>
      <c r="B124" s="16"/>
      <c r="C124" s="581">
        <f t="shared" ca="1" si="38"/>
        <v>46209.625</v>
      </c>
      <c r="D124" s="608"/>
      <c r="F124" s="16">
        <v>93</v>
      </c>
      <c r="G124" s="581">
        <v>46209.625</v>
      </c>
      <c r="I124" s="16">
        <v>93</v>
      </c>
      <c r="J124" s="581">
        <v>46209.625</v>
      </c>
    </row>
    <row r="125" spans="1:10">
      <c r="A125" s="581">
        <v>46209.833333333343</v>
      </c>
      <c r="B125" s="16"/>
      <c r="C125" s="581">
        <f t="shared" ca="1" si="38"/>
        <v>46209.833333333343</v>
      </c>
      <c r="D125" s="608"/>
      <c r="F125" s="16">
        <v>94</v>
      </c>
      <c r="G125" s="581">
        <v>46209.833333333343</v>
      </c>
      <c r="I125" s="16">
        <v>94</v>
      </c>
      <c r="J125" s="581">
        <v>46209.833333333343</v>
      </c>
    </row>
    <row r="126" spans="1:10">
      <c r="A126" s="581">
        <v>46210.5</v>
      </c>
      <c r="B126" s="16"/>
      <c r="C126" s="581">
        <f t="shared" ca="1" si="38"/>
        <v>46210.5</v>
      </c>
      <c r="D126" s="608"/>
      <c r="F126" s="16">
        <v>95</v>
      </c>
      <c r="G126" s="581">
        <v>46210.5</v>
      </c>
      <c r="I126" s="16">
        <v>95</v>
      </c>
      <c r="J126" s="581">
        <v>46210.5</v>
      </c>
    </row>
    <row r="127" spans="1:10">
      <c r="A127" s="581">
        <v>46210.666666666657</v>
      </c>
      <c r="B127" s="16"/>
      <c r="C127" s="581">
        <f t="shared" ca="1" si="38"/>
        <v>46210.666666666657</v>
      </c>
      <c r="D127" s="608"/>
      <c r="F127" s="16">
        <v>96</v>
      </c>
      <c r="G127" s="581">
        <v>46210.666666666657</v>
      </c>
      <c r="I127" s="16">
        <v>96</v>
      </c>
      <c r="J127" s="581">
        <v>46210.666666666657</v>
      </c>
    </row>
    <row r="128" spans="1:10">
      <c r="A128" s="16"/>
      <c r="B128" s="16"/>
      <c r="C128" s="16"/>
      <c r="F128" s="16"/>
      <c r="G128" s="581"/>
      <c r="I128" s="16"/>
      <c r="J128" s="16"/>
    </row>
    <row r="129" spans="1:10">
      <c r="A129" s="16"/>
      <c r="B129" s="16"/>
      <c r="C129" s="16"/>
      <c r="F129" s="16"/>
      <c r="G129" s="581"/>
      <c r="I129" s="16"/>
      <c r="J129" s="16"/>
    </row>
    <row r="130" spans="1:10">
      <c r="A130" s="612" t="s">
        <v>1514</v>
      </c>
      <c r="B130" s="16"/>
      <c r="C130" s="581"/>
      <c r="F130" s="16"/>
      <c r="G130" s="581"/>
      <c r="I130" s="16"/>
      <c r="J130" s="16"/>
    </row>
    <row r="131" spans="1:10">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c r="A132" s="581">
        <v>46213.625</v>
      </c>
      <c r="B132" s="16"/>
      <c r="C132" s="581">
        <f ca="1">A132+INDEX($V$3:$V$86,MATCH($C$3,$P$3:$P$86,0))*INDEX($W$3:$W$86,MATCH($C$3,$P$3:$P$86,0))</f>
        <v>46213.625</v>
      </c>
      <c r="D132" s="608"/>
      <c r="F132" s="16">
        <v>98</v>
      </c>
      <c r="G132" s="581">
        <v>46213.625</v>
      </c>
      <c r="I132" s="16">
        <v>98</v>
      </c>
      <c r="J132" s="581">
        <v>46213.625</v>
      </c>
    </row>
    <row r="133" spans="1:10">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c r="A134" s="581">
        <v>46214.875</v>
      </c>
      <c r="B134" s="16"/>
      <c r="C134" s="581">
        <f ca="1">A134+INDEX($V$3:$V$86,MATCH($C$3,$P$3:$P$86,0))*INDEX($W$3:$W$86,MATCH($C$3,$P$3:$P$86,0))</f>
        <v>46214.875</v>
      </c>
      <c r="D134" s="608"/>
      <c r="F134" s="16">
        <v>100</v>
      </c>
      <c r="G134" s="581">
        <v>46214.875</v>
      </c>
      <c r="I134" s="16">
        <v>100</v>
      </c>
      <c r="J134" s="581">
        <v>46214.875</v>
      </c>
    </row>
    <row r="135" spans="1:10">
      <c r="A135" s="16"/>
      <c r="B135" s="16"/>
      <c r="C135" s="581"/>
    </row>
    <row r="136" spans="1:10">
      <c r="A136" s="16"/>
      <c r="B136" s="16"/>
      <c r="C136" s="16"/>
    </row>
    <row r="137" spans="1:10">
      <c r="A137" s="613" t="s">
        <v>1515</v>
      </c>
      <c r="B137" s="16"/>
      <c r="C137" s="581"/>
    </row>
    <row r="138" spans="1:10">
      <c r="A138" s="581">
        <v>46217.625</v>
      </c>
      <c r="B138" s="16"/>
      <c r="C138" s="581">
        <f ca="1">A138+INDEX($V$3:$V$86,MATCH($C$3,$P$3:$P$86,0))*INDEX($W$3:$W$86,MATCH($C$3,$P$3:$P$86,0))</f>
        <v>46217.625</v>
      </c>
      <c r="D138" s="608"/>
    </row>
    <row r="139" spans="1:10">
      <c r="A139" s="581">
        <v>46218.625</v>
      </c>
      <c r="B139" s="16"/>
      <c r="C139" s="581">
        <f ca="1">A139+INDEX($V$3:$V$86,MATCH($C$3,$P$3:$P$86,0))*INDEX($W$3:$W$86,MATCH($C$3,$P$3:$P$86,0))</f>
        <v>46218.625</v>
      </c>
      <c r="D139" s="608"/>
    </row>
    <row r="140" spans="1:10">
      <c r="A140" s="16"/>
      <c r="B140" s="16"/>
      <c r="C140" s="581"/>
    </row>
    <row r="141" spans="1:10">
      <c r="A141" s="16"/>
      <c r="B141" s="16"/>
      <c r="C141" s="16"/>
    </row>
    <row r="142" spans="1:10">
      <c r="A142" s="614" t="s">
        <v>221</v>
      </c>
      <c r="B142" s="16"/>
      <c r="C142" s="16"/>
    </row>
    <row r="143" spans="1:10">
      <c r="A143" s="581">
        <v>46221.708333333343</v>
      </c>
      <c r="B143" s="16"/>
      <c r="C143" s="581">
        <f ca="1">A143+INDEX($V$3:$V$86,MATCH($C$3,$P$3:$P$86,0))*INDEX($W$3:$W$86,MATCH($C$3,$P$3:$P$86,0))</f>
        <v>46221.708333333343</v>
      </c>
      <c r="D143" s="608"/>
    </row>
    <row r="144" spans="1:10">
      <c r="A144" s="16"/>
      <c r="B144" s="16"/>
      <c r="C144" s="16"/>
    </row>
    <row r="145" spans="1:4">
      <c r="A145" s="16"/>
      <c r="B145" s="16"/>
      <c r="C145" s="16"/>
    </row>
    <row r="146" spans="1:4">
      <c r="A146" s="615" t="s">
        <v>112</v>
      </c>
      <c r="B146" s="16"/>
      <c r="C146" s="581"/>
    </row>
    <row r="147" spans="1:4">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Dell</cp:lastModifiedBy>
  <cp:lastPrinted>2018-12-06T18:06:35Z</cp:lastPrinted>
  <dcterms:created xsi:type="dcterms:W3CDTF">2015-10-31T09:41:54Z</dcterms:created>
  <dcterms:modified xsi:type="dcterms:W3CDTF">2026-06-18T21:07:17Z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
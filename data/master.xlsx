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E1BF71BA-A39C-BA4B-A5C9-0C60FF350251}"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Sheet1"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AK106" i="2" a="1"/>
  <c r="AK106" i="2" s="1"/>
  <c r="Z106" i="2"/>
  <c r="AK105" i="2" a="1"/>
  <c r="AK105" i="2" s="1"/>
  <c r="Z105" i="2"/>
  <c r="AK104" i="2" a="1"/>
  <c r="AK104" i="2" s="1"/>
  <c r="Z104" i="2"/>
  <c r="D104" i="2"/>
  <c r="AG104" i="2" s="1"/>
  <c r="AK103" i="2" a="1"/>
  <c r="AK103" i="2" s="1"/>
  <c r="Z103" i="2"/>
  <c r="D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AG120" i="2"/>
  <c r="N121" i="2"/>
  <c r="AF120" i="2" s="1"/>
  <c r="C190" i="3" s="1"/>
  <c r="N138" i="2"/>
  <c r="AF138" i="2" s="1"/>
  <c r="C228" i="3" s="1"/>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51" i="2"/>
  <c r="N127" i="2"/>
  <c r="AF127" i="2" s="1"/>
  <c r="C197" i="3" s="1"/>
  <c r="D75" i="5"/>
  <c r="D154" i="5"/>
  <c r="B94" i="3" s="1"/>
  <c r="D207" i="5"/>
  <c r="K7" i="8" s="1"/>
  <c r="AG108" i="2"/>
  <c r="M132" i="2"/>
  <c r="AA132" i="2" s="1"/>
  <c r="C211" i="3" s="1"/>
  <c r="C247" i="3"/>
  <c r="D22" i="5"/>
  <c r="AF3" i="2" s="1"/>
  <c r="AF19" i="2" s="1"/>
  <c r="AF35" i="2" s="1"/>
  <c r="D113" i="5"/>
  <c r="E162" i="3" s="1"/>
  <c r="D173" i="5"/>
  <c r="B113" i="3" s="1"/>
  <c r="D204" i="5"/>
  <c r="AB5" i="9" s="1"/>
  <c r="AG113" i="2"/>
  <c r="D43" i="5"/>
  <c r="AA156" i="2" s="1"/>
  <c r="D116" i="5"/>
  <c r="E200" i="3" s="1"/>
  <c r="D46" i="5"/>
  <c r="C9" i="1" s="1"/>
  <c r="D125" i="5"/>
  <c r="B5" i="3" s="1"/>
  <c r="L27" i="8"/>
  <c r="EU6144" i="7"/>
  <c r="G227" i="5" s="1"/>
  <c r="D227" i="5" s="1"/>
  <c r="M27" i="8"/>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AG111" i="2"/>
  <c r="AG125" i="2"/>
  <c r="D216" i="5"/>
  <c r="AB17" i="9" s="1"/>
  <c r="D228" i="5"/>
  <c r="AB29" i="9" s="1"/>
  <c r="N126" i="2"/>
  <c r="AF126" i="2" s="1"/>
  <c r="C196" i="3" s="1"/>
  <c r="C240" i="3"/>
  <c r="BB23" i="4"/>
  <c r="D211" i="5"/>
  <c r="AB12" i="9" s="1"/>
  <c r="D229" i="5"/>
  <c r="AB30" i="9" s="1"/>
  <c r="B247" i="3"/>
  <c r="AG126" i="2"/>
  <c r="D29" i="5"/>
  <c r="W129" i="2" s="1"/>
  <c r="D76" i="5"/>
  <c r="D122" i="5"/>
  <c r="D6" i="3" s="1"/>
  <c r="D212" i="5"/>
  <c r="AB13" i="9" s="1"/>
  <c r="D224" i="5"/>
  <c r="K24" i="8" s="1"/>
  <c r="N133" i="2"/>
  <c r="AF133" i="2" s="1"/>
  <c r="C216" i="3" s="1"/>
  <c r="D219" i="5"/>
  <c r="AB20" i="9" s="1"/>
  <c r="D249" i="5"/>
  <c r="K49" i="8" s="1"/>
  <c r="AG133" i="2"/>
  <c r="AZ25" i="4"/>
  <c r="AN13" i="4"/>
  <c r="AK31" i="4"/>
  <c r="AF5" i="4"/>
  <c r="AE46" i="4"/>
  <c r="AC4" i="4"/>
  <c r="AK32" i="4"/>
  <c r="N125" i="2"/>
  <c r="AF125" i="2" s="1"/>
  <c r="C195" i="3" s="1"/>
  <c r="AG109" i="2"/>
  <c r="C213" i="3"/>
  <c r="C227" i="3"/>
  <c r="C226" i="3"/>
  <c r="C244" i="3"/>
  <c r="B244" i="3"/>
  <c r="C236" i="3"/>
  <c r="AG103" i="2"/>
  <c r="M120" i="2"/>
  <c r="AA121" i="2" s="1"/>
  <c r="AE4" i="4" s="1"/>
  <c r="M125" i="2"/>
  <c r="AA125" i="2" s="1"/>
  <c r="AE22" i="4" s="1"/>
  <c r="AG110" i="2"/>
  <c r="M124" i="2"/>
  <c r="AA124" i="2" s="1"/>
  <c r="AE16" i="4" s="1"/>
  <c r="AG112" i="2"/>
  <c r="N134" i="2"/>
  <c r="AF134" i="2" s="1"/>
  <c r="C217" i="3" s="1"/>
  <c r="AG127" i="2"/>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J31" i="4"/>
  <c r="AG23" i="4"/>
  <c r="AB16" i="4"/>
  <c r="AB4" i="4"/>
  <c r="AB46" i="4"/>
  <c r="AJ43" i="4"/>
  <c r="AB33" i="4"/>
  <c r="AC6" i="4"/>
  <c r="AI43"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E35" i="4"/>
  <c r="AG4" i="4"/>
  <c r="AN38" i="4"/>
  <c r="AB36" i="4"/>
  <c r="AF4" i="4"/>
  <c r="AC3" i="4"/>
  <c r="AC40" i="4"/>
  <c r="AB34" i="4"/>
  <c r="AC45" i="4"/>
  <c r="M131" i="2"/>
  <c r="AA131" i="2" s="1"/>
  <c r="M133" i="2"/>
  <c r="AA133" i="2" s="1"/>
  <c r="AI31" i="4" s="1"/>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M14" i="4" l="1"/>
  <c r="Z91" i="2"/>
  <c r="AA155" i="2"/>
  <c r="Z20" i="2"/>
  <c r="Z29" i="2"/>
  <c r="Z45" i="2"/>
  <c r="Z85" i="2"/>
  <c r="Z67" i="2"/>
  <c r="Z75" i="2"/>
  <c r="C221" i="3"/>
  <c r="C207" i="3"/>
  <c r="C232" i="3"/>
  <c r="AE11" i="4"/>
  <c r="B232" i="3"/>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AE47" i="4"/>
  <c r="B207" i="3"/>
  <c r="X119" i="2"/>
  <c r="K19" i="8"/>
  <c r="AR29" i="2"/>
  <c r="Z60" i="2"/>
  <c r="Z12" i="2"/>
  <c r="K29" i="8"/>
  <c r="AR61" i="2"/>
  <c r="Z37" i="2"/>
  <c r="AR21" i="2"/>
  <c r="AR37" i="2"/>
  <c r="Z93" i="2"/>
  <c r="AR101" i="2"/>
  <c r="Z44" i="2"/>
  <c r="AI19" i="4"/>
  <c r="X75" i="2"/>
  <c r="AF51" i="2"/>
  <c r="AB50" i="9"/>
  <c r="AE23" i="4"/>
  <c r="Z36" i="2"/>
  <c r="AR69" i="2"/>
  <c r="Z5" i="2"/>
  <c r="Z92" i="2"/>
  <c r="Y146" i="2"/>
  <c r="K28" i="8"/>
  <c r="X51" i="2"/>
  <c r="X83" i="2"/>
  <c r="X146" i="2"/>
  <c r="X11" i="2"/>
  <c r="X27" i="2" s="1"/>
  <c r="X43" i="2" s="1"/>
  <c r="X67" i="2"/>
  <c r="Z53" i="2"/>
  <c r="Z77" i="2"/>
  <c r="X59" i="2"/>
  <c r="B221" i="3"/>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F59" i="2"/>
  <c r="AJ101" i="2"/>
  <c r="AF146" i="2"/>
  <c r="AF130" i="2"/>
  <c r="AE41" i="4"/>
  <c r="AI32" i="4"/>
  <c r="K33" i="8"/>
  <c r="AB35" i="9"/>
  <c r="K34" i="8"/>
  <c r="B22" i="8"/>
  <c r="B17" i="8"/>
  <c r="K48" i="8"/>
  <c r="AB49" i="9"/>
  <c r="AB44" i="9"/>
  <c r="B44" i="8"/>
  <c r="K43" i="8"/>
  <c r="C212" i="3"/>
  <c r="C222" i="3"/>
  <c r="B222" i="3"/>
  <c r="C254" i="3"/>
  <c r="C255"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B205" i="3"/>
  <c r="C205" i="3"/>
  <c r="C187" i="3"/>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L45" i="4"/>
  <c r="BK45" i="4" s="1"/>
  <c r="BL17" i="4"/>
  <c r="BK17" i="4" s="1"/>
  <c r="BL36" i="4"/>
  <c r="BK36" i="4" s="1"/>
  <c r="BL28" i="4"/>
  <c r="BK28" i="4" s="1"/>
  <c r="BL7" i="4"/>
  <c r="BK7" i="4" s="1"/>
  <c r="BL5" i="4"/>
  <c r="BK5" i="4" s="1"/>
  <c r="BL43" i="4"/>
  <c r="BK43" i="4" s="1"/>
  <c r="BL46" i="4"/>
  <c r="BK46" i="4" s="1"/>
  <c r="BL30" i="4"/>
  <c r="BK30" i="4" s="1"/>
  <c r="BL26" i="4"/>
  <c r="BK26" i="4" s="1"/>
  <c r="BL51" i="4"/>
  <c r="BK51" i="4" s="1"/>
  <c r="BL24" i="4"/>
  <c r="BK24" i="4" s="1"/>
  <c r="BL29" i="4"/>
  <c r="BK29" i="4" s="1"/>
  <c r="BL49" i="4"/>
  <c r="BK49" i="4" s="1"/>
  <c r="BL40" i="4"/>
  <c r="BK40" i="4" s="1"/>
  <c r="BL47" i="4"/>
  <c r="BK47" i="4" s="1"/>
  <c r="BL37" i="4"/>
  <c r="BK37" i="4" s="1"/>
  <c r="BL4" i="4"/>
  <c r="BK4" i="4" s="1"/>
  <c r="BL22" i="4"/>
  <c r="BK22" i="4" s="1"/>
  <c r="BL23" i="4"/>
  <c r="BK23" i="4" s="1"/>
  <c r="BL41" i="4"/>
  <c r="BK41" i="4" s="1"/>
  <c r="BL11" i="4"/>
  <c r="BK11" i="4" s="1"/>
  <c r="BL12" i="4"/>
  <c r="BK12" i="4" s="1"/>
  <c r="BL44" i="4"/>
  <c r="BK44" i="4" s="1"/>
  <c r="BL18" i="4"/>
  <c r="BK18" i="4" s="1"/>
  <c r="BL35" i="4"/>
  <c r="BK35" i="4" s="1"/>
  <c r="BL14" i="4"/>
  <c r="BK14" i="4" s="1"/>
  <c r="BL25" i="4"/>
  <c r="BK25" i="4" s="1"/>
  <c r="BL33" i="4"/>
  <c r="BK33" i="4" s="1"/>
  <c r="BL34" i="4"/>
  <c r="BK34" i="4" s="1"/>
  <c r="BL31" i="4"/>
  <c r="BK31" i="4" s="1"/>
  <c r="BL19" i="4"/>
  <c r="BK19" i="4" s="1"/>
  <c r="BL27" i="4"/>
  <c r="BK27" i="4" s="1"/>
  <c r="BL21" i="4"/>
  <c r="BK21" i="4" s="1"/>
  <c r="BL42" i="4"/>
  <c r="BK42" i="4" s="1"/>
  <c r="BL32" i="4"/>
  <c r="BK32" i="4" s="1"/>
  <c r="BL50" i="4"/>
  <c r="BK50" i="4" s="1"/>
  <c r="BL16" i="4"/>
  <c r="BK16" i="4" s="1"/>
  <c r="BL39" i="4"/>
  <c r="BK39" i="4" s="1"/>
  <c r="BL9" i="4"/>
  <c r="BK9" i="4" s="1"/>
  <c r="BL20" i="4"/>
  <c r="BK20" i="4" s="1"/>
  <c r="BL6" i="4"/>
  <c r="BK6" i="4" s="1"/>
  <c r="BL13" i="4"/>
  <c r="BK13" i="4" s="1"/>
  <c r="BL38" i="4"/>
  <c r="BK38" i="4" s="1"/>
  <c r="BL48" i="4"/>
  <c r="BK48" i="4" s="1"/>
  <c r="BL10" i="4"/>
  <c r="BK10" i="4" s="1"/>
  <c r="BL15" i="4"/>
  <c r="BK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W43" i="2"/>
  <c r="BV43" i="2"/>
  <c r="BU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30" i="2" l="1"/>
  <c r="CB44" i="2"/>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30" i="2" l="1"/>
  <c r="CC44" i="2"/>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O95" i="2"/>
  <c r="N97" i="2"/>
  <c r="N95" i="2"/>
  <c r="N96" i="2"/>
  <c r="O86" i="2"/>
  <c r="O89" i="2"/>
  <c r="O87" i="2"/>
  <c r="N89" i="2"/>
  <c r="N87" i="2"/>
  <c r="N88" i="2"/>
  <c r="N86" i="2"/>
  <c r="O88" i="2"/>
  <c r="N71" i="2"/>
  <c r="N72" i="2"/>
  <c r="O62" i="2"/>
  <c r="O64" i="2"/>
  <c r="O63" i="2"/>
  <c r="N64" i="2"/>
  <c r="N62" i="2"/>
  <c r="CK36" i="2" s="1"/>
  <c r="O65" i="2"/>
  <c r="N63" i="2"/>
  <c r="N65" i="2"/>
  <c r="N54" i="2"/>
  <c r="O57" i="2"/>
  <c r="O55" i="2"/>
  <c r="N56" i="2"/>
  <c r="O54" i="2"/>
  <c r="O56" i="2"/>
  <c r="O30" i="2"/>
  <c r="O33" i="2"/>
  <c r="CJ19" i="2" s="1"/>
  <c r="O31" i="2"/>
  <c r="N33" i="2"/>
  <c r="N39" i="2"/>
  <c r="N41" i="2"/>
  <c r="O38" i="2"/>
  <c r="O40" i="2"/>
  <c r="O8" i="2"/>
  <c r="O47" i="2"/>
  <c r="N48" i="2"/>
  <c r="CJ28" i="2"/>
  <c r="O48" i="2"/>
  <c r="O22" i="2"/>
  <c r="N25" i="2"/>
  <c r="N23" i="2"/>
  <c r="O24" i="2"/>
  <c r="N22" i="2"/>
  <c r="CI15" i="2" s="1"/>
  <c r="N24" i="2"/>
  <c r="O15" i="2"/>
  <c r="O17" i="2"/>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N31" i="2"/>
  <c r="CI16" i="2"/>
  <c r="O23" i="2"/>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CK37"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J44"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I1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O31"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6" i="2" l="1"/>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31"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BJ66" i="2"/>
  <c r="BJ63" i="2"/>
  <c r="BJ62" i="2"/>
  <c r="AL17" i="2"/>
  <c r="AL73" i="2"/>
  <c r="BK67" i="2"/>
  <c r="AL79" i="2"/>
  <c r="N112" i="2" s="1"/>
  <c r="AF111" i="2" s="1"/>
  <c r="BJ68" i="2"/>
  <c r="AL70" i="2"/>
  <c r="M105" i="2" s="1"/>
  <c r="AA106" i="2" s="1"/>
  <c r="D106" i="2" s="1"/>
  <c r="AL71" i="2"/>
  <c r="N106" i="2" s="1"/>
  <c r="AF105" i="2" s="1"/>
  <c r="D105" i="2" s="1"/>
  <c r="AL14" i="2"/>
  <c r="M113" i="2" s="1"/>
  <c r="AA113" i="2" s="1"/>
  <c r="BH65" i="2"/>
  <c r="AL25" i="2"/>
  <c r="BD61" i="2"/>
  <c r="AL30" i="2"/>
  <c r="M109" i="2" s="1"/>
  <c r="AA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AL86" i="2"/>
  <c r="M115" i="2" s="1"/>
  <c r="AA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AL41" i="2"/>
  <c r="BD65" i="2"/>
  <c r="AL40" i="2"/>
  <c r="AL96" i="2"/>
  <c r="AL62" i="2"/>
  <c r="M112" i="2" s="1"/>
  <c r="AA111" i="2" s="1"/>
  <c r="BI68" i="2"/>
  <c r="AL63" i="2"/>
  <c r="N114" i="2" s="1"/>
  <c r="AF115" i="2" s="1"/>
  <c r="BD60" i="2"/>
  <c r="BH67" i="2"/>
  <c r="BH63" i="2"/>
  <c r="AL48" i="2"/>
  <c r="AL88" i="2"/>
  <c r="AL56" i="2"/>
  <c r="AL47" i="2"/>
  <c r="N104" i="2" s="1"/>
  <c r="AF102" i="2" s="1"/>
  <c r="AL94" i="2"/>
  <c r="M108" i="2" s="1"/>
  <c r="AA108" i="2" s="1"/>
  <c r="BK69" i="2"/>
  <c r="BD67" i="2"/>
  <c r="BI63" i="2"/>
  <c r="BD63" i="2"/>
  <c r="AL72" i="2"/>
  <c r="BK60" i="2"/>
  <c r="AL57" i="2"/>
  <c r="BG60" i="2"/>
  <c r="BH61" i="2"/>
  <c r="AL80" i="2"/>
  <c r="BK64" i="2"/>
  <c r="BK61" i="2"/>
  <c r="BH64" i="2"/>
  <c r="BD64" i="2"/>
  <c r="AL81" i="2"/>
  <c r="BJ60" i="2"/>
  <c r="AL32" i="2"/>
  <c r="BK68" i="2"/>
  <c r="BJ61" i="2"/>
  <c r="AL78" i="2"/>
  <c r="M114" i="2" s="1"/>
  <c r="AA115" i="2" s="1"/>
  <c r="AL54" i="2"/>
  <c r="M110" i="2" s="1"/>
  <c r="AA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AG106" i="2" l="1"/>
  <c r="N120" i="2"/>
  <c r="AF121" i="2" s="1"/>
  <c r="AG105" i="2"/>
  <c r="N122" i="2"/>
  <c r="AF122" i="2" s="1"/>
  <c r="M122" i="2"/>
  <c r="AA122" i="2" s="1"/>
  <c r="AG102" i="2"/>
  <c r="M121" i="2"/>
  <c r="AA120" i="2" s="1"/>
  <c r="AG101" i="2"/>
  <c r="M107" i="2"/>
  <c r="AA107" i="2"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C136" i="3" l="1"/>
  <c r="D107" i="2"/>
  <c r="C191" i="3"/>
  <c r="C201" i="3"/>
  <c r="B201" i="3"/>
  <c r="AE5" i="4"/>
  <c r="C192" i="3"/>
  <c r="AE29" i="4"/>
  <c r="AE28" i="4"/>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M123" i="2" l="1"/>
  <c r="AA123" i="2" s="1"/>
  <c r="AG107" i="2"/>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AE34" i="4" l="1"/>
  <c r="C185" i="3"/>
  <c r="C203" i="3"/>
  <c r="B203" i="3"/>
  <c r="BU63" i="2"/>
  <c r="BV63" i="2" s="1"/>
  <c r="BV58" i="2"/>
  <c r="BV60" i="2"/>
  <c r="BV69" i="2"/>
  <c r="BJ8" i="4" l="1"/>
  <c r="BJ49" i="4"/>
  <c r="BJ30" i="4"/>
  <c r="BJ17" i="4"/>
  <c r="BJ12" i="4"/>
  <c r="BJ10" i="4"/>
  <c r="BJ31" i="4"/>
  <c r="BJ50" i="4"/>
  <c r="BJ19" i="4"/>
  <c r="BJ22" i="4"/>
  <c r="BJ36" i="4"/>
  <c r="BJ7" i="4"/>
  <c r="BJ11" i="4"/>
  <c r="BJ48" i="4"/>
  <c r="BJ47" i="4"/>
  <c r="BJ42" i="4"/>
  <c r="BJ4" i="4"/>
  <c r="BJ33" i="4"/>
  <c r="BJ40" i="4"/>
  <c r="BJ38" i="4"/>
  <c r="BJ18" i="4"/>
  <c r="BJ26" i="4"/>
  <c r="BJ14" i="4"/>
  <c r="BJ25" i="4"/>
  <c r="BJ28" i="4"/>
  <c r="BJ46" i="4"/>
  <c r="BJ13" i="4"/>
  <c r="BJ20" i="4"/>
  <c r="BJ29" i="4"/>
  <c r="BJ45" i="4"/>
  <c r="BJ27" i="4"/>
  <c r="BJ37" i="4"/>
  <c r="BJ32" i="4"/>
  <c r="BJ9" i="4"/>
  <c r="BJ39" i="4"/>
  <c r="BJ6" i="4"/>
  <c r="BJ35" i="4"/>
  <c r="BJ34" i="4"/>
  <c r="BJ43" i="4"/>
  <c r="BJ41" i="4"/>
  <c r="BJ15" i="4"/>
  <c r="BJ21" i="4"/>
  <c r="BJ24" i="4"/>
  <c r="BJ16" i="4"/>
  <c r="BJ23" i="4"/>
  <c r="BJ51" i="4"/>
  <c r="BJ44" i="4"/>
  <c r="BJ5" i="4"/>
  <c r="BV61" i="2"/>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C158" i="3" l="1"/>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BI28" i="4" l="1"/>
  <c r="BH28" i="4" s="1"/>
  <c r="BI33" i="4"/>
  <c r="BH33" i="4" s="1"/>
  <c r="BI36" i="4"/>
  <c r="BH36" i="4" s="1"/>
  <c r="BI44" i="4"/>
  <c r="BH44" i="4" s="1"/>
  <c r="BI43" i="4"/>
  <c r="BH43" i="4" s="1"/>
  <c r="BI40" i="4"/>
  <c r="BH40" i="4" s="1"/>
  <c r="BI27" i="4"/>
  <c r="BH27" i="4" s="1"/>
  <c r="BI22" i="4"/>
  <c r="BH22" i="4" s="1"/>
  <c r="BI5" i="4"/>
  <c r="BH5" i="4" s="1"/>
  <c r="BI32" i="4"/>
  <c r="BH32" i="4" s="1"/>
  <c r="BI12" i="4"/>
  <c r="BH12" i="4" s="1"/>
  <c r="BI46" i="4"/>
  <c r="BH46" i="4" s="1"/>
  <c r="BI6" i="4"/>
  <c r="BH6" i="4" s="1"/>
  <c r="BI24" i="4"/>
  <c r="BH24" i="4" s="1"/>
  <c r="BI18" i="4"/>
  <c r="BH18" i="4" s="1"/>
  <c r="BI23" i="4"/>
  <c r="BH23" i="4" s="1"/>
  <c r="BI47" i="4"/>
  <c r="BH47" i="4" s="1"/>
  <c r="BI8" i="4"/>
  <c r="BH8" i="4" s="1"/>
  <c r="BI19" i="4"/>
  <c r="BH19" i="4" s="1"/>
  <c r="BI26" i="4"/>
  <c r="BH26" i="4" s="1"/>
  <c r="BI39" i="4"/>
  <c r="BH39" i="4" s="1"/>
  <c r="BI42" i="4"/>
  <c r="BH42" i="4" s="1"/>
  <c r="BI49" i="4"/>
  <c r="BH49" i="4" s="1"/>
  <c r="BI38" i="4"/>
  <c r="BH38" i="4" s="1"/>
  <c r="BI48" i="4"/>
  <c r="BH48" i="4" s="1"/>
  <c r="BI11" i="4"/>
  <c r="BH11" i="4" s="1"/>
  <c r="BI14" i="4"/>
  <c r="BH14" i="4" s="1"/>
  <c r="BI25" i="4"/>
  <c r="BH25" i="4" s="1"/>
  <c r="BI51" i="4"/>
  <c r="BH51" i="4" s="1"/>
  <c r="BI10" i="4"/>
  <c r="BH10" i="4" s="1"/>
  <c r="BI34" i="4"/>
  <c r="BH34" i="4" s="1"/>
  <c r="BI9" i="4"/>
  <c r="BH9" i="4" s="1"/>
  <c r="BI35" i="4"/>
  <c r="BH35" i="4" s="1"/>
  <c r="BI45" i="4"/>
  <c r="BH45" i="4" s="1"/>
  <c r="BI37" i="4"/>
  <c r="BH37" i="4" s="1"/>
  <c r="BI30" i="4"/>
  <c r="BH30" i="4" s="1"/>
  <c r="BI29" i="4"/>
  <c r="BH29" i="4" s="1"/>
  <c r="BI16" i="4"/>
  <c r="BH16" i="4" s="1"/>
  <c r="BI4" i="4"/>
  <c r="BH4" i="4" s="1"/>
  <c r="BI50" i="4"/>
  <c r="BH50" i="4" s="1"/>
  <c r="BI20" i="4"/>
  <c r="BH20" i="4" s="1"/>
  <c r="BI15" i="4"/>
  <c r="BH15" i="4" s="1"/>
  <c r="BI41" i="4"/>
  <c r="BH41" i="4" s="1"/>
  <c r="BI31" i="4"/>
  <c r="BH31" i="4" s="1"/>
  <c r="BI17" i="4"/>
  <c r="BH17" i="4" s="1"/>
  <c r="BI13" i="4"/>
  <c r="BH13" i="4" s="1"/>
  <c r="BI21" i="4"/>
  <c r="BH21" i="4" s="1"/>
  <c r="BI7" i="4"/>
  <c r="BH7"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<sst xmlns="http://schemas.openxmlformats.org/spreadsheetml/2006/main" count="6754" uniqueCount="1516">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</sst>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2"/>
      <c r="D3" s="622"/>
      <c r="E3" s="622"/>
      <c r="F3" s="622"/>
      <c r="G3" s="622"/>
      <c r="H3" s="622"/>
      <c r="I3" s="622"/>
      <c r="J3" s="622"/>
      <c r="K3" s="622"/>
      <c r="L3" s="622"/>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2"/>
      <c r="G16" s="622"/>
      <c r="H16" s="622"/>
      <c r="I16" s="622"/>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2"/>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75" zoomScaleNormal="100" workbookViewId="0">
      <selection activeCell="AY89" sqref="AY89"/>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1" t="str">
        <f>Idiomas!D8</f>
        <v>XXIII Mundial USA/MEX/CAN 2026</v>
      </c>
      <c r="X1" s="622"/>
      <c r="Y1" s="622"/>
      <c r="Z1" s="622"/>
      <c r="AA1" s="622"/>
      <c r="AB1" s="622"/>
      <c r="AC1" s="622"/>
      <c r="AD1" s="622"/>
      <c r="AE1" s="622"/>
      <c r="AF1" s="622"/>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7"/>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7"/>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8"/>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3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7"/>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7"/>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8"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7"/>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7"/>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8"/>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29"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7"/>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7"/>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8"/>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3"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6"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7"/>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7"/>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8"/>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1"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7"/>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7"/>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7"/>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8"/>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4"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7"/>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7"/>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7"/>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7"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41"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7"/>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7"/>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7"/>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7"/>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2"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7"/>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7"/>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5"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6"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7"/>
      <c r="X103" s="24">
        <f ca="1">Horarios!C103</f>
        <v>46202.6875</v>
      </c>
      <c r="Y103" s="25">
        <f ca="1">Horarios!C103</f>
        <v>46202.6875</v>
      </c>
      <c r="Z103" s="274">
        <f t="shared" si="263"/>
        <v>74</v>
      </c>
      <c r="AA103" s="88" t="str">
        <f t="shared" ca="1" si="264"/>
        <v>Alemania</v>
      </c>
      <c r="AB103" s="89"/>
      <c r="AC103" s="92">
        <v>1</v>
      </c>
      <c r="AD103" s="92">
        <v>1</v>
      </c>
      <c r="AE103" s="89"/>
      <c r="AF103" s="91" t="str">
        <f t="shared" ca="1" si="265"/>
        <v>Paraguay</v>
      </c>
      <c r="AG103" s="320">
        <f t="shared" si="266"/>
        <v>0</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7"/>
      <c r="X104" s="24">
        <f ca="1">Horarios!C104</f>
        <v>46202.875</v>
      </c>
      <c r="Y104" s="25">
        <f ca="1">Horarios!C104</f>
        <v>46202.875</v>
      </c>
      <c r="Z104" s="274">
        <f t="shared" si="263"/>
        <v>75</v>
      </c>
      <c r="AA104" s="88" t="str">
        <f t="shared" ca="1" si="264"/>
        <v>Países Bajos</v>
      </c>
      <c r="AB104" s="89"/>
      <c r="AC104" s="92">
        <v>1</v>
      </c>
      <c r="AD104" s="92">
        <v>1</v>
      </c>
      <c r="AE104" s="89"/>
      <c r="AF104" s="91" t="str">
        <f t="shared" ca="1" si="265"/>
        <v>Marruecos</v>
      </c>
      <c r="AG104" s="320">
        <f t="shared" si="266"/>
        <v>0</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ca="1" si="260"/>
        <v>Noruega</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Costa de Marfil</v>
      </c>
      <c r="AB105" s="89"/>
      <c r="AC105" s="92">
        <v>1</v>
      </c>
      <c r="AD105" s="92">
        <v>2</v>
      </c>
      <c r="AE105" s="89"/>
      <c r="AF105" s="91" t="str">
        <f t="shared" ca="1" si="265"/>
        <v>Noruega</v>
      </c>
      <c r="AG105" s="320">
        <f t="shared" ca="1" si="266"/>
        <v>1</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ca="1" si="260"/>
        <v>Francia</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v>3</v>
      </c>
      <c r="AD106" s="92">
        <v>0</v>
      </c>
      <c r="AE106" s="89"/>
      <c r="AF106" s="91" t="str">
        <f t="shared" ca="1" si="265"/>
        <v>Suecia</v>
      </c>
      <c r="AG106" s="320">
        <f t="shared" ca="1" si="266"/>
        <v>1</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ca="1" si="260"/>
        <v>México</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7"/>
      <c r="X107" s="24">
        <f ca="1">Horarios!C107</f>
        <v>46203.875</v>
      </c>
      <c r="Y107" s="25">
        <f ca="1">Horarios!C107</f>
        <v>46203.875</v>
      </c>
      <c r="Z107" s="274">
        <f t="shared" si="263"/>
        <v>79</v>
      </c>
      <c r="AA107" s="88" t="str">
        <f t="shared" ca="1" si="264"/>
        <v>México</v>
      </c>
      <c r="AB107" s="89"/>
      <c r="AC107" s="92">
        <v>2</v>
      </c>
      <c r="AD107" s="92">
        <v>0</v>
      </c>
      <c r="AE107" s="89"/>
      <c r="AF107" s="91" t="str">
        <f t="shared" ca="1" si="265"/>
        <v>Ecuador</v>
      </c>
      <c r="AG107" s="320">
        <f t="shared" ca="1" si="266"/>
        <v>1</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7"/>
      <c r="X108" s="24">
        <f ca="1">Horarios!C108</f>
        <v>46204.5</v>
      </c>
      <c r="Y108" s="25">
        <f ca="1">Horarios!C108</f>
        <v>46204.5</v>
      </c>
      <c r="Z108" s="274">
        <f t="shared" si="263"/>
        <v>80</v>
      </c>
      <c r="AA108" s="88" t="str">
        <f t="shared" ca="1" si="264"/>
        <v>Inglaterra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Senegal</v>
      </c>
      <c r="AG109" s="320">
        <f t="shared" si="266"/>
        <v>0</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Portugal</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Argelia</v>
      </c>
      <c r="AG113" s="320">
        <f t="shared" si="266"/>
        <v>0</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Australia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Cabo Verde</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Colombia</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ca="1" si="277"/>
        <v>Francia</v>
      </c>
      <c r="O120" s="16"/>
      <c r="P120" s="16"/>
      <c r="Q120" s="16"/>
      <c r="R120" s="16"/>
      <c r="S120" s="16"/>
      <c r="T120" s="16"/>
      <c r="U120" s="16"/>
      <c r="V120" s="17"/>
      <c r="W120" s="640"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ca="1" si="277"/>
        <v>Canadá</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ca="1" si="280"/>
        <v>Francia</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ca="1" si="277"/>
        <v>Brasil</v>
      </c>
      <c r="N122" s="16" t="str">
        <f t="shared" ca="1" si="277"/>
        <v>Noruega</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ca="1" si="279"/>
        <v>Brasil</v>
      </c>
      <c r="AB122" s="89"/>
      <c r="AC122" s="97"/>
      <c r="AD122" s="97"/>
      <c r="AE122" s="89"/>
      <c r="AF122" s="91" t="str">
        <f t="shared" ca="1" si="280"/>
        <v>Noruega</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ca="1" si="277"/>
        <v>México</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ca="1" si="279"/>
        <v>México</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3"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1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5E681-6189-F345-BC03-9881D98748E3}">
  <dimension ref="A1"/>
  <sheetViews>
    <sheetView workbookViewId="0"/>
  </sheetViews>
  <sheetFormatPr baseColWidth="10"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2"/>
      <c r="G1" s="622"/>
      <c r="H1" s="622"/>
      <c r="I1" s="622"/>
      <c r="J1" s="622"/>
      <c r="K1" s="622"/>
      <c r="L1" s="622"/>
      <c r="M1" s="622"/>
      <c r="N1" s="622"/>
    </row>
    <row r="2" spans="1:14" ht="20" customHeight="1" thickBot="1" x14ac:dyDescent="0.3">
      <c r="A2" s="284"/>
      <c r="B2" s="285"/>
      <c r="C2" s="285"/>
      <c r="D2" s="360"/>
      <c r="E2" s="622"/>
      <c r="F2" s="622"/>
      <c r="G2" s="622"/>
      <c r="H2" s="622"/>
      <c r="I2" s="622"/>
      <c r="J2" s="622"/>
      <c r="K2" s="622"/>
      <c r="L2" s="622"/>
      <c r="M2" s="622"/>
      <c r="N2" s="622"/>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2"/>
      <c r="B81" s="351" t="str">
        <f>Idiomas!D141</f>
        <v>2º GRUPO A</v>
      </c>
      <c r="C81" s="342" t="str">
        <f ca="1">IF(OR(SUM(WORLDCUP!$AN$6:$AN$9)=12,WORLDCUP!$AJ$99=144),WORLDCUP!AL7,B81)</f>
        <v>Sudáfrica</v>
      </c>
      <c r="D81" s="650"/>
      <c r="E81" s="361"/>
      <c r="F81" s="361"/>
      <c r="G81" s="361"/>
      <c r="H81" s="361"/>
      <c r="I81" s="372"/>
      <c r="J81" s="361"/>
      <c r="K81" s="361"/>
      <c r="L81" s="361"/>
      <c r="M81" s="370"/>
      <c r="N81" s="368"/>
    </row>
    <row r="82" spans="1:14" ht="15" customHeight="1" x14ac:dyDescent="0.2">
      <c r="A82" s="622"/>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22"/>
      <c r="B83" s="351" t="str">
        <f>Idiomas!D143</f>
        <v>4º GRUPO A</v>
      </c>
      <c r="C83" s="342" t="str">
        <f ca="1">IF(OR(SUM(WORLDCUP!$AN$6:$AN$9)=12,WORLDCUP!$AJ$99=144),WORLDCUP!AL9,B83)</f>
        <v>República Checa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2"/>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2"/>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2"/>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2"/>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2"/>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2"/>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Estados Unidos</v>
      </c>
      <c r="D92" s="650"/>
      <c r="E92" s="361"/>
      <c r="F92" s="361"/>
      <c r="G92" s="361"/>
      <c r="H92" s="361"/>
      <c r="I92" s="372"/>
      <c r="J92" s="361"/>
      <c r="K92" s="361"/>
      <c r="L92" s="361"/>
      <c r="M92" s="370"/>
      <c r="N92" s="368"/>
    </row>
    <row r="93" spans="1:14" ht="15" customHeight="1" x14ac:dyDescent="0.2">
      <c r="A93" s="622"/>
      <c r="B93" s="349" t="str">
        <f>Idiomas!D153</f>
        <v>2º GRUPO D</v>
      </c>
      <c r="C93" s="342" t="str">
        <f ca="1">IF(OR(SUM(WORLDCUP!$AN$30:$AN$33)=12,WORLDCUP!$AJ$99=144),WORLDCUP!AL31,B93)</f>
        <v>Australia</v>
      </c>
      <c r="D93" s="650"/>
      <c r="E93" s="361"/>
      <c r="F93" s="361"/>
      <c r="G93" s="361"/>
      <c r="H93" s="361"/>
      <c r="I93" s="372"/>
      <c r="J93" s="361"/>
      <c r="K93" s="361"/>
      <c r="L93" s="361"/>
      <c r="M93" s="370"/>
      <c r="N93" s="368"/>
    </row>
    <row r="94" spans="1:14" ht="15" customHeight="1" x14ac:dyDescent="0.2">
      <c r="A94" s="622"/>
      <c r="B94" s="349" t="str">
        <f>Idiomas!D154</f>
        <v>3º GRUPO D</v>
      </c>
      <c r="C94" s="342" t="str">
        <f ca="1">IF(OR(SUM(WORLDCUP!$AN$30:$AN$33)=12,WORLDCUP!$AJ$99=144),WORLDCUP!AL32,B94)</f>
        <v>Paraguay</v>
      </c>
      <c r="D94" s="650"/>
      <c r="E94" s="361"/>
      <c r="F94" s="361"/>
      <c r="G94" s="361"/>
      <c r="H94" s="361"/>
      <c r="I94" s="372"/>
      <c r="J94" s="361"/>
      <c r="K94" s="361"/>
      <c r="L94" s="361"/>
      <c r="M94" s="370"/>
      <c r="N94" s="368"/>
    </row>
    <row r="95" spans="1:14" ht="15" customHeight="1" x14ac:dyDescent="0.2">
      <c r="A95" s="622"/>
      <c r="B95" s="349" t="str">
        <f>Idiomas!D155</f>
        <v>4º GRUPO D</v>
      </c>
      <c r="C95" s="342" t="str">
        <f ca="1">IF(OR(SUM(WORLDCUP!$AN$30:$AN$33)=12,WORLDCUP!$AJ$99=144),WORLDCUP!AL33,B95)</f>
        <v>Turquía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2"/>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2"/>
      <c r="B98" s="351" t="str">
        <f>Idiomas!D158</f>
        <v>3º GRUPO E</v>
      </c>
      <c r="C98" s="342" t="str">
        <f ca="1">IF(OR(SUM(WORLDCUP!$AN$38:$AN$41)=12,WORLDCUP!$AJ$99=144),WORLDCUP!AL40,B98)</f>
        <v>Ecuador</v>
      </c>
      <c r="D98" s="650"/>
      <c r="E98" s="361"/>
      <c r="F98" s="361"/>
      <c r="G98" s="361"/>
      <c r="H98" s="361"/>
      <c r="I98" s="372"/>
      <c r="J98" s="361"/>
      <c r="K98" s="361"/>
      <c r="L98" s="361"/>
      <c r="M98" s="370"/>
      <c r="N98" s="368"/>
    </row>
    <row r="99" spans="1:14" ht="15" customHeight="1" x14ac:dyDescent="0.2">
      <c r="A99" s="622"/>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2"/>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2"/>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2"/>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2"/>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2"/>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2"/>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2"/>
      <c r="B109" s="349" t="str">
        <f>Idiomas!D169</f>
        <v>2º GRUPO H</v>
      </c>
      <c r="C109" s="342" t="str">
        <f ca="1">IF(OR(SUM(WORLDCUP!$AN$62:$AN$65)=12,WORLDCUP!$AJ$99=144),WORLDCUP!AL63,B109)</f>
        <v>Cabo Verde</v>
      </c>
      <c r="D109" s="650"/>
      <c r="E109" s="361"/>
      <c r="F109" s="361"/>
      <c r="G109" s="361"/>
      <c r="H109" s="361"/>
      <c r="I109" s="372"/>
      <c r="J109" s="361"/>
      <c r="K109" s="361"/>
      <c r="L109" s="361"/>
      <c r="M109" s="370"/>
      <c r="N109" s="368"/>
    </row>
    <row r="110" spans="1:14" ht="15" customHeight="1" x14ac:dyDescent="0.2">
      <c r="A110" s="622"/>
      <c r="B110" s="349" t="str">
        <f>Idiomas!D170</f>
        <v>3º GRUPO H</v>
      </c>
      <c r="C110" s="342" t="str">
        <f ca="1">IF(OR(SUM(WORLDCUP!$AN$62:$AN$65)=12,WORLDCUP!$AJ$99=144),WORLDCUP!AL64,B110)</f>
        <v>Uruguay</v>
      </c>
      <c r="D110" s="650"/>
      <c r="E110" s="361"/>
      <c r="F110" s="361"/>
      <c r="G110" s="361"/>
      <c r="H110" s="361"/>
      <c r="I110" s="372"/>
      <c r="J110" s="361"/>
      <c r="K110" s="361"/>
      <c r="L110" s="361"/>
      <c r="M110" s="370"/>
      <c r="N110" s="368"/>
    </row>
    <row r="111" spans="1:14" ht="15" customHeight="1" x14ac:dyDescent="0.2">
      <c r="A111" s="622"/>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2"/>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2"/>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2"/>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2"/>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22"/>
      <c r="B118" s="349" t="str">
        <f>Idiomas!D178</f>
        <v>3º GRUPO J</v>
      </c>
      <c r="C118" s="342" t="str">
        <f ca="1">IF(OR(SUM(WORLDCUP!$AN$78:$AN$81)=12,WORLDCUP!$AJ$99=144),WORLDCUP!AL80,B118)</f>
        <v>Argelia</v>
      </c>
      <c r="D118" s="650"/>
      <c r="E118" s="361"/>
      <c r="F118" s="361"/>
      <c r="G118" s="361"/>
      <c r="H118" s="361"/>
      <c r="I118" s="372"/>
      <c r="J118" s="361"/>
      <c r="K118" s="361"/>
      <c r="L118" s="361"/>
      <c r="M118" s="370"/>
      <c r="N118" s="368"/>
    </row>
    <row r="119" spans="1:14" ht="15" customHeight="1" x14ac:dyDescent="0.2">
      <c r="A119" s="622"/>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Colombia</v>
      </c>
      <c r="D120" s="650"/>
      <c r="E120" s="361"/>
      <c r="F120" s="361"/>
      <c r="G120" s="361"/>
      <c r="H120" s="361"/>
      <c r="I120" s="372"/>
      <c r="J120" s="361"/>
      <c r="K120" s="361"/>
      <c r="L120" s="361"/>
      <c r="M120" s="370"/>
      <c r="N120" s="368"/>
    </row>
    <row r="121" spans="1:14" ht="15" customHeight="1" x14ac:dyDescent="0.2">
      <c r="A121" s="622"/>
      <c r="B121" s="351" t="str">
        <f>Idiomas!D181</f>
        <v>2º GRUPO K</v>
      </c>
      <c r="C121" s="342" t="str">
        <f ca="1">IF(OR(SUM(WORLDCUP!$AN$86:$AN$89)=12,WORLDCUP!$AJ$99=144),WORLDCUP!AL87,B121)</f>
        <v>Portugal</v>
      </c>
      <c r="D121" s="650"/>
      <c r="E121" s="361"/>
      <c r="F121" s="361"/>
      <c r="G121" s="361"/>
      <c r="H121" s="361"/>
      <c r="I121" s="372"/>
      <c r="J121" s="361"/>
      <c r="K121" s="361"/>
      <c r="L121" s="361"/>
      <c r="M121" s="370"/>
      <c r="N121" s="368"/>
    </row>
    <row r="122" spans="1:14" ht="15" customHeight="1" x14ac:dyDescent="0.2">
      <c r="A122" s="622"/>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2"/>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2"/>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2"/>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2"/>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Sudáfrica</v>
      </c>
      <c r="D130" s="650"/>
      <c r="E130" s="361"/>
      <c r="F130" s="361"/>
      <c r="G130" s="361"/>
      <c r="H130" s="361"/>
      <c r="I130" s="372"/>
      <c r="J130" s="361"/>
      <c r="K130" s="361"/>
      <c r="L130" s="361"/>
      <c r="M130" s="370"/>
      <c r="N130" s="368"/>
    </row>
    <row r="131" spans="1:14" ht="15" customHeight="1" x14ac:dyDescent="0.2">
      <c r="A131" s="622"/>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2"/>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2"/>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2"/>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2"/>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2"/>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2"/>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2"/>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2"/>
      <c r="B139" s="352" t="str">
        <f t="shared" si="0"/>
        <v>Dieciseisavofinalista</v>
      </c>
      <c r="C139" s="342" t="str">
        <f ca="1">WORLDCUP!AA110</f>
        <v>Estados Unidos</v>
      </c>
      <c r="D139" s="650"/>
      <c r="E139" s="361"/>
      <c r="F139" s="361"/>
      <c r="G139" s="361"/>
      <c r="H139" s="361"/>
      <c r="I139" s="372"/>
      <c r="J139" s="361"/>
      <c r="K139" s="361"/>
      <c r="L139" s="361"/>
      <c r="M139" s="370"/>
      <c r="N139" s="368"/>
    </row>
    <row r="140" spans="1:14" ht="15" customHeight="1" x14ac:dyDescent="0.2">
      <c r="A140" s="622"/>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2"/>
      <c r="B141" s="352" t="str">
        <f t="shared" si="0"/>
        <v>Dieciseisavofinalista</v>
      </c>
      <c r="C141" s="342" t="str">
        <f ca="1">WORLDCUP!AA112</f>
        <v>Portugal</v>
      </c>
      <c r="D141" s="650"/>
      <c r="E141" s="361"/>
      <c r="F141" s="361"/>
      <c r="G141" s="361"/>
      <c r="H141" s="361"/>
      <c r="I141" s="372"/>
      <c r="J141" s="361"/>
      <c r="K141" s="361"/>
      <c r="L141" s="361"/>
      <c r="M141" s="370"/>
      <c r="N141" s="368"/>
    </row>
    <row r="142" spans="1:14" ht="15" customHeight="1" x14ac:dyDescent="0.2">
      <c r="A142" s="622"/>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2"/>
      <c r="B143" s="352" t="str">
        <f t="shared" si="0"/>
        <v>Dieciseisavofinalista</v>
      </c>
      <c r="C143" s="342" t="str">
        <f ca="1">WORLDCUP!AA114</f>
        <v>Australia</v>
      </c>
      <c r="D143" s="650"/>
      <c r="E143" s="361"/>
      <c r="F143" s="361"/>
      <c r="G143" s="361"/>
      <c r="H143" s="361"/>
      <c r="I143" s="372"/>
      <c r="J143" s="361"/>
      <c r="K143" s="361"/>
      <c r="L143" s="361"/>
      <c r="M143" s="370"/>
      <c r="N143" s="368"/>
    </row>
    <row r="144" spans="1:14" ht="15" customHeight="1" x14ac:dyDescent="0.2">
      <c r="A144" s="622"/>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2"/>
      <c r="B145" s="352" t="str">
        <f t="shared" si="0"/>
        <v>Dieciseisavofinalista</v>
      </c>
      <c r="C145" s="342" t="str">
        <f ca="1">WORLDCUP!AA116</f>
        <v>Colombia</v>
      </c>
      <c r="D145" s="650"/>
      <c r="E145" s="361"/>
      <c r="F145" s="361"/>
      <c r="G145" s="361"/>
      <c r="H145" s="361"/>
      <c r="I145" s="372"/>
      <c r="J145" s="361"/>
      <c r="K145" s="361"/>
      <c r="L145" s="361"/>
      <c r="M145" s="370"/>
      <c r="N145" s="368"/>
    </row>
    <row r="146" spans="1:14" ht="15" customHeight="1" x14ac:dyDescent="0.2">
      <c r="A146" s="622"/>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2"/>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2"/>
      <c r="B148" s="352" t="str">
        <f t="shared" si="1"/>
        <v>Dieciseisavofinalista</v>
      </c>
      <c r="C148" s="342" t="str">
        <f ca="1">WORLDCUP!AF103</f>
        <v>Paraguay</v>
      </c>
      <c r="D148" s="650"/>
      <c r="E148" s="361"/>
      <c r="F148" s="361"/>
      <c r="G148" s="361"/>
      <c r="H148" s="361"/>
      <c r="I148" s="372"/>
      <c r="J148" s="361"/>
      <c r="K148" s="361"/>
      <c r="L148" s="361"/>
      <c r="M148" s="370"/>
      <c r="N148" s="368"/>
    </row>
    <row r="149" spans="1:14" ht="15" customHeight="1" x14ac:dyDescent="0.2">
      <c r="A149" s="622"/>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2"/>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2"/>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2"/>
      <c r="B152" s="352" t="str">
        <f t="shared" si="1"/>
        <v>Dieciseisavofinalista</v>
      </c>
      <c r="C152" s="342" t="str">
        <f ca="1">WORLDCUP!AF107</f>
        <v>Ecuador</v>
      </c>
      <c r="D152" s="650"/>
      <c r="E152" s="361"/>
      <c r="F152" s="361"/>
      <c r="G152" s="361"/>
      <c r="H152" s="361"/>
      <c r="I152" s="372"/>
      <c r="J152" s="361"/>
      <c r="K152" s="361"/>
      <c r="L152" s="361"/>
      <c r="M152" s="370"/>
      <c r="N152" s="368"/>
    </row>
    <row r="153" spans="1:14" ht="15" customHeight="1" x14ac:dyDescent="0.2">
      <c r="A153" s="622"/>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2"/>
      <c r="B154" s="352" t="str">
        <f t="shared" si="1"/>
        <v>Dieciseisavofinalista</v>
      </c>
      <c r="C154" s="342" t="str">
        <f ca="1">WORLDCUP!AF109</f>
        <v>Senegal</v>
      </c>
      <c r="D154" s="650"/>
      <c r="E154" s="361"/>
      <c r="F154" s="361"/>
      <c r="G154" s="361"/>
      <c r="H154" s="361"/>
      <c r="I154" s="372"/>
      <c r="J154" s="361"/>
      <c r="K154" s="361"/>
      <c r="L154" s="361"/>
      <c r="M154" s="370"/>
      <c r="N154" s="368"/>
    </row>
    <row r="155" spans="1:14" ht="15" customHeight="1" x14ac:dyDescent="0.2">
      <c r="A155" s="622"/>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22"/>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22"/>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2"/>
      <c r="B158" s="352" t="str">
        <f t="shared" si="1"/>
        <v>Dieciseisavofinalista</v>
      </c>
      <c r="C158" s="342" t="str">
        <f ca="1">WORLDCUP!AF113</f>
        <v>Argelia</v>
      </c>
      <c r="D158" s="650"/>
      <c r="E158" s="361"/>
      <c r="F158" s="361"/>
      <c r="G158" s="361"/>
      <c r="H158" s="361"/>
      <c r="I158" s="372"/>
      <c r="J158" s="361"/>
      <c r="K158" s="361"/>
      <c r="L158" s="361"/>
      <c r="M158" s="370"/>
      <c r="N158" s="368"/>
    </row>
    <row r="159" spans="1:14" ht="15" customHeight="1" x14ac:dyDescent="0.2">
      <c r="A159" s="622"/>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2"/>
      <c r="B160" s="352" t="str">
        <f t="shared" si="1"/>
        <v>Dieciseisavofinalista</v>
      </c>
      <c r="C160" s="342" t="str">
        <f ca="1">WORLDCUP!AF115</f>
        <v>Cabo Verde</v>
      </c>
      <c r="D160" s="650"/>
      <c r="E160" s="361"/>
      <c r="F160" s="361"/>
      <c r="G160" s="361"/>
      <c r="H160" s="361"/>
      <c r="I160" s="372"/>
      <c r="J160" s="361"/>
      <c r="K160" s="361"/>
      <c r="L160" s="361"/>
      <c r="M160" s="370"/>
      <c r="N160" s="368"/>
    </row>
    <row r="161" spans="1:14" ht="15" customHeight="1" x14ac:dyDescent="0.2">
      <c r="A161" s="622"/>
      <c r="B161" s="352" t="str">
        <f t="shared" si="1"/>
        <v>Dieciseisavofinalista</v>
      </c>
      <c r="C161" s="342" t="str">
        <f ca="1">WORLDCUP!AF116</f>
        <v>Ghana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2"/>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2"/>
      <c r="E165" s="650"/>
      <c r="F165" s="650"/>
      <c r="G165" s="650"/>
      <c r="H165" s="650"/>
      <c r="I165" s="345"/>
      <c r="J165" s="361"/>
      <c r="K165" s="361"/>
      <c r="L165" s="361"/>
      <c r="M165" s="377"/>
      <c r="N165" s="368"/>
    </row>
    <row r="166" spans="1:14" ht="15" customHeight="1" x14ac:dyDescent="0.2">
      <c r="A166" s="622"/>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2"/>
      <c r="E166" s="650"/>
      <c r="F166" s="650"/>
      <c r="G166" s="650"/>
      <c r="H166" s="650"/>
      <c r="I166" s="345"/>
      <c r="J166" s="361"/>
      <c r="K166" s="361"/>
      <c r="L166" s="361"/>
      <c r="M166" s="377"/>
      <c r="N166" s="368"/>
    </row>
    <row r="167" spans="1:14" ht="15" customHeight="1" x14ac:dyDescent="0.2">
      <c r="A167" s="622"/>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2"/>
      <c r="E167" s="650"/>
      <c r="F167" s="650"/>
      <c r="G167" s="650"/>
      <c r="H167" s="650"/>
      <c r="I167" s="345"/>
      <c r="J167" s="361"/>
      <c r="K167" s="361"/>
      <c r="L167" s="361"/>
      <c r="M167" s="377"/>
      <c r="N167" s="368"/>
    </row>
    <row r="168" spans="1:14" ht="15" customHeight="1" x14ac:dyDescent="0.2">
      <c r="A168" s="622"/>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Marfil-Noruega·2|1-2</v>
      </c>
      <c r="D168" s="622"/>
      <c r="E168" s="361"/>
      <c r="F168" s="361"/>
      <c r="G168" s="361"/>
      <c r="H168" s="361"/>
      <c r="I168" s="345"/>
      <c r="J168" s="361"/>
      <c r="K168" s="361"/>
      <c r="L168" s="361"/>
      <c r="M168" s="377"/>
      <c r="N168" s="368"/>
    </row>
    <row r="169" spans="1:14" ht="15" customHeight="1" x14ac:dyDescent="0.2">
      <c r="A169" s="622"/>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Francia-Suecia·1|3-0</v>
      </c>
      <c r="D169" s="622"/>
      <c r="E169" s="361"/>
      <c r="F169" s="361"/>
      <c r="G169" s="361"/>
      <c r="H169" s="361"/>
      <c r="I169" s="345"/>
      <c r="J169" s="361"/>
      <c r="K169" s="361"/>
      <c r="L169" s="361"/>
      <c r="M169" s="377"/>
      <c r="N169" s="368"/>
    </row>
    <row r="170" spans="1:14" ht="15" customHeight="1" x14ac:dyDescent="0.2">
      <c r="A170" s="622"/>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México-Ecuador·1|2-0</v>
      </c>
      <c r="D170" s="622"/>
      <c r="E170" s="361"/>
      <c r="F170" s="361"/>
      <c r="G170" s="361"/>
      <c r="H170" s="361"/>
      <c r="I170" s="345"/>
      <c r="J170" s="361"/>
      <c r="K170" s="361"/>
      <c r="L170" s="361"/>
      <c r="M170" s="377"/>
      <c r="N170" s="368"/>
    </row>
    <row r="171" spans="1:14" ht="15" customHeight="1" x14ac:dyDescent="0.2">
      <c r="A171" s="622"/>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Congo·0|-</v>
      </c>
      <c r="D171" s="622"/>
      <c r="E171" s="361"/>
      <c r="F171" s="361"/>
      <c r="G171" s="361"/>
      <c r="H171" s="361"/>
      <c r="I171" s="345"/>
      <c r="J171" s="361"/>
      <c r="K171" s="361"/>
      <c r="L171" s="361"/>
      <c r="M171" s="377"/>
      <c r="N171" s="368"/>
    </row>
    <row r="172" spans="1:14" ht="15" customHeight="1" x14ac:dyDescent="0.2">
      <c r="A172" s="622"/>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Bélgica-Senegal·0|-</v>
      </c>
      <c r="D172" s="622"/>
      <c r="E172" s="361"/>
      <c r="F172" s="361"/>
      <c r="G172" s="361"/>
      <c r="H172" s="361"/>
      <c r="I172" s="345"/>
      <c r="J172" s="361"/>
      <c r="K172" s="361"/>
      <c r="L172" s="361"/>
      <c r="M172" s="377"/>
      <c r="N172" s="368"/>
    </row>
    <row r="173" spans="1:14" ht="15" customHeight="1" x14ac:dyDescent="0.2">
      <c r="A173" s="622"/>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Herzegovina·0|-</v>
      </c>
      <c r="D173" s="622"/>
      <c r="E173" s="361"/>
      <c r="F173" s="361"/>
      <c r="G173" s="361"/>
      <c r="H173" s="361"/>
      <c r="I173" s="345"/>
      <c r="J173" s="361"/>
      <c r="K173" s="361"/>
      <c r="L173" s="361"/>
      <c r="M173" s="377"/>
      <c r="N173" s="368"/>
    </row>
    <row r="174" spans="1:14" ht="15" customHeight="1" x14ac:dyDescent="0.2">
      <c r="A174" s="622"/>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2"/>
      <c r="E174" s="361"/>
      <c r="F174" s="361"/>
      <c r="G174" s="361"/>
      <c r="H174" s="361"/>
      <c r="I174" s="345"/>
      <c r="J174" s="361"/>
      <c r="K174" s="361"/>
      <c r="L174" s="361"/>
      <c r="M174" s="377"/>
      <c r="N174" s="368"/>
    </row>
    <row r="175" spans="1:14" ht="15" customHeight="1" x14ac:dyDescent="0.2">
      <c r="A175" s="622"/>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Portugal-Croacia·0|-</v>
      </c>
      <c r="D175" s="622"/>
      <c r="E175" s="361"/>
      <c r="F175" s="361"/>
      <c r="G175" s="361"/>
      <c r="H175" s="361"/>
      <c r="I175" s="345"/>
      <c r="J175" s="361"/>
      <c r="K175" s="361"/>
      <c r="L175" s="361"/>
      <c r="M175" s="377"/>
      <c r="N175" s="368"/>
    </row>
    <row r="176" spans="1:14" ht="15" customHeight="1" x14ac:dyDescent="0.2">
      <c r="A176" s="622"/>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Suiza-Argelia·0|-</v>
      </c>
      <c r="D176" s="622"/>
      <c r="E176" s="361"/>
      <c r="F176" s="361"/>
      <c r="G176" s="361"/>
      <c r="H176" s="361"/>
      <c r="I176" s="345"/>
      <c r="J176" s="361"/>
      <c r="K176" s="361"/>
      <c r="L176" s="361"/>
      <c r="M176" s="377"/>
      <c r="N176" s="368"/>
    </row>
    <row r="177" spans="1:14" ht="15" customHeight="1" x14ac:dyDescent="0.2">
      <c r="A177" s="622"/>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Australia-Egipto·0|-</v>
      </c>
      <c r="D177" s="622"/>
      <c r="E177" s="361"/>
      <c r="F177" s="361"/>
      <c r="G177" s="361"/>
      <c r="H177" s="361"/>
      <c r="I177" s="345"/>
      <c r="J177" s="361"/>
      <c r="K177" s="361"/>
      <c r="L177" s="361"/>
      <c r="M177" s="377"/>
      <c r="N177" s="368"/>
    </row>
    <row r="178" spans="1:14" ht="15" customHeight="1" x14ac:dyDescent="0.2">
      <c r="A178" s="622"/>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Verde·0|-</v>
      </c>
      <c r="D178" s="622"/>
      <c r="E178" s="361"/>
      <c r="F178" s="361"/>
      <c r="G178" s="361"/>
      <c r="H178" s="361"/>
      <c r="I178" s="345"/>
      <c r="J178" s="361"/>
      <c r="K178" s="361"/>
      <c r="L178" s="361"/>
      <c r="M178" s="377"/>
      <c r="N178" s="368"/>
    </row>
    <row r="179" spans="1:14" ht="15" customHeight="1" x14ac:dyDescent="0.2">
      <c r="A179" s="622"/>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Colombia-Ghana·0|-</v>
      </c>
      <c r="D179" s="622"/>
      <c r="E179" s="361"/>
      <c r="F179" s="361"/>
      <c r="G179" s="361"/>
      <c r="H179" s="361"/>
      <c r="I179" s="345"/>
      <c r="J179" s="361"/>
      <c r="K179" s="361"/>
      <c r="L179" s="361"/>
      <c r="M179" s="377"/>
      <c r="N179" s="368"/>
    </row>
    <row r="180" spans="1:14" ht="15" customHeight="1" x14ac:dyDescent="0.2">
      <c r="A180" s="223"/>
      <c r="B180" s="223"/>
      <c r="C180" s="343"/>
      <c r="D180" s="622"/>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2"/>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 ca="1">WORLDCUP!AA120</f>
        <v>Canadá</v>
      </c>
      <c r="D182" s="622"/>
      <c r="E182" s="361"/>
      <c r="F182" s="361"/>
      <c r="G182" s="361"/>
      <c r="H182" s="361"/>
      <c r="I182" s="345"/>
      <c r="J182" s="361"/>
      <c r="K182" s="361"/>
      <c r="L182" s="361"/>
      <c r="M182" s="377"/>
      <c r="N182" s="368"/>
    </row>
    <row r="183" spans="1:14" ht="15" customHeight="1" x14ac:dyDescent="0.2">
      <c r="A183" s="622"/>
      <c r="B183" s="352" t="str">
        <f t="shared" ref="B183:B197" si="2">B182</f>
        <v>Octavofinalista</v>
      </c>
      <c r="C183" s="342" t="str">
        <f>WORLDCUP!AA121</f>
        <v>W74</v>
      </c>
      <c r="D183" s="622"/>
      <c r="E183" s="361"/>
      <c r="F183" s="361"/>
      <c r="G183" s="361"/>
      <c r="H183" s="361"/>
      <c r="I183" s="345"/>
      <c r="J183" s="361"/>
      <c r="K183" s="361"/>
      <c r="L183" s="361"/>
      <c r="M183" s="377"/>
      <c r="N183" s="368"/>
    </row>
    <row r="184" spans="1:14" ht="15" customHeight="1" x14ac:dyDescent="0.2">
      <c r="A184" s="622"/>
      <c r="B184" s="352" t="str">
        <f t="shared" si="2"/>
        <v>Octavofinalista</v>
      </c>
      <c r="C184" s="342" t="str">
        <f ca="1">WORLDCUP!AA122</f>
        <v>Brasil</v>
      </c>
      <c r="D184" s="622"/>
      <c r="E184" s="361"/>
      <c r="F184" s="361"/>
      <c r="G184" s="361"/>
      <c r="H184" s="361"/>
      <c r="I184" s="345"/>
      <c r="J184" s="361"/>
      <c r="K184" s="361"/>
      <c r="L184" s="361"/>
      <c r="M184" s="377"/>
      <c r="N184" s="368"/>
    </row>
    <row r="185" spans="1:14" ht="15" customHeight="1" x14ac:dyDescent="0.2">
      <c r="A185" s="622"/>
      <c r="B185" s="352" t="str">
        <f t="shared" si="2"/>
        <v>Octavofinalista</v>
      </c>
      <c r="C185" s="342" t="str">
        <f ca="1">WORLDCUP!AA123</f>
        <v>México</v>
      </c>
      <c r="D185" s="622"/>
      <c r="E185" s="361"/>
      <c r="F185" s="361"/>
      <c r="G185" s="361"/>
      <c r="H185" s="361"/>
      <c r="I185" s="345"/>
      <c r="J185" s="361"/>
      <c r="K185" s="361"/>
      <c r="L185" s="361"/>
      <c r="M185" s="377"/>
      <c r="N185" s="368"/>
    </row>
    <row r="186" spans="1:14" ht="15" customHeight="1" x14ac:dyDescent="0.2">
      <c r="A186" s="622"/>
      <c r="B186" s="352" t="str">
        <f t="shared" si="2"/>
        <v>Octavofinalista</v>
      </c>
      <c r="C186" s="342" t="str">
        <f>WORLDCUP!AA124</f>
        <v>W83</v>
      </c>
      <c r="D186" s="622"/>
      <c r="E186" s="361"/>
      <c r="F186" s="361"/>
      <c r="G186" s="361"/>
      <c r="H186" s="361"/>
      <c r="I186" s="345"/>
      <c r="J186" s="361"/>
      <c r="K186" s="361"/>
      <c r="L186" s="361"/>
      <c r="M186" s="377"/>
      <c r="N186" s="368"/>
    </row>
    <row r="187" spans="1:14" ht="15" customHeight="1" x14ac:dyDescent="0.2">
      <c r="A187" s="622"/>
      <c r="B187" s="352" t="str">
        <f t="shared" si="2"/>
        <v>Octavofinalista</v>
      </c>
      <c r="C187" s="342" t="str">
        <f>WORLDCUP!AA125</f>
        <v>W81</v>
      </c>
      <c r="D187" s="622"/>
      <c r="E187" s="361"/>
      <c r="F187" s="361"/>
      <c r="G187" s="361"/>
      <c r="H187" s="361"/>
      <c r="I187" s="345"/>
      <c r="J187" s="361"/>
      <c r="K187" s="361"/>
      <c r="L187" s="361"/>
      <c r="M187" s="377"/>
      <c r="N187" s="368"/>
    </row>
    <row r="188" spans="1:14" ht="15" customHeight="1" x14ac:dyDescent="0.2">
      <c r="A188" s="622"/>
      <c r="B188" s="352" t="str">
        <f t="shared" si="2"/>
        <v>Octavofinalista</v>
      </c>
      <c r="C188" s="342" t="str">
        <f>WORLDCUP!AA126</f>
        <v>W86</v>
      </c>
      <c r="D188" s="622"/>
      <c r="E188" s="361"/>
      <c r="F188" s="361"/>
      <c r="G188" s="361"/>
      <c r="H188" s="361"/>
      <c r="I188" s="345"/>
      <c r="J188" s="361"/>
      <c r="K188" s="361"/>
      <c r="L188" s="361"/>
      <c r="M188" s="377"/>
      <c r="N188" s="368"/>
    </row>
    <row r="189" spans="1:14" ht="15" customHeight="1" x14ac:dyDescent="0.2">
      <c r="A189" s="622"/>
      <c r="B189" s="352" t="str">
        <f t="shared" si="2"/>
        <v>Octavofinalista</v>
      </c>
      <c r="C189" s="342" t="str">
        <f>WORLDCUP!AA127</f>
        <v>W85</v>
      </c>
      <c r="D189" s="622"/>
      <c r="E189" s="361"/>
      <c r="F189" s="361"/>
      <c r="G189" s="361"/>
      <c r="H189" s="361"/>
      <c r="I189" s="345"/>
      <c r="J189" s="361"/>
      <c r="K189" s="361"/>
      <c r="L189" s="361"/>
      <c r="M189" s="377"/>
      <c r="N189" s="368"/>
    </row>
    <row r="190" spans="1:14" ht="15" customHeight="1" x14ac:dyDescent="0.2">
      <c r="A190" s="622"/>
      <c r="B190" s="352" t="str">
        <f t="shared" si="2"/>
        <v>Octavofinalista</v>
      </c>
      <c r="C190" s="342" t="str">
        <f>WORLDCUP!AF120</f>
        <v>W75</v>
      </c>
      <c r="D190" s="622"/>
      <c r="E190" s="361"/>
      <c r="F190" s="361"/>
      <c r="G190" s="361"/>
      <c r="H190" s="361"/>
      <c r="I190" s="345"/>
      <c r="J190" s="361"/>
      <c r="K190" s="361"/>
      <c r="L190" s="361"/>
      <c r="M190" s="377"/>
      <c r="N190" s="368"/>
    </row>
    <row r="191" spans="1:14" ht="15" customHeight="1" x14ac:dyDescent="0.2">
      <c r="A191" s="622"/>
      <c r="B191" s="352" t="str">
        <f t="shared" si="2"/>
        <v>Octavofinalista</v>
      </c>
      <c r="C191" s="342" t="str">
        <f ca="1">WORLDCUP!AF121</f>
        <v>Francia</v>
      </c>
      <c r="D191" s="622"/>
      <c r="E191" s="361"/>
      <c r="F191" s="361"/>
      <c r="G191" s="361"/>
      <c r="H191" s="361"/>
      <c r="I191" s="345"/>
      <c r="J191" s="361"/>
      <c r="K191" s="361"/>
      <c r="L191" s="361"/>
      <c r="M191" s="377"/>
      <c r="N191" s="368"/>
    </row>
    <row r="192" spans="1:14" ht="15" customHeight="1" x14ac:dyDescent="0.2">
      <c r="A192" s="622"/>
      <c r="B192" s="352" t="str">
        <f t="shared" si="2"/>
        <v>Octavofinalista</v>
      </c>
      <c r="C192" s="342" t="str">
        <f ca="1">WORLDCUP!AF122</f>
        <v>Noruega</v>
      </c>
      <c r="D192" s="622"/>
      <c r="E192" s="361"/>
      <c r="F192" s="361"/>
      <c r="G192" s="361"/>
      <c r="H192" s="361"/>
      <c r="I192" s="345"/>
      <c r="J192" s="361"/>
      <c r="K192" s="361"/>
      <c r="L192" s="361"/>
      <c r="M192" s="377"/>
      <c r="N192" s="368"/>
    </row>
    <row r="193" spans="1:14" ht="15" customHeight="1" x14ac:dyDescent="0.2">
      <c r="A193" s="622"/>
      <c r="B193" s="352" t="str">
        <f t="shared" si="2"/>
        <v>Octavofinalista</v>
      </c>
      <c r="C193" s="342" t="str">
        <f>WORLDCUP!AF123</f>
        <v>W80</v>
      </c>
      <c r="D193" s="622"/>
      <c r="E193" s="361"/>
      <c r="F193" s="361"/>
      <c r="G193" s="361"/>
      <c r="H193" s="361"/>
      <c r="I193" s="345"/>
      <c r="J193" s="361"/>
      <c r="K193" s="361"/>
      <c r="L193" s="361"/>
      <c r="M193" s="377"/>
      <c r="N193" s="368"/>
    </row>
    <row r="194" spans="1:14" ht="15" customHeight="1" x14ac:dyDescent="0.2">
      <c r="A194" s="622"/>
      <c r="B194" s="352" t="str">
        <f t="shared" si="2"/>
        <v>Octavofinalista</v>
      </c>
      <c r="C194" s="342" t="str">
        <f>WORLDCUP!AF124</f>
        <v>W84</v>
      </c>
      <c r="D194" s="622"/>
      <c r="E194" s="361"/>
      <c r="F194" s="361"/>
      <c r="G194" s="361"/>
      <c r="H194" s="361"/>
      <c r="I194" s="345"/>
      <c r="J194" s="361"/>
      <c r="K194" s="361"/>
      <c r="L194" s="361"/>
      <c r="M194" s="377"/>
      <c r="N194" s="368"/>
    </row>
    <row r="195" spans="1:14" ht="15" customHeight="1" x14ac:dyDescent="0.2">
      <c r="A195" s="622"/>
      <c r="B195" s="352" t="str">
        <f t="shared" si="2"/>
        <v>Octavofinalista</v>
      </c>
      <c r="C195" s="342" t="str">
        <f>WORLDCUP!AF125</f>
        <v>W82</v>
      </c>
      <c r="D195" s="622"/>
      <c r="E195" s="361"/>
      <c r="F195" s="361"/>
      <c r="G195" s="361"/>
      <c r="H195" s="361"/>
      <c r="I195" s="345"/>
      <c r="J195" s="361"/>
      <c r="K195" s="361"/>
      <c r="L195" s="361"/>
      <c r="M195" s="377"/>
      <c r="N195" s="368"/>
    </row>
    <row r="196" spans="1:14" ht="15" customHeight="1" x14ac:dyDescent="0.2">
      <c r="A196" s="622"/>
      <c r="B196" s="352" t="str">
        <f t="shared" si="2"/>
        <v>Octavofinalista</v>
      </c>
      <c r="C196" s="342" t="str">
        <f>WORLDCUP!AF126</f>
        <v>W88</v>
      </c>
      <c r="D196" s="622"/>
      <c r="E196" s="361"/>
      <c r="F196" s="361"/>
      <c r="G196" s="361"/>
      <c r="H196" s="361"/>
      <c r="I196" s="345"/>
      <c r="J196" s="361"/>
      <c r="K196" s="361"/>
      <c r="L196" s="361"/>
      <c r="M196" s="377"/>
      <c r="N196" s="368"/>
    </row>
    <row r="197" spans="1:14" ht="15" customHeight="1" x14ac:dyDescent="0.2">
      <c r="A197" s="622"/>
      <c r="B197" s="352" t="str">
        <f t="shared" si="2"/>
        <v>Octavofinalista</v>
      </c>
      <c r="C197" s="342" t="str">
        <f>WORLDCUP!AF127</f>
        <v>W87</v>
      </c>
      <c r="D197" s="622"/>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 ca="1">CONCATENATE(WORLDCUP!AA120,"-",WORLDCUP!AF120)</f>
        <v>Canadá-W75</v>
      </c>
      <c r="C200" s="344" t="str">
        <f ca="1">CONCATENATE(WORLDCUP!AA120,"-",WORLDCUP!AF120,"·",IF(WORLDCUP!AC120&gt;WORLDCUP!AD120,1,IF(WORLDCUP!AC120&lt;WORLDCUP!AD120,2,IF(AND(WORLDCUP!AC120=WORLDCUP!AD120,WORLDCUP!AC120&lt;&gt;"",WORLDCUP!AD120&lt;&gt;""),"X",0))),"|",WORLDCUP!AC120,"-",WORLDCUP!AD120)</f>
        <v>Canadá-W75·0|-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2"/>
      <c r="B201" s="353" t="str">
        <f ca="1">CONCATENATE(WORLDCUP!AA121,"-",WORLDCUP!AF121)</f>
        <v>W74-Francia</v>
      </c>
      <c r="C201" s="344" t="str">
        <f ca="1">CONCATENATE(WORLDCUP!AA121,"-",WORLDCUP!AF121,"·",IF(WORLDCUP!AC121&gt;WORLDCUP!AD121,1,IF(WORLDCUP!AC121&lt;WORLDCUP!AD121,2,IF(AND(WORLDCUP!AC121=WORLDCUP!AD121,WORLDCUP!AC121&lt;&gt;"",WORLDCUP!AD121&lt;&gt;""),"X",0))),"|",WORLDCUP!AC121,"-",WORLDCUP!AD121)</f>
        <v>W74-Francia·0|-</v>
      </c>
      <c r="D201" s="622"/>
      <c r="E201" s="650"/>
      <c r="F201" s="650"/>
      <c r="G201" s="650"/>
      <c r="H201" s="650"/>
      <c r="I201" s="345"/>
      <c r="J201" s="361"/>
      <c r="K201" s="361"/>
      <c r="L201" s="361"/>
      <c r="M201" s="377"/>
      <c r="N201" s="368"/>
    </row>
    <row r="202" spans="1:14" ht="15" customHeight="1" x14ac:dyDescent="0.2">
      <c r="A202" s="622"/>
      <c r="B202" s="353" t="str">
        <f ca="1">CONCATENATE(WORLDCUP!AA122,"-",WORLDCUP!AF122)</f>
        <v>Brasil-Noruega</v>
      </c>
      <c r="C202" s="344" t="str">
        <f ca="1">CONCATENATE(WORLDCUP!AA122,"-",WORLDCUP!AF122,"·",IF(WORLDCUP!AC122&gt;WORLDCUP!AD122,1,IF(WORLDCUP!AC122&lt;WORLDCUP!AD122,2,IF(AND(WORLDCUP!AC122=WORLDCUP!AD122,WORLDCUP!AC122&lt;&gt;"",WORLDCUP!AD122&lt;&gt;""),"X",0))),"|",WORLDCUP!AC122,"-",WORLDCUP!AD122)</f>
        <v>Brasil-Noruega·0|-</v>
      </c>
      <c r="D202" s="622"/>
      <c r="E202" s="650"/>
      <c r="F202" s="650"/>
      <c r="G202" s="650"/>
      <c r="H202" s="650"/>
      <c r="I202" s="345"/>
      <c r="J202" s="361"/>
      <c r="K202" s="361"/>
      <c r="L202" s="361"/>
      <c r="M202" s="377"/>
      <c r="N202" s="368"/>
    </row>
    <row r="203" spans="1:14" ht="15" customHeight="1" x14ac:dyDescent="0.2">
      <c r="A203" s="622"/>
      <c r="B203" s="353" t="str">
        <f ca="1">CONCATENATE(WORLDCUP!AA123,"-",WORLDCUP!AF123)</f>
        <v>México-W80</v>
      </c>
      <c r="C203" s="344" t="str">
        <f ca="1">CONCATENATE(WORLDCUP!AA123,"-",WORLDCUP!AF123,"·",IF(WORLDCUP!AC123&gt;WORLDCUP!AD123,1,IF(WORLDCUP!AC123&lt;WORLDCUP!AD123,2,IF(AND(WORLDCUP!AC123=WORLDCUP!AD123,WORLDCUP!AC123&lt;&gt;"",WORLDCUP!AD123&lt;&gt;""),"X",0))),"|",WORLDCUP!AC123,"-",WORLDCUP!AD123)</f>
        <v>México-W80·0|-</v>
      </c>
      <c r="D203" s="622"/>
      <c r="E203" s="650"/>
      <c r="F203" s="650"/>
      <c r="G203" s="650"/>
      <c r="H203" s="650"/>
      <c r="I203" s="345"/>
      <c r="J203" s="361"/>
      <c r="K203" s="361"/>
      <c r="L203" s="361"/>
      <c r="M203" s="377"/>
      <c r="N203" s="368"/>
    </row>
    <row r="204" spans="1:14" ht="15" customHeight="1" x14ac:dyDescent="0.2">
      <c r="A204" s="622"/>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2"/>
      <c r="E204" s="345"/>
      <c r="F204" s="345"/>
      <c r="G204" s="345"/>
      <c r="H204" s="345"/>
      <c r="I204" s="345"/>
      <c r="J204" s="361"/>
      <c r="K204" s="361"/>
      <c r="L204" s="361"/>
      <c r="M204" s="377"/>
      <c r="N204" s="368"/>
    </row>
    <row r="205" spans="1:14" ht="15" customHeight="1" x14ac:dyDescent="0.2">
      <c r="A205" s="622"/>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2"/>
      <c r="E205" s="345"/>
      <c r="F205" s="345"/>
      <c r="G205" s="345"/>
      <c r="H205" s="345"/>
      <c r="I205" s="345"/>
      <c r="J205" s="361"/>
      <c r="K205" s="361"/>
      <c r="L205" s="361"/>
      <c r="M205" s="377"/>
      <c r="N205" s="368"/>
    </row>
    <row r="206" spans="1:14" ht="15" customHeight="1" x14ac:dyDescent="0.2">
      <c r="A206" s="622"/>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2"/>
      <c r="E206" s="345"/>
      <c r="F206" s="345"/>
      <c r="G206" s="345"/>
      <c r="H206" s="345"/>
      <c r="I206" s="345"/>
      <c r="J206" s="361"/>
      <c r="K206" s="361"/>
      <c r="L206" s="361"/>
      <c r="M206" s="377"/>
      <c r="N206" s="368"/>
    </row>
    <row r="207" spans="1:14" ht="15" customHeight="1" x14ac:dyDescent="0.2">
      <c r="A207" s="622"/>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2"/>
      <c r="E207" s="345"/>
      <c r="F207" s="345"/>
      <c r="G207" s="345"/>
      <c r="H207" s="345"/>
      <c r="I207" s="345"/>
      <c r="J207" s="361"/>
      <c r="K207" s="361"/>
      <c r="L207" s="361"/>
      <c r="M207" s="377"/>
      <c r="N207" s="368"/>
    </row>
    <row r="208" spans="1:14" ht="15" customHeight="1" x14ac:dyDescent="0.2">
      <c r="A208" s="223"/>
      <c r="B208" s="223"/>
      <c r="C208" s="343"/>
      <c r="D208" s="622"/>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2"/>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2"/>
      <c r="E210" s="361"/>
      <c r="F210" s="361"/>
      <c r="G210" s="361"/>
      <c r="H210" s="361"/>
      <c r="I210" s="345"/>
      <c r="J210" s="361"/>
      <c r="K210" s="361"/>
      <c r="L210" s="361"/>
      <c r="M210" s="377"/>
      <c r="N210" s="368"/>
    </row>
    <row r="211" spans="1:14" ht="15" customHeight="1" x14ac:dyDescent="0.2">
      <c r="A211" s="622"/>
      <c r="B211" s="352" t="str">
        <f t="shared" ref="B211:B217" si="3">B210</f>
        <v>Cuartofinalista</v>
      </c>
      <c r="C211" s="342" t="str">
        <f>WORLDCUP!AA132</f>
        <v>W93</v>
      </c>
      <c r="D211" s="622"/>
      <c r="E211" s="361"/>
      <c r="F211" s="361"/>
      <c r="G211" s="361"/>
      <c r="H211" s="361"/>
      <c r="I211" s="345"/>
      <c r="J211" s="361"/>
      <c r="K211" s="361"/>
      <c r="L211" s="361"/>
      <c r="M211" s="377"/>
      <c r="N211" s="368"/>
    </row>
    <row r="212" spans="1:14" ht="15" customHeight="1" x14ac:dyDescent="0.2">
      <c r="A212" s="622"/>
      <c r="B212" s="352" t="str">
        <f t="shared" si="3"/>
        <v>Cuartofinalista</v>
      </c>
      <c r="C212" s="342" t="str">
        <f>WORLDCUP!AA133</f>
        <v>W91</v>
      </c>
      <c r="D212" s="622"/>
      <c r="E212" s="361"/>
      <c r="F212" s="361"/>
      <c r="G212" s="361"/>
      <c r="H212" s="361"/>
      <c r="I212" s="345"/>
      <c r="J212" s="361"/>
      <c r="K212" s="361"/>
      <c r="L212" s="361"/>
      <c r="M212" s="377"/>
      <c r="N212" s="368"/>
    </row>
    <row r="213" spans="1:14" ht="15" customHeight="1" x14ac:dyDescent="0.2">
      <c r="A213" s="622"/>
      <c r="B213" s="352" t="str">
        <f t="shared" si="3"/>
        <v>Cuartofinalista</v>
      </c>
      <c r="C213" s="342" t="str">
        <f>WORLDCUP!AA134</f>
        <v>W95</v>
      </c>
      <c r="D213" s="622"/>
      <c r="E213" s="361"/>
      <c r="F213" s="361"/>
      <c r="G213" s="361"/>
      <c r="H213" s="361"/>
      <c r="I213" s="345"/>
      <c r="J213" s="361"/>
      <c r="K213" s="361"/>
      <c r="L213" s="361"/>
      <c r="M213" s="377"/>
      <c r="N213" s="368"/>
    </row>
    <row r="214" spans="1:14" ht="15" customHeight="1" x14ac:dyDescent="0.2">
      <c r="A214" s="622"/>
      <c r="B214" s="352" t="str">
        <f t="shared" si="3"/>
        <v>Cuartofinalista</v>
      </c>
      <c r="C214" s="342" t="str">
        <f>WORLDCUP!AF131</f>
        <v>W90</v>
      </c>
      <c r="D214" s="622"/>
      <c r="E214" s="361"/>
      <c r="F214" s="361"/>
      <c r="G214" s="361"/>
      <c r="H214" s="361"/>
      <c r="I214" s="345"/>
      <c r="J214" s="361"/>
      <c r="K214" s="361"/>
      <c r="L214" s="361"/>
      <c r="M214" s="377"/>
      <c r="N214" s="368"/>
    </row>
    <row r="215" spans="1:14" ht="15" customHeight="1" x14ac:dyDescent="0.2">
      <c r="A215" s="622"/>
      <c r="B215" s="352" t="str">
        <f t="shared" si="3"/>
        <v>Cuartofinalista</v>
      </c>
      <c r="C215" s="342" t="str">
        <f>WORLDCUP!AF132</f>
        <v>W94</v>
      </c>
      <c r="D215" s="622"/>
      <c r="E215" s="361"/>
      <c r="F215" s="361"/>
      <c r="G215" s="361"/>
      <c r="H215" s="361"/>
      <c r="I215" s="345"/>
      <c r="J215" s="361"/>
      <c r="K215" s="361"/>
      <c r="L215" s="361"/>
      <c r="M215" s="377"/>
      <c r="N215" s="368"/>
    </row>
    <row r="216" spans="1:14" ht="15" customHeight="1" x14ac:dyDescent="0.2">
      <c r="A216" s="622"/>
      <c r="B216" s="352" t="str">
        <f t="shared" si="3"/>
        <v>Cuartofinalista</v>
      </c>
      <c r="C216" s="342" t="str">
        <f>WORLDCUP!AF133</f>
        <v>W92</v>
      </c>
      <c r="D216" s="622"/>
      <c r="E216" s="361"/>
      <c r="F216" s="361"/>
      <c r="G216" s="361"/>
      <c r="H216" s="361"/>
      <c r="I216" s="345"/>
      <c r="J216" s="361"/>
      <c r="K216" s="361"/>
      <c r="L216" s="361"/>
      <c r="M216" s="377"/>
      <c r="N216" s="368"/>
    </row>
    <row r="217" spans="1:14" ht="15" customHeight="1" x14ac:dyDescent="0.2">
      <c r="A217" s="622"/>
      <c r="B217" s="352" t="str">
        <f t="shared" si="3"/>
        <v>Cuartofinalista</v>
      </c>
      <c r="C217" s="342" t="str">
        <f>WORLDCUP!AF134</f>
        <v>W96</v>
      </c>
      <c r="D217" s="622"/>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2"/>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2"/>
      <c r="E221" s="650"/>
      <c r="F221" s="650"/>
      <c r="G221" s="650"/>
      <c r="H221" s="650"/>
      <c r="I221" s="345"/>
      <c r="J221" s="361"/>
      <c r="K221" s="361"/>
      <c r="L221" s="361"/>
      <c r="M221" s="377"/>
      <c r="N221" s="368"/>
    </row>
    <row r="222" spans="1:14" ht="15" customHeight="1" x14ac:dyDescent="0.2">
      <c r="A222" s="622"/>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2"/>
      <c r="E222" s="650"/>
      <c r="F222" s="650"/>
      <c r="G222" s="650"/>
      <c r="H222" s="650"/>
      <c r="I222" s="345"/>
      <c r="J222" s="361"/>
      <c r="K222" s="361"/>
      <c r="L222" s="361"/>
      <c r="M222" s="377"/>
      <c r="N222" s="368"/>
    </row>
    <row r="223" spans="1:14" ht="15" customHeight="1" x14ac:dyDescent="0.2">
      <c r="A223" s="622"/>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2"/>
      <c r="E223" s="650"/>
      <c r="F223" s="650"/>
      <c r="G223" s="650"/>
      <c r="H223" s="650"/>
      <c r="I223" s="345"/>
      <c r="J223" s="361"/>
      <c r="K223" s="361"/>
      <c r="L223" s="361"/>
      <c r="M223" s="377"/>
      <c r="N223" s="368"/>
    </row>
    <row r="224" spans="1:14" x14ac:dyDescent="0.2">
      <c r="A224" s="223"/>
      <c r="B224" s="223"/>
      <c r="C224" s="343"/>
      <c r="D224" s="622"/>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2"/>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2"/>
      <c r="E226" s="361"/>
      <c r="F226" s="361"/>
      <c r="G226" s="361"/>
      <c r="H226" s="361"/>
      <c r="I226" s="345"/>
      <c r="J226" s="361"/>
      <c r="K226" s="361"/>
      <c r="L226" s="361"/>
      <c r="M226" s="377"/>
      <c r="N226" s="368"/>
    </row>
    <row r="227" spans="1:14" ht="15" customHeight="1" x14ac:dyDescent="0.2">
      <c r="A227" s="622"/>
      <c r="B227" s="352" t="str">
        <f>Idiomas!$D$191</f>
        <v>Semifinalista</v>
      </c>
      <c r="C227" s="342" t="str">
        <f>WORLDCUP!AA139</f>
        <v>W99</v>
      </c>
      <c r="D227" s="622"/>
      <c r="E227" s="361"/>
      <c r="F227" s="361"/>
      <c r="G227" s="361"/>
      <c r="H227" s="361"/>
      <c r="I227" s="345"/>
      <c r="J227" s="361"/>
      <c r="K227" s="361"/>
      <c r="L227" s="361"/>
      <c r="M227" s="377"/>
      <c r="N227" s="368"/>
    </row>
    <row r="228" spans="1:14" ht="15" customHeight="1" x14ac:dyDescent="0.2">
      <c r="A228" s="622"/>
      <c r="B228" s="352" t="str">
        <f>Idiomas!$D$191</f>
        <v>Semifinalista</v>
      </c>
      <c r="C228" s="342" t="str">
        <f>WORLDCUP!AF138</f>
        <v>W98</v>
      </c>
      <c r="D228" s="622"/>
      <c r="E228" s="361"/>
      <c r="F228" s="361"/>
      <c r="G228" s="361"/>
      <c r="H228" s="361"/>
      <c r="I228" s="345"/>
      <c r="J228" s="361"/>
      <c r="K228" s="361"/>
      <c r="L228" s="361"/>
      <c r="M228" s="377"/>
      <c r="N228" s="368"/>
    </row>
    <row r="229" spans="1:14" ht="15" customHeight="1" x14ac:dyDescent="0.2">
      <c r="A229" s="622"/>
      <c r="B229" s="352" t="str">
        <f>Idiomas!$D$191</f>
        <v>Semifinalista</v>
      </c>
      <c r="C229" s="342" t="str">
        <f>WORLDCUP!AF139</f>
        <v>W100</v>
      </c>
      <c r="D229" s="622"/>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2"/>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2"/>
      <c r="E233" s="650"/>
      <c r="F233" s="650"/>
      <c r="G233" s="650"/>
      <c r="H233" s="650"/>
      <c r="I233" s="345"/>
      <c r="J233" s="361"/>
      <c r="K233" s="361"/>
      <c r="L233" s="361"/>
      <c r="M233" s="377"/>
      <c r="N233" s="368"/>
    </row>
    <row r="234" spans="1:14" ht="15" customHeight="1" x14ac:dyDescent="0.2">
      <c r="A234" s="223"/>
      <c r="B234" s="223"/>
      <c r="C234" s="343"/>
      <c r="D234" s="622"/>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2"/>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2"/>
      <c r="E236" s="365"/>
      <c r="F236" s="365"/>
      <c r="G236" s="365"/>
      <c r="H236" s="365"/>
      <c r="I236" s="345"/>
      <c r="J236" s="361"/>
      <c r="K236" s="361"/>
      <c r="L236" s="361"/>
      <c r="M236" s="377"/>
      <c r="N236" s="368"/>
    </row>
    <row r="237" spans="1:14" ht="15" customHeight="1" x14ac:dyDescent="0.2">
      <c r="A237" s="622"/>
      <c r="B237" s="352" t="str">
        <f>Idiomas!D192</f>
        <v>3º y 4º puesto</v>
      </c>
      <c r="C237" s="342" t="str">
        <f>WORLDCUP!AF143</f>
        <v>L102</v>
      </c>
      <c r="D237" s="622"/>
      <c r="E237" s="365"/>
      <c r="F237" s="365"/>
      <c r="G237" s="365"/>
      <c r="H237" s="365"/>
      <c r="I237" s="345"/>
      <c r="J237" s="361"/>
      <c r="K237" s="361"/>
      <c r="L237" s="361"/>
      <c r="M237" s="377"/>
      <c r="N237" s="368"/>
    </row>
    <row r="238" spans="1:14" ht="15" customHeight="1" x14ac:dyDescent="0.2">
      <c r="A238" s="223"/>
      <c r="B238" s="223"/>
      <c r="C238" s="343"/>
      <c r="D238" s="622"/>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2"/>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2"/>
      <c r="E240" s="361"/>
      <c r="F240" s="361"/>
      <c r="G240" s="361"/>
      <c r="H240" s="361"/>
      <c r="I240" s="345"/>
      <c r="J240" s="361"/>
      <c r="K240" s="361"/>
      <c r="L240" s="361"/>
      <c r="M240" s="377"/>
      <c r="N240" s="368"/>
    </row>
    <row r="241" spans="1:14" ht="15" customHeight="1" x14ac:dyDescent="0.2">
      <c r="A241" s="622"/>
      <c r="B241" s="352" t="str">
        <f>B240</f>
        <v>Finalista</v>
      </c>
      <c r="C241" s="342" t="str">
        <f>WORLDCUP!AF147</f>
        <v>W102</v>
      </c>
      <c r="D241" s="622"/>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2"/>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2"/>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2"/>
      <c r="E247" s="367"/>
      <c r="F247" s="367"/>
      <c r="G247" s="367"/>
      <c r="H247" s="367"/>
      <c r="I247" s="372"/>
      <c r="J247" s="361"/>
      <c r="K247" s="361"/>
      <c r="L247" s="361"/>
      <c r="M247" s="377"/>
      <c r="N247" s="368"/>
    </row>
    <row r="248" spans="1:14" ht="15" customHeight="1" x14ac:dyDescent="0.2">
      <c r="A248" s="223"/>
      <c r="B248" s="223"/>
      <c r="C248" s="343"/>
      <c r="D248" s="622"/>
      <c r="E248" s="365"/>
      <c r="F248" s="365"/>
      <c r="G248" s="365"/>
      <c r="H248" s="365"/>
      <c r="I248" s="372"/>
      <c r="J248" s="361"/>
      <c r="K248" s="361"/>
      <c r="L248" s="361"/>
      <c r="M248" s="377"/>
      <c r="N248" s="368"/>
    </row>
    <row r="249" spans="1:14" ht="19" customHeight="1" x14ac:dyDescent="0.25">
      <c r="A249" s="223"/>
      <c r="B249" s="350" t="str">
        <f>Idiomas!D139</f>
        <v>CUADRO DE HONOR</v>
      </c>
      <c r="C249" s="343"/>
      <c r="D249" s="622"/>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2"/>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2"/>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2"/>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2"/>
      <c r="G253" s="622"/>
      <c r="H253" s="622"/>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2"/>
      <c r="F254" s="622"/>
      <c r="G254" s="622"/>
      <c r="H254" s="622"/>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2"/>
      <c r="F255" s="622"/>
      <c r="G255" s="622"/>
      <c r="H255" s="622"/>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2"/>
      <c r="F256" s="622"/>
      <c r="G256" s="622"/>
      <c r="H256" s="622"/>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 ca="1">+MID(INDEX(WORLDCUP!$AF$101:$AF$147,MATCH(AD5,WORLDCUP!$Z$101:$Z$147,0)),1,3)</f>
        <v>Fra</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f>+IF(ISBLANK(INDEX(WORLDCUP!$AC$101:$AC$147,MATCH(Y6,WORLDCUP!$Z$101:$Z$147,0))),"",INDEX(WORLDCUP!$AC$101:$AC$147,MATCH(Y6,WORLDCUP!$Z$101:$Z$147,0)))</f>
        <v>3</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f>+IF(ISBLANK(INDEX(WORLDCUP!$AD$101:$AD$147,MATCH(Y7,WORLDCUP!$Z$101:$Z$147,0))),"",INDEX(WORLDCUP!$AD$101:$AD$147,MATCH(Y7,WORLDCUP!$Z$101:$Z$147,0)))</f>
        <v>0</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0</v>
      </c>
      <c r="BJ26" s="452">
        <f ca="1">COUNTIF(Pool!$C$182:$C$197,Fixture!BG26)-BK26-BL26-BM26-BN26-BO26</f>
        <v>1</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 ca="1">+MID(INDEX(WORLDCUP!$AF$101:$AF$147,MATCH(AD29,WORLDCUP!$Z$101:$Z$147,0)),1,3)</f>
        <v>Nor</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f>+IF(ISBLANK(INDEX(WORLDCUP!$AC$101:$AC$147,MATCH(Y30,WORLDCUP!$Z$101:$Z$147,0))),"",INDEX(WORLDCUP!$AC$101:$AC$147,MATCH(Y30,WORLDCUP!$Z$101:$Z$147,0)))</f>
        <v>1</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f>+IF(ISBLANK(INDEX(WORLDCUP!$AD$101:$AD$147,MATCH(Y31,WORLDCUP!$Z$101:$Z$147,0))),"",INDEX(WORLDCUP!$AD$101:$AD$147,MATCH(Y31,WORLDCUP!$Z$101:$Z$147,0)))</f>
        <v>2</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f>+IF(ISBLANK(INDEX(WORLDCUP!$AC$101:$AC$147,MATCH(Y33,WORLDCUP!$Z$101:$Z$147,0))),"",INDEX(WORLDCUP!$AC$101:$AC$147,MATCH(Y33,WORLDCUP!$Z$101:$Z$147,0)))</f>
        <v>2</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f>+IF(ISBLANK(INDEX(WORLDCUP!$AD$101:$AD$147,MATCH(Y34,WORLDCUP!$Z$101:$Z$147,0))),"",INDEX(WORLDCUP!$AD$101:$AD$147,MATCH(Y34,WORLDCUP!$Z$101:$Z$147,0)))</f>
        <v>0</v>
      </c>
      <c r="AC34" s="442" t="str">
        <f>+IF(ISBLANK(INDEX(WORLDCUP!$AE$101:$AE$147,MATCH(Y34,WORLDCUP!$Z$101:$Z$147,0))),"","( "&amp;INDEX(WORLDCUP!$AE$101:$AE$147,MATCH(Y34,WORLDCUP!$Z$101:$Z$147,0))&amp;" )")</f>
        <v/>
      </c>
      <c r="AD34" s="443">
        <v>92</v>
      </c>
      <c r="AE34" s="444" t="str">
        <f ca="1">+MID(INDEX(WORLDCUP!$AA$101:$AA$147,MATCH(AD34,WORLDCUP!$Z$101:$Z$147,0)),1,3)</f>
        <v>Méx</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0</v>
      </c>
      <c r="BJ35" s="452">
        <f ca="1">COUNTIF(Pool!$C$182:$C$197,Fixture!BG35)-BK35-BL35-BM35-BN35-BO35</f>
        <v>1</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0</v>
      </c>
      <c r="BJ36" s="452">
        <f ca="1">COUNTIF(Pool!$C$182:$C$197,Fixture!BG36)-BK36-BL36-BM36-BN36-BO36</f>
        <v>1</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2"/>
      <c r="D4" s="622"/>
      <c r="E4" s="622"/>
      <c r="F4" s="622"/>
      <c r="G4" s="622"/>
      <c r="H4" s="622"/>
      <c r="I4" s="622"/>
      <c r="J4" s="684"/>
      <c r="K4" s="224"/>
      <c r="L4" s="330" t="str">
        <f>+Idiomas!D84</f>
        <v>· Selecciona el idioma y la zona horaria</v>
      </c>
      <c r="M4" s="232"/>
      <c r="N4" s="232"/>
      <c r="O4" s="232"/>
      <c r="P4" s="232"/>
      <c r="Q4" s="232"/>
      <c r="R4" s="334"/>
    </row>
    <row r="5" spans="1:18" x14ac:dyDescent="0.2">
      <c r="A5" s="223"/>
      <c r="B5" s="683"/>
      <c r="C5" s="622"/>
      <c r="D5" s="622"/>
      <c r="E5" s="622"/>
      <c r="F5" s="622"/>
      <c r="G5" s="622"/>
      <c r="H5" s="622"/>
      <c r="I5" s="622"/>
      <c r="J5" s="684"/>
      <c r="K5" s="224"/>
      <c r="L5" s="330" t="str">
        <f>+Idiomas!D85</f>
        <v>· Si vas a participar en una porra escribe tu nombre</v>
      </c>
      <c r="M5" s="232"/>
      <c r="N5" s="232"/>
      <c r="O5" s="232"/>
      <c r="P5" s="232"/>
      <c r="Q5" s="232"/>
      <c r="R5" s="334"/>
    </row>
    <row r="6" spans="1:18" x14ac:dyDescent="0.2">
      <c r="A6" s="223"/>
      <c r="B6" s="683"/>
      <c r="C6" s="622"/>
      <c r="D6" s="622"/>
      <c r="E6" s="622"/>
      <c r="F6" s="622"/>
      <c r="G6" s="622"/>
      <c r="H6" s="622"/>
      <c r="I6" s="622"/>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2"/>
      <c r="D7" s="622"/>
      <c r="E7" s="622"/>
      <c r="F7" s="622"/>
      <c r="G7" s="622"/>
      <c r="H7" s="622"/>
      <c r="I7" s="622"/>
      <c r="J7" s="684"/>
      <c r="K7" s="224"/>
      <c r="L7" s="335"/>
      <c r="M7" s="336"/>
      <c r="N7" s="336"/>
      <c r="O7" s="336"/>
      <c r="P7" s="336"/>
      <c r="Q7" s="336"/>
      <c r="R7" s="337"/>
    </row>
    <row r="8" spans="1:18" x14ac:dyDescent="0.2">
      <c r="A8" s="223"/>
      <c r="B8" s="683"/>
      <c r="C8" s="622"/>
      <c r="D8" s="622"/>
      <c r="E8" s="622"/>
      <c r="F8" s="622"/>
      <c r="G8" s="622"/>
      <c r="H8" s="622"/>
      <c r="I8" s="622"/>
      <c r="J8" s="684"/>
      <c r="K8" s="224"/>
    </row>
    <row r="9" spans="1:18" x14ac:dyDescent="0.2">
      <c r="A9" s="223"/>
      <c r="B9" s="683"/>
      <c r="C9" s="622"/>
      <c r="D9" s="622"/>
      <c r="E9" s="622"/>
      <c r="F9" s="622"/>
      <c r="G9" s="622"/>
      <c r="H9" s="622"/>
      <c r="I9" s="622"/>
      <c r="J9" s="684"/>
      <c r="K9" s="224"/>
      <c r="L9" s="259" t="s">
        <v>309</v>
      </c>
    </row>
    <row r="10" spans="1:18" x14ac:dyDescent="0.2">
      <c r="A10" s="223"/>
      <c r="B10" s="683"/>
      <c r="C10" s="622"/>
      <c r="D10" s="622"/>
      <c r="E10" s="622"/>
      <c r="F10" s="622"/>
      <c r="G10" s="622"/>
      <c r="H10" s="622"/>
      <c r="I10" s="622"/>
      <c r="J10" s="684"/>
      <c r="K10" s="224"/>
      <c r="L10" s="331"/>
      <c r="M10" s="332"/>
      <c r="N10" s="332"/>
      <c r="O10" s="332"/>
      <c r="P10" s="332"/>
      <c r="Q10" s="332"/>
      <c r="R10" s="333"/>
    </row>
    <row r="11" spans="1:18" x14ac:dyDescent="0.2">
      <c r="A11" s="223"/>
      <c r="B11" s="683"/>
      <c r="C11" s="622"/>
      <c r="D11" s="622"/>
      <c r="E11" s="622"/>
      <c r="F11" s="622"/>
      <c r="G11" s="622"/>
      <c r="H11" s="622"/>
      <c r="I11" s="622"/>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2"/>
      <c r="O84" s="622"/>
      <c r="P84" s="622"/>
      <c r="Q84" s="622"/>
      <c r="R84" s="622"/>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Sheet1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2026-07-01T12:46:45Z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
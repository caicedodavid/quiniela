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610E639A-5778-A348-9B65-ED0AC0CD1B34}" xr6:coauthVersionLast="47" xr6:coauthVersionMax="47" xr10:uidLastSave="{00000000-0000-0000-0000-000000000000}"/>
  <bookViews>
    <workbookView xWindow="0" yWindow="660" windowWidth="34560" windowHeight="2002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T76" i="2"/>
  <c r="R76" i="2"/>
  <c r="Q76" i="2"/>
  <c r="O76" i="2"/>
  <c r="N76" i="2"/>
  <c r="L76" i="2"/>
  <c r="K76" i="2"/>
  <c r="I76" i="2"/>
  <c r="H76" i="2"/>
  <c r="F76" i="2"/>
  <c r="E76" i="2"/>
  <c r="D76" i="2"/>
  <c r="U76" i="2" s="1"/>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U69" i="2"/>
  <c r="R69" i="2"/>
  <c r="Q69" i="2"/>
  <c r="O69" i="2"/>
  <c r="L69" i="2"/>
  <c r="D69" i="2"/>
  <c r="BO68" i="2"/>
  <c r="BB68" i="2"/>
  <c r="AG68" i="2"/>
  <c r="AE68" i="2" a="1"/>
  <c r="AE68" i="2" s="1"/>
  <c r="AB68" i="2" a="1"/>
  <c r="AB68" i="2" s="1"/>
  <c r="U68" i="2"/>
  <c r="T68" i="2"/>
  <c r="R68" i="2"/>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Q61" i="2"/>
  <c r="O61" i="2"/>
  <c r="N61" i="2"/>
  <c r="L61" i="2"/>
  <c r="K61" i="2"/>
  <c r="I61" i="2"/>
  <c r="H61" i="2"/>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F53" i="2"/>
  <c r="D53" i="2"/>
  <c r="AG52" i="2"/>
  <c r="AE52" i="2" a="1"/>
  <c r="AE52" i="2" s="1"/>
  <c r="AB52" i="2" a="1"/>
  <c r="AB52" i="2" s="1"/>
  <c r="T52" i="2"/>
  <c r="R52" i="2"/>
  <c r="Q52" i="2"/>
  <c r="O52" i="2"/>
  <c r="N52" i="2"/>
  <c r="L52" i="2"/>
  <c r="K52" i="2"/>
  <c r="I52" i="2"/>
  <c r="H52" i="2"/>
  <c r="F52" i="2"/>
  <c r="E52" i="2"/>
  <c r="D52" i="2"/>
  <c r="U52" i="2" s="1"/>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5" i="2"/>
  <c r="N15" i="2"/>
  <c r="L15" i="2"/>
  <c r="K15" i="2"/>
  <c r="I15" i="2"/>
  <c r="R15" i="2"/>
  <c r="O17" i="2"/>
  <c r="E15" i="2"/>
  <c r="R17" i="2"/>
  <c r="T22" i="2"/>
  <c r="L22" i="2"/>
  <c r="K22" i="2"/>
  <c r="I22" i="2"/>
  <c r="H22" i="2"/>
  <c r="F22" i="2"/>
  <c r="O22" i="2"/>
  <c r="N22" i="2"/>
  <c r="Q24" i="2"/>
  <c r="O24" i="2"/>
  <c r="N24" i="2"/>
  <c r="L24" i="2"/>
  <c r="K24" i="2"/>
  <c r="I24" i="2"/>
  <c r="H24" i="2"/>
  <c r="F24" i="2"/>
  <c r="E24" i="2"/>
  <c r="T24" i="2"/>
  <c r="R24"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T14" i="2"/>
  <c r="N25" i="2"/>
  <c r="U30" i="2"/>
  <c r="O39" i="2"/>
  <c r="N39" i="2"/>
  <c r="L39" i="2"/>
  <c r="U39" i="2"/>
  <c r="T39" i="2"/>
  <c r="R39" i="2"/>
  <c r="Q39" i="2"/>
  <c r="K39" i="2"/>
  <c r="I39" i="2"/>
  <c r="AC142" i="2"/>
  <c r="AC119" i="2"/>
  <c r="AC130" i="2"/>
  <c r="AC75" i="2"/>
  <c r="AC91" i="2"/>
  <c r="AC83" i="2"/>
  <c r="AC59" i="2"/>
  <c r="AC100" i="2"/>
  <c r="AC43" i="2"/>
  <c r="AC35" i="2"/>
  <c r="U14" i="2"/>
  <c r="O25" i="2"/>
  <c r="AR29" i="2"/>
  <c r="E39" i="2"/>
  <c r="AD142" i="2"/>
  <c r="AD59" i="2"/>
  <c r="AD91" i="2"/>
  <c r="AD130" i="2"/>
  <c r="AD119" i="2"/>
  <c r="AD43" i="2"/>
  <c r="AD83" i="2"/>
  <c r="AD100" i="2"/>
  <c r="AD75" i="2"/>
  <c r="AD35" i="2"/>
  <c r="AD27" i="2"/>
  <c r="AD67" i="2"/>
  <c r="AD51" i="2"/>
  <c r="E14" i="2"/>
  <c r="Q25" i="2"/>
  <c r="F39" i="2"/>
  <c r="AF137" i="2"/>
  <c r="AF142" i="2"/>
  <c r="AF146" i="2"/>
  <c r="AF59" i="2"/>
  <c r="AF91" i="2"/>
  <c r="AF67" i="2"/>
  <c r="AF100" i="2"/>
  <c r="AF119" i="2"/>
  <c r="AF83" i="2"/>
  <c r="AF75" i="2"/>
  <c r="AF51" i="2"/>
  <c r="AR85" i="2"/>
  <c r="AR53" i="2"/>
  <c r="AR101" i="2"/>
  <c r="AR77" i="2"/>
  <c r="AR37" i="2"/>
  <c r="AR69" i="2"/>
  <c r="AR93" i="2"/>
  <c r="AR61" i="2"/>
  <c r="AR45" i="2"/>
  <c r="F14" i="2"/>
  <c r="U16" i="2"/>
  <c r="R25" i="2"/>
  <c r="H39" i="2"/>
  <c r="BJ5" i="2"/>
  <c r="BJ57" i="2" s="1"/>
  <c r="T25" i="2"/>
  <c r="N53" i="2"/>
  <c r="L53" i="2"/>
  <c r="Q53" i="2"/>
  <c r="O53" i="2"/>
  <c r="K53" i="2"/>
  <c r="H53" i="2"/>
  <c r="T53" i="2"/>
  <c r="U53" i="2"/>
  <c r="R53" i="2"/>
  <c r="I53" i="2"/>
  <c r="N79" i="2"/>
  <c r="L79" i="2"/>
  <c r="K79" i="2"/>
  <c r="F79" i="2"/>
  <c r="Q79" i="2"/>
  <c r="O79" i="2"/>
  <c r="T79" i="2"/>
  <c r="R79" i="2"/>
  <c r="I79" i="2"/>
  <c r="H79" i="2"/>
  <c r="E79" i="2"/>
  <c r="U79" i="2"/>
  <c r="C184" i="3"/>
  <c r="B202" i="3"/>
  <c r="N41" i="2"/>
  <c r="L41" i="2"/>
  <c r="K41" i="2"/>
  <c r="H41" i="2"/>
  <c r="Q41" i="2"/>
  <c r="U41" i="2"/>
  <c r="T41" i="2"/>
  <c r="E53"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K69" i="2"/>
  <c r="I69" i="2"/>
  <c r="H69" i="2"/>
  <c r="N69" i="2"/>
  <c r="T69" i="2"/>
  <c r="E69" i="2"/>
  <c r="AK32" i="4"/>
  <c r="N125" i="2"/>
  <c r="AF125" i="2" s="1"/>
  <c r="C195" i="3" s="1"/>
  <c r="AG109" i="2"/>
  <c r="F69" i="2"/>
  <c r="AG154" i="2"/>
  <c r="C253" i="3"/>
  <c r="H38" i="2"/>
  <c r="F38" i="2"/>
  <c r="E38" i="2"/>
  <c r="I64" i="2"/>
  <c r="H64" i="2"/>
  <c r="F64" i="2"/>
  <c r="L64" i="2"/>
  <c r="U64" i="2"/>
  <c r="T64" i="2"/>
  <c r="R64" i="2"/>
  <c r="O64" i="2"/>
  <c r="I68" i="2"/>
  <c r="H68" i="2"/>
  <c r="F68" i="2"/>
  <c r="L68" i="2"/>
  <c r="N68" i="2"/>
  <c r="K68" i="2"/>
  <c r="E68" i="2"/>
  <c r="Q68" i="2"/>
  <c r="Q85" i="2"/>
  <c r="I85" i="2"/>
  <c r="H85" i="2"/>
  <c r="F85" i="2"/>
  <c r="U85" i="2"/>
  <c r="L85" i="2"/>
  <c r="K85" i="2"/>
  <c r="T85" i="2"/>
  <c r="R85" i="2"/>
  <c r="O85" i="2"/>
  <c r="E85" i="2"/>
  <c r="C213" i="3"/>
  <c r="L32" i="2"/>
  <c r="K32" i="2"/>
  <c r="K38" i="2"/>
  <c r="F54" i="2"/>
  <c r="E54" i="2"/>
  <c r="N54" i="2"/>
  <c r="L54" i="2"/>
  <c r="K54" i="2"/>
  <c r="H54" i="2"/>
  <c r="Q54" i="2"/>
  <c r="E64" i="2"/>
  <c r="O68" i="2"/>
  <c r="N85" i="2"/>
  <c r="L49" i="2"/>
  <c r="O56" i="2"/>
  <c r="N56" i="2"/>
  <c r="F61" i="2"/>
  <c r="E61"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R61" i="2"/>
  <c r="Q84" i="2"/>
  <c r="I97" i="2"/>
  <c r="C226" i="3"/>
  <c r="C232" i="3"/>
  <c r="B232" i="3"/>
  <c r="AB34" i="9"/>
  <c r="K33" i="8"/>
  <c r="B29" i="8"/>
  <c r="U40" i="2"/>
  <c r="H49" i="2"/>
  <c r="T56" i="2"/>
  <c r="L57" i="2"/>
  <c r="K57" i="2"/>
  <c r="T61" i="2"/>
  <c r="I63" i="2"/>
  <c r="H63" i="2"/>
  <c r="L63" i="2"/>
  <c r="N70" i="2"/>
  <c r="L70" i="2"/>
  <c r="K70" i="2"/>
  <c r="Q70" i="2"/>
  <c r="O70" i="2"/>
  <c r="R84" i="2"/>
  <c r="U97" i="2"/>
  <c r="C244" i="3"/>
  <c r="B244" i="3"/>
  <c r="C236" i="3"/>
  <c r="C258" i="3"/>
  <c r="AG160" i="2"/>
  <c r="E47" i="2"/>
  <c r="E48" i="2"/>
  <c r="I49" i="2"/>
  <c r="U56" i="2"/>
  <c r="E57" i="2"/>
  <c r="U61"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R3" i="4" s="1"/>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R27" i="4" s="1"/>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R4" i="4" s="1"/>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43" i="4" l="1"/>
  <c r="F4" i="4"/>
  <c r="O6" i="4"/>
  <c r="B43" i="3"/>
  <c r="B72" i="3"/>
  <c r="O31" i="4"/>
  <c r="C47" i="4"/>
  <c r="BC37" i="2"/>
  <c r="BC15" i="2"/>
  <c r="AF33" i="2"/>
  <c r="F32" i="4" s="1"/>
  <c r="AF30" i="2"/>
  <c r="F29" i="4" s="1"/>
  <c r="AY32" i="2"/>
  <c r="AA29" i="2"/>
  <c r="C14" i="4"/>
  <c r="B33" i="3"/>
  <c r="BC49" i="2"/>
  <c r="AA63" i="2"/>
  <c r="AA65" i="2"/>
  <c r="AY65" i="2"/>
  <c r="AF61" i="2"/>
  <c r="R12" i="4" s="1"/>
  <c r="AA25" i="2"/>
  <c r="AF22" i="2"/>
  <c r="F21" i="4" s="1"/>
  <c r="AY23" i="2"/>
  <c r="AF20" i="2"/>
  <c r="C12" i="4"/>
  <c r="BC20" i="2"/>
  <c r="O44" i="4"/>
  <c r="AF85" i="2"/>
  <c r="R36" i="4" s="1"/>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BC23" i="2"/>
  <c r="BC47" i="2"/>
  <c r="O48" i="4"/>
  <c r="B77" i="3"/>
  <c r="BC19" i="2"/>
  <c r="O5" i="4"/>
  <c r="AA96" i="2"/>
  <c r="AY97" i="2"/>
  <c r="AF93" i="2"/>
  <c r="R44" i="4" s="1"/>
  <c r="AA95" i="2"/>
  <c r="AY30" i="2"/>
  <c r="AA30" i="2"/>
  <c r="AF32" i="2"/>
  <c r="F31" i="4" s="1"/>
  <c r="AA28" i="2"/>
  <c r="BC29" i="2"/>
  <c r="BC25" i="2"/>
  <c r="AY39" i="2"/>
  <c r="AA40" i="2"/>
  <c r="AF39" i="2"/>
  <c r="F38" i="4" s="1"/>
  <c r="AF36" i="2"/>
  <c r="AF87" i="2"/>
  <c r="R38" i="4" s="1"/>
  <c r="AA89" i="2"/>
  <c r="AF84" i="2"/>
  <c r="R35" i="4" s="1"/>
  <c r="AY87" i="2"/>
  <c r="C5" i="4"/>
  <c r="O3" i="4"/>
  <c r="B18" i="3"/>
  <c r="O7" i="4"/>
  <c r="AA21" i="2"/>
  <c r="AF25" i="2"/>
  <c r="F24" i="4" s="1"/>
  <c r="AY24" i="2"/>
  <c r="AF23" i="2"/>
  <c r="F22" i="4" s="1"/>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R20" i="4" s="1"/>
  <c r="BC11" i="2"/>
  <c r="BC6" i="2"/>
  <c r="AA64" i="2"/>
  <c r="AF63" i="2"/>
  <c r="R14" i="4" s="1"/>
  <c r="AF60" i="2"/>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F13" i="4" s="1"/>
  <c r="C35" i="4"/>
  <c r="BC7" i="2"/>
  <c r="AY46" i="2"/>
  <c r="AF49" i="2"/>
  <c r="F48" i="4" s="1"/>
  <c r="AA44" i="2"/>
  <c r="AA46" i="2"/>
  <c r="AF81" i="2"/>
  <c r="R32" i="4" s="1"/>
  <c r="AA78" i="2"/>
  <c r="AY78" i="2"/>
  <c r="AA76" i="2"/>
  <c r="AF71" i="2"/>
  <c r="R22" i="4" s="1"/>
  <c r="AA73" i="2"/>
  <c r="AF68" i="2"/>
  <c r="R19" i="4" s="1"/>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11" i="4" l="1"/>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179" i="3"/>
  <c r="C179" i="3"/>
  <c r="BG108" i="2"/>
  <c r="AA4" i="4"/>
  <c r="B171" i="3"/>
  <c r="AA7" i="4"/>
  <c r="BG107" i="2"/>
  <c r="BR13" i="2"/>
  <c r="C171" i="3"/>
  <c r="AU101" i="2"/>
  <c r="AV100" i="2" s="1"/>
  <c r="AA37" i="4"/>
  <c r="BR19" i="2"/>
  <c r="BS41" i="2" s="1"/>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V40" i="2" s="1"/>
  <c r="BT47" i="2"/>
  <c r="BT43" i="2"/>
  <c r="BT51" i="2"/>
  <c r="BT41" i="2"/>
  <c r="BT38" i="2"/>
  <c r="BT44" i="2"/>
  <c r="BT14" i="2"/>
  <c r="E20" i="2" s="1"/>
  <c r="BT42" i="2"/>
  <c r="BT9" i="2"/>
  <c r="E8" i="2" s="1"/>
  <c r="BT37" i="2"/>
  <c r="BT8" i="2"/>
  <c r="F9" i="2" s="1"/>
  <c r="BT18" i="2"/>
  <c r="E28" i="2" s="1"/>
  <c r="BT11" i="2"/>
  <c r="F12" i="2" s="1"/>
  <c r="BT25" i="2"/>
  <c r="F37" i="2" s="1"/>
  <c r="BT39" i="2"/>
  <c r="BT52" i="2"/>
  <c r="BT16" i="2"/>
  <c r="E21" i="2" s="1"/>
  <c r="BT32" i="2"/>
  <c r="BT17" i="2"/>
  <c r="F21" i="2" s="1"/>
  <c r="BT35" i="2"/>
  <c r="F60" i="2" s="1"/>
  <c r="BT26" i="2"/>
  <c r="E44" i="2" s="1"/>
  <c r="BT50" i="2"/>
  <c r="BT30" i="2"/>
  <c r="BT34" i="2"/>
  <c r="E60" i="2" s="1"/>
  <c r="BT7" i="2"/>
  <c r="E9" i="2" s="1"/>
  <c r="BT27" i="2"/>
  <c r="F44" i="2" s="1"/>
  <c r="BT28" i="2"/>
  <c r="E45" i="2" s="1"/>
  <c r="BT48" i="2"/>
  <c r="BT20" i="2"/>
  <c r="E29" i="2" s="1"/>
  <c r="BT24" i="2"/>
  <c r="E37" i="2" s="1"/>
  <c r="BT13" i="2"/>
  <c r="F13" i="2" s="1"/>
  <c r="BT23" i="2"/>
  <c r="F36" i="2" s="1"/>
  <c r="BT22" i="2"/>
  <c r="E36" i="2" s="1"/>
  <c r="BT31" i="2"/>
  <c r="BT49" i="2"/>
  <c r="BT21" i="2"/>
  <c r="F29" i="2" s="1"/>
  <c r="BT15" i="2"/>
  <c r="F20" i="2" s="1"/>
  <c r="BT45" i="2"/>
  <c r="BT33" i="2"/>
  <c r="BT12" i="2"/>
  <c r="E13" i="2" s="1"/>
  <c r="BT6" i="2"/>
  <c r="F8" i="2" s="1"/>
  <c r="BT10" i="2"/>
  <c r="E12" i="2" s="1"/>
  <c r="BT46" i="2"/>
  <c r="BI112" i="2"/>
  <c r="BT19" i="2"/>
  <c r="F28" i="2" s="1"/>
  <c r="BT29" i="2"/>
  <c r="F45" i="2" s="1"/>
  <c r="BT53" i="2"/>
  <c r="BT36" i="2"/>
  <c r="E5" i="2" l="1"/>
  <c r="F7" i="2"/>
  <c r="E4" i="2"/>
  <c r="E7" i="2"/>
  <c r="F5" i="2"/>
  <c r="E6" i="2"/>
  <c r="F4" i="2"/>
  <c r="BU6" i="2" s="1"/>
  <c r="F6" i="2"/>
  <c r="BU40" i="2"/>
  <c r="BX40" i="2" s="1"/>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BZ42" i="2"/>
  <c r="CB42" i="2" s="1"/>
  <c r="BZ45" i="2"/>
  <c r="CA45" i="2" s="1"/>
  <c r="BZ24" i="2"/>
  <c r="BZ36" i="2"/>
  <c r="CB36" i="2" s="1"/>
  <c r="BZ39" i="2"/>
  <c r="CB39" i="2" s="1"/>
  <c r="BZ31" i="2"/>
  <c r="CA31" i="2" s="1"/>
  <c r="BZ22" i="2"/>
  <c r="BZ23" i="2"/>
  <c r="BZ33" i="2"/>
  <c r="CB33" i="2" s="1"/>
  <c r="BZ21" i="2"/>
  <c r="BZ27" i="2"/>
  <c r="BZ12" i="2"/>
  <c r="H13" i="2" s="1"/>
  <c r="BZ53" i="2"/>
  <c r="CA53" i="2" s="1"/>
  <c r="BZ25" i="2"/>
  <c r="BZ51" i="2"/>
  <c r="CA51" i="2" s="1"/>
  <c r="BZ16" i="2"/>
  <c r="BZ50" i="2"/>
  <c r="CA50" i="2" s="1"/>
  <c r="BZ34" i="2"/>
  <c r="BZ41" i="2"/>
  <c r="CB41" i="2" s="1"/>
  <c r="BZ30" i="2"/>
  <c r="CB30" i="2" s="1"/>
  <c r="BZ9" i="2"/>
  <c r="H8" i="2" s="1"/>
  <c r="BZ32" i="2"/>
  <c r="CB32" i="2" s="1"/>
  <c r="BZ17" i="2"/>
  <c r="BZ47" i="2"/>
  <c r="CA47" i="2" s="1"/>
  <c r="BZ6" i="2"/>
  <c r="BZ38" i="2"/>
  <c r="CB38" i="2" s="1"/>
  <c r="BZ46" i="2"/>
  <c r="CA46" i="2" s="1"/>
  <c r="BZ15" i="2"/>
  <c r="BZ44" i="2"/>
  <c r="CB44" i="2" s="1"/>
  <c r="BZ48" i="2"/>
  <c r="CA48" i="2" s="1"/>
  <c r="BZ26" i="2"/>
  <c r="BZ19" i="2"/>
  <c r="BZ20" i="2"/>
  <c r="BZ29" i="2"/>
  <c r="BZ10" i="2"/>
  <c r="BZ8" i="2"/>
  <c r="BZ28" i="2"/>
  <c r="BZ37" i="2"/>
  <c r="CA37" i="2" s="1"/>
  <c r="BZ52" i="2"/>
  <c r="CB52" i="2" s="1"/>
  <c r="BZ13" i="2"/>
  <c r="BZ35" i="2"/>
  <c r="BZ18" i="2"/>
  <c r="BZ43" i="2"/>
  <c r="CB43" i="2" s="1"/>
  <c r="BZ11" i="2"/>
  <c r="BZ14" i="2"/>
  <c r="BZ7" i="2"/>
  <c r="H9" i="2" s="1"/>
  <c r="CA49" i="2"/>
  <c r="CB49" i="2"/>
  <c r="CB40" i="2"/>
  <c r="CA40" i="2"/>
  <c r="CB45" i="2"/>
  <c r="CA34" i="2" l="1"/>
  <c r="H60" i="2"/>
  <c r="CB35" i="2"/>
  <c r="I60" i="2"/>
  <c r="CB29" i="2"/>
  <c r="I45" i="2"/>
  <c r="CA28" i="2"/>
  <c r="H45" i="2"/>
  <c r="H37" i="2"/>
  <c r="CB25" i="2"/>
  <c r="I37" i="2"/>
  <c r="CA24" i="2" s="1"/>
  <c r="H44" i="2"/>
  <c r="CA27" i="2"/>
  <c r="I44" i="2"/>
  <c r="CB26" i="2" s="1"/>
  <c r="CA33" i="2"/>
  <c r="CC33" i="2" s="1"/>
  <c r="CA42" i="2"/>
  <c r="I36" i="2"/>
  <c r="CB22" i="2"/>
  <c r="H36" i="2"/>
  <c r="CB23" i="2" s="1"/>
  <c r="I29" i="2"/>
  <c r="CB20" i="2" s="1"/>
  <c r="H29" i="2"/>
  <c r="CA21" i="2" s="1"/>
  <c r="CA16" i="2"/>
  <c r="H21" i="2"/>
  <c r="CB17" i="2"/>
  <c r="I21" i="2"/>
  <c r="I20" i="2"/>
  <c r="CB14" i="2" s="1"/>
  <c r="H20" i="2"/>
  <c r="CB15" i="2" s="1"/>
  <c r="CB27" i="2"/>
  <c r="CB31" i="2"/>
  <c r="CC31" i="2" s="1"/>
  <c r="CA25" i="2"/>
  <c r="CC25" i="2" s="1"/>
  <c r="CA13" i="2"/>
  <c r="I13" i="2"/>
  <c r="I28" i="2"/>
  <c r="CB18" i="2" s="1"/>
  <c r="H28" i="2"/>
  <c r="CA19" i="2" s="1"/>
  <c r="I12" i="2"/>
  <c r="CB10" i="2" s="1"/>
  <c r="CA23" i="2"/>
  <c r="H12" i="2"/>
  <c r="CA11" i="2" s="1"/>
  <c r="CA30" i="2"/>
  <c r="CC30" i="2" s="1"/>
  <c r="CB28" i="2"/>
  <c r="CC28" i="2" s="1"/>
  <c r="CA17" i="2"/>
  <c r="CC17" i="2" s="1"/>
  <c r="CA29" i="2"/>
  <c r="CC29" i="2" s="1"/>
  <c r="CB53" i="2"/>
  <c r="CC53" i="2" s="1"/>
  <c r="I7" i="2"/>
  <c r="I9" i="2"/>
  <c r="CA32" i="2"/>
  <c r="CC32" i="2" s="1"/>
  <c r="CB24" i="2"/>
  <c r="CB16" i="2"/>
  <c r="CC16" i="2" s="1"/>
  <c r="CA36" i="2"/>
  <c r="CC36" i="2" s="1"/>
  <c r="H7" i="2"/>
  <c r="I8" i="2"/>
  <c r="CB47" i="2"/>
  <c r="CC47" i="2" s="1"/>
  <c r="CA20" i="2"/>
  <c r="CA26" i="2"/>
  <c r="CA14" i="2"/>
  <c r="I4" i="2"/>
  <c r="CB6" i="2" s="1"/>
  <c r="I6" i="2"/>
  <c r="I5" i="2"/>
  <c r="CB8" i="2" s="1"/>
  <c r="H6" i="2"/>
  <c r="CA44" i="2"/>
  <c r="CC44" i="2" s="1"/>
  <c r="H5" i="2"/>
  <c r="CA52" i="2"/>
  <c r="CC52" i="2" s="1"/>
  <c r="CB46" i="2"/>
  <c r="CC46" i="2" s="1"/>
  <c r="CB50" i="2"/>
  <c r="CC50" i="2" s="1"/>
  <c r="CB34" i="2"/>
  <c r="CC34" i="2" s="1"/>
  <c r="CB13" i="2"/>
  <c r="CB37" i="2"/>
  <c r="CC37" i="2" s="1"/>
  <c r="CB51" i="2"/>
  <c r="CC51" i="2" s="1"/>
  <c r="CA38" i="2"/>
  <c r="CC38" i="2" s="1"/>
  <c r="CB48" i="2"/>
  <c r="CC48" i="2" s="1"/>
  <c r="H4" i="2"/>
  <c r="CC40" i="2"/>
  <c r="CA39" i="2"/>
  <c r="CC39" i="2" s="1"/>
  <c r="CA22" i="2"/>
  <c r="CC22" i="2" s="1"/>
  <c r="CA35" i="2"/>
  <c r="CC35" i="2" s="1"/>
  <c r="CC42" i="2"/>
  <c r="CB19" i="2"/>
  <c r="CA41" i="2"/>
  <c r="CC41" i="2" s="1"/>
  <c r="CC49" i="2"/>
  <c r="CC45" i="2"/>
  <c r="CA43" i="2"/>
  <c r="CC43" i="2" s="1"/>
  <c r="CC27" i="2" l="1"/>
  <c r="CC24" i="2"/>
  <c r="CB21" i="2"/>
  <c r="CC21" i="2" s="1"/>
  <c r="CA15" i="2"/>
  <c r="CC15" i="2" s="1"/>
  <c r="CC26" i="2"/>
  <c r="CC23" i="2"/>
  <c r="CA18" i="2"/>
  <c r="CC18" i="2" s="1"/>
  <c r="CC20" i="2"/>
  <c r="CC13" i="2"/>
  <c r="CB11" i="2"/>
  <c r="CC11" i="2" s="1"/>
  <c r="CA6" i="2"/>
  <c r="CC6" i="2" s="1"/>
  <c r="CC14" i="2"/>
  <c r="CC19" i="2"/>
  <c r="CA8" i="2"/>
  <c r="CC8" i="2" s="1"/>
  <c r="CA10" i="2"/>
  <c r="CC10" i="2" s="1"/>
  <c r="CB12" i="2"/>
  <c r="CA12" i="2"/>
  <c r="CA9" i="2"/>
  <c r="CB9" i="2"/>
  <c r="CB7" i="2"/>
  <c r="CA7" i="2"/>
  <c r="CC12" i="2" l="1"/>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F30" i="2" s="1"/>
  <c r="CE51" i="2"/>
  <c r="CF51" i="2" s="1"/>
  <c r="CE53" i="2"/>
  <c r="CF53" i="2" s="1"/>
  <c r="CE44" i="2"/>
  <c r="CF44" i="2" s="1"/>
  <c r="CE52" i="2"/>
  <c r="CF52" i="2" s="1"/>
  <c r="CE24" i="2"/>
  <c r="CE50" i="2"/>
  <c r="CF50" i="2" s="1"/>
  <c r="CE27" i="2"/>
  <c r="CE39" i="2"/>
  <c r="CF39" i="2" s="1"/>
  <c r="CE36" i="2"/>
  <c r="CF36" i="2" s="1"/>
  <c r="CE42" i="2"/>
  <c r="CF42" i="2" s="1"/>
  <c r="CE7" i="2"/>
  <c r="CE25" i="2"/>
  <c r="CE20" i="2"/>
  <c r="CE47" i="2"/>
  <c r="CF47" i="2" s="1"/>
  <c r="CE34" i="2"/>
  <c r="CE6" i="2"/>
  <c r="L8" i="2" s="1"/>
  <c r="CE33" i="2"/>
  <c r="CF33" i="2" s="1"/>
  <c r="CE11" i="2"/>
  <c r="CE15" i="2"/>
  <c r="CE32" i="2"/>
  <c r="CF32" i="2" s="1"/>
  <c r="CE8" i="2"/>
  <c r="L9" i="2" s="1"/>
  <c r="CE31" i="2"/>
  <c r="CF31" i="2" s="1"/>
  <c r="CE45" i="2"/>
  <c r="CF45" i="2" s="1"/>
  <c r="CE12" i="2"/>
  <c r="CE22" i="2"/>
  <c r="CE37" i="2"/>
  <c r="CF37" i="2" s="1"/>
  <c r="CE9" i="2"/>
  <c r="CE49" i="2"/>
  <c r="CF49" i="2" s="1"/>
  <c r="CE28" i="2"/>
  <c r="CE21" i="2"/>
  <c r="CE48" i="2"/>
  <c r="CF48" i="2" s="1"/>
  <c r="CE10" i="2"/>
  <c r="CE13" i="2"/>
  <c r="CE40" i="2"/>
  <c r="CF40" i="2" s="1"/>
  <c r="CE38" i="2"/>
  <c r="CF38" i="2" s="1"/>
  <c r="CE35" i="2"/>
  <c r="CE16" i="2"/>
  <c r="CE26" i="2"/>
  <c r="CE19" i="2"/>
  <c r="CE18" i="2"/>
  <c r="CE41" i="2"/>
  <c r="CF41" i="2" s="1"/>
  <c r="CE43" i="2"/>
  <c r="CF43" i="2" s="1"/>
  <c r="CE14" i="2"/>
  <c r="CE46" i="2"/>
  <c r="CF46" i="2" s="1"/>
  <c r="K60" i="2" l="1"/>
  <c r="CF35" i="2"/>
  <c r="L60" i="2"/>
  <c r="CF34" i="2" s="1"/>
  <c r="CF28" i="2"/>
  <c r="K45" i="2"/>
  <c r="CF29" i="2"/>
  <c r="L45" i="2"/>
  <c r="K37" i="2"/>
  <c r="CF25" i="2"/>
  <c r="L37" i="2"/>
  <c r="CF24" i="2" s="1"/>
  <c r="CF27" i="2"/>
  <c r="L44" i="2"/>
  <c r="CF26" i="2"/>
  <c r="K44" i="2"/>
  <c r="K36" i="2"/>
  <c r="CF23" i="2"/>
  <c r="L36" i="2"/>
  <c r="CF22" i="2" s="1"/>
  <c r="CF21" i="2"/>
  <c r="L29" i="2"/>
  <c r="CF20" i="2" s="1"/>
  <c r="K29" i="2"/>
  <c r="CF16" i="2"/>
  <c r="K21" i="2"/>
  <c r="CF17" i="2"/>
  <c r="L21" i="2"/>
  <c r="K20" i="2"/>
  <c r="CF15" i="2"/>
  <c r="L20" i="2"/>
  <c r="CF14" i="2" s="1"/>
  <c r="K13" i="2"/>
  <c r="CF13" i="2"/>
  <c r="L13" i="2"/>
  <c r="CF12" i="2" s="1"/>
  <c r="K28" i="2"/>
  <c r="CF19" i="2" s="1"/>
  <c r="L28" i="2"/>
  <c r="CF18" i="2" s="1"/>
  <c r="K12" i="2"/>
  <c r="CF11" i="2" s="1"/>
  <c r="L12" i="2"/>
  <c r="CF10" i="2" s="1"/>
  <c r="L6" i="2"/>
  <c r="K9" i="2"/>
  <c r="K6" i="2"/>
  <c r="K8" i="2"/>
  <c r="L4" i="2"/>
  <c r="L7" i="2"/>
  <c r="K4" i="2"/>
  <c r="CF7" i="2" s="1"/>
  <c r="K7" i="2"/>
  <c r="L5" i="2"/>
  <c r="CF8" i="2" s="1"/>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J41" i="2" s="1"/>
  <c r="CH7" i="2"/>
  <c r="O4" i="2" s="1"/>
  <c r="CH28" i="2"/>
  <c r="N45" i="2" s="1"/>
  <c r="CH6" i="2"/>
  <c r="CH34" i="2"/>
  <c r="CH16" i="2"/>
  <c r="CH44" i="2"/>
  <c r="CI44" i="2" s="1"/>
  <c r="CH25" i="2"/>
  <c r="CH8" i="2"/>
  <c r="O9" i="2" s="1"/>
  <c r="CH45" i="2"/>
  <c r="CJ45" i="2" s="1"/>
  <c r="CH18" i="2"/>
  <c r="CK18" i="2" s="1"/>
  <c r="CH23" i="2"/>
  <c r="O36" i="2" s="1"/>
  <c r="CH47" i="2"/>
  <c r="CI47" i="2" s="1"/>
  <c r="CH32" i="2"/>
  <c r="CI32" i="2" s="1"/>
  <c r="CH43" i="2"/>
  <c r="CJ43" i="2" s="1"/>
  <c r="CH49" i="2"/>
  <c r="CI49" i="2" s="1"/>
  <c r="CH14" i="2"/>
  <c r="CH38" i="2"/>
  <c r="CH36" i="2"/>
  <c r="CI36" i="2" s="1"/>
  <c r="CH46" i="2"/>
  <c r="CK46" i="2" s="1"/>
  <c r="CI41" i="2"/>
  <c r="CH48" i="2"/>
  <c r="CJ48" i="2" s="1"/>
  <c r="CH24" i="2"/>
  <c r="CH31" i="2"/>
  <c r="CJ31" i="2" s="1"/>
  <c r="CH12" i="2"/>
  <c r="CH37" i="2"/>
  <c r="CK37" i="2" s="1"/>
  <c r="CH35" i="2"/>
  <c r="CH53" i="2"/>
  <c r="CJ53" i="2" s="1"/>
  <c r="CK41" i="2"/>
  <c r="CH17" i="2"/>
  <c r="CH19" i="2"/>
  <c r="CH52" i="2"/>
  <c r="CH51" i="2"/>
  <c r="CK51" i="2" s="1"/>
  <c r="CH9" i="2"/>
  <c r="O5" i="2" s="1"/>
  <c r="CH30" i="2"/>
  <c r="CJ30" i="2" s="1"/>
  <c r="CH13" i="2"/>
  <c r="CH42" i="2"/>
  <c r="CI42" i="2" s="1"/>
  <c r="CH27" i="2"/>
  <c r="CH40" i="2"/>
  <c r="N9" i="2"/>
  <c r="O6" i="2"/>
  <c r="CH26" i="2"/>
  <c r="N44" i="2" s="1"/>
  <c r="CH11" i="2"/>
  <c r="O12" i="2" s="1"/>
  <c r="CH33" i="2"/>
  <c r="CH22" i="2"/>
  <c r="N36" i="2" s="1"/>
  <c r="CH21" i="2"/>
  <c r="O29" i="2" s="1"/>
  <c r="CH15" i="2"/>
  <c r="CH10" i="2"/>
  <c r="N12" i="2" s="1"/>
  <c r="CH39" i="2"/>
  <c r="CI16" i="2"/>
  <c r="CH29" i="2"/>
  <c r="O45" i="2" s="1"/>
  <c r="CH20" i="2"/>
  <c r="CH50" i="2"/>
  <c r="N7" i="2"/>
  <c r="O8" i="2"/>
  <c r="N4" i="2"/>
  <c r="CJ7" i="2" s="1"/>
  <c r="N5" i="2"/>
  <c r="O7" i="2"/>
  <c r="CI28" i="2"/>
  <c r="CK28" i="2"/>
  <c r="CJ28" i="2"/>
  <c r="CJ35" i="2" l="1"/>
  <c r="O60" i="2"/>
  <c r="CJ34" i="2"/>
  <c r="N60" i="2"/>
  <c r="CJ24" i="2"/>
  <c r="N37" i="2"/>
  <c r="CJ25" i="2"/>
  <c r="O37" i="2"/>
  <c r="CI27" i="2"/>
  <c r="O44" i="2"/>
  <c r="CI45" i="2"/>
  <c r="CL45" i="2" s="1"/>
  <c r="CK20" i="2"/>
  <c r="N29" i="2"/>
  <c r="CK45" i="2"/>
  <c r="CI8" i="2"/>
  <c r="CK17" i="2"/>
  <c r="O21" i="2"/>
  <c r="CJ16" i="2"/>
  <c r="N21" i="2"/>
  <c r="CL41" i="2"/>
  <c r="CI15" i="2"/>
  <c r="O20" i="2"/>
  <c r="CI14" i="2"/>
  <c r="N20" i="2"/>
  <c r="CI34" i="2"/>
  <c r="CJ32" i="2"/>
  <c r="CL32" i="2" s="1"/>
  <c r="CK43" i="2"/>
  <c r="CI43" i="2"/>
  <c r="CL43" i="2" s="1"/>
  <c r="CK32" i="2"/>
  <c r="CI6" i="2"/>
  <c r="CI25" i="2"/>
  <c r="CL25" i="2" s="1"/>
  <c r="CK8" i="2"/>
  <c r="CJ49" i="2"/>
  <c r="CL49" i="2" s="1"/>
  <c r="CK25" i="2"/>
  <c r="CJ8" i="2"/>
  <c r="CI13" i="2"/>
  <c r="O13" i="2"/>
  <c r="CJ12" i="2" s="1"/>
  <c r="CK12" i="2"/>
  <c r="N13" i="2"/>
  <c r="CJ13" i="2" s="1"/>
  <c r="CJ18" i="2"/>
  <c r="N28" i="2"/>
  <c r="CK19" i="2" s="1"/>
  <c r="O28" i="2"/>
  <c r="CI18" i="2" s="1"/>
  <c r="CK49" i="2"/>
  <c r="CI53" i="2"/>
  <c r="CL53" i="2" s="1"/>
  <c r="CK53" i="2"/>
  <c r="CK6" i="2"/>
  <c r="CI35" i="2"/>
  <c r="CL35" i="2" s="1"/>
  <c r="CI12" i="2"/>
  <c r="CK47" i="2"/>
  <c r="CK30" i="2"/>
  <c r="N6" i="2"/>
  <c r="CI7" i="2" s="1"/>
  <c r="CL7" i="2" s="1"/>
  <c r="N8" i="2"/>
  <c r="CJ6" i="2" s="1"/>
  <c r="CJ36" i="2"/>
  <c r="CL36" i="2" s="1"/>
  <c r="CK42" i="2"/>
  <c r="CJ44" i="2"/>
  <c r="CL44" i="2" s="1"/>
  <c r="CK34" i="2"/>
  <c r="CK7" i="2"/>
  <c r="CI9" i="2"/>
  <c r="CJ47" i="2"/>
  <c r="CL47" i="2" s="1"/>
  <c r="CL16" i="2"/>
  <c r="CJ46" i="2"/>
  <c r="CK36" i="2"/>
  <c r="CK48" i="2"/>
  <c r="CK24" i="2"/>
  <c r="CI17" i="2"/>
  <c r="CK15" i="2"/>
  <c r="CI24" i="2"/>
  <c r="CL24" i="2" s="1"/>
  <c r="CJ27" i="2"/>
  <c r="CL27" i="2" s="1"/>
  <c r="CK13" i="2"/>
  <c r="CK27" i="2"/>
  <c r="CK16" i="2"/>
  <c r="CI46" i="2"/>
  <c r="CJ19" i="2"/>
  <c r="CI51" i="2"/>
  <c r="CI48" i="2"/>
  <c r="CL48" i="2" s="1"/>
  <c r="CJ17" i="2"/>
  <c r="CJ51" i="2"/>
  <c r="CJ15" i="2"/>
  <c r="CK35" i="2"/>
  <c r="CJ9" i="2"/>
  <c r="CJ42" i="2"/>
  <c r="CL42" i="2" s="1"/>
  <c r="CI19" i="2"/>
  <c r="CK31" i="2"/>
  <c r="CI31" i="2"/>
  <c r="CL31" i="2" s="1"/>
  <c r="CK44" i="2"/>
  <c r="CK9" i="2"/>
  <c r="CI30" i="2"/>
  <c r="CL30" i="2" s="1"/>
  <c r="CJ14" i="2"/>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28" i="2"/>
  <c r="CL34" i="2" l="1"/>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P42" i="2" s="1"/>
  <c r="CN37" i="2"/>
  <c r="CN32" i="2"/>
  <c r="CN45" i="2"/>
  <c r="CN53" i="2"/>
  <c r="CN18" i="2"/>
  <c r="Q28" i="2" s="1"/>
  <c r="CN33" i="2"/>
  <c r="CN30" i="2"/>
  <c r="CN28" i="2"/>
  <c r="Q45" i="2" s="1"/>
  <c r="CN36" i="2"/>
  <c r="CN24" i="2"/>
  <c r="Q37" i="2" s="1"/>
  <c r="CN48" i="2"/>
  <c r="CN34" i="2"/>
  <c r="Q60" i="2" s="1"/>
  <c r="CN13" i="2"/>
  <c r="R13" i="2" s="1"/>
  <c r="CN51" i="2"/>
  <c r="CN43" i="2"/>
  <c r="CN15" i="2"/>
  <c r="R20" i="2" s="1"/>
  <c r="CN14" i="2"/>
  <c r="Q20" i="2" s="1"/>
  <c r="CN40" i="2"/>
  <c r="CN26" i="2"/>
  <c r="Q44" i="2" s="1"/>
  <c r="CN31" i="2"/>
  <c r="CN38" i="2"/>
  <c r="CN21" i="2"/>
  <c r="R29" i="2" s="1"/>
  <c r="CN23" i="2"/>
  <c r="R36" i="2" s="1"/>
  <c r="CN17" i="2"/>
  <c r="R21" i="2" s="1"/>
  <c r="CN20" i="2"/>
  <c r="Q29" i="2" s="1"/>
  <c r="CN35" i="2"/>
  <c r="R60" i="2" s="1"/>
  <c r="CN44" i="2"/>
  <c r="CN25" i="2"/>
  <c r="R37" i="2" s="1"/>
  <c r="CN39" i="2"/>
  <c r="CN52" i="2"/>
  <c r="CN47" i="2"/>
  <c r="CN50" i="2"/>
  <c r="CN16" i="2"/>
  <c r="Q21" i="2" s="1"/>
  <c r="CN12" i="2"/>
  <c r="Q13" i="2" s="1"/>
  <c r="CN22" i="2"/>
  <c r="Q36" i="2" s="1"/>
  <c r="CN19" i="2"/>
  <c r="R28" i="2" s="1"/>
  <c r="CN49" i="2"/>
  <c r="CN41" i="2"/>
  <c r="CN8" i="2"/>
  <c r="CN9" i="2"/>
  <c r="CN10" i="2"/>
  <c r="Q12" i="2" s="1"/>
  <c r="CN6" i="2"/>
  <c r="Q4" i="2" s="1"/>
  <c r="CN7" i="2"/>
  <c r="R4" i="2" s="1"/>
  <c r="CN46" i="2"/>
  <c r="CN11" i="2"/>
  <c r="R12" i="2" s="1"/>
  <c r="CP29" i="2" l="1"/>
  <c r="R45" i="2"/>
  <c r="CP27" i="2"/>
  <c r="R44" i="2"/>
  <c r="CO42" i="2"/>
  <c r="CQ42" i="2" s="1"/>
  <c r="CO29" i="2"/>
  <c r="CQ29" i="2" s="1"/>
  <c r="CO27" i="2"/>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Q27" i="2" l="1"/>
  <c r="CP8" i="2"/>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CS49" i="2"/>
  <c r="CT49" i="2" s="1"/>
  <c r="CS26" i="2"/>
  <c r="CS52" i="2"/>
  <c r="CT52" i="2" s="1"/>
  <c r="CS53" i="2"/>
  <c r="CT53" i="2" s="1"/>
  <c r="CS41" i="2"/>
  <c r="CT41" i="2" s="1"/>
  <c r="CS29" i="2"/>
  <c r="CS8" i="2"/>
  <c r="CS31" i="2"/>
  <c r="CT31" i="2" s="1"/>
  <c r="CS39" i="2"/>
  <c r="CT39" i="2" s="1"/>
  <c r="CS28" i="2"/>
  <c r="CS44" i="2"/>
  <c r="CT44" i="2" s="1"/>
  <c r="CS20" i="2"/>
  <c r="CS21" i="2"/>
  <c r="CS38" i="2"/>
  <c r="CT38" i="2" s="1"/>
  <c r="CS30" i="2"/>
  <c r="CT30" i="2" s="1"/>
  <c r="CS32" i="2"/>
  <c r="CT32" i="2" s="1"/>
  <c r="CS17" i="2"/>
  <c r="CS7" i="2"/>
  <c r="U4" i="2" s="1"/>
  <c r="CS23" i="2"/>
  <c r="CS48" i="2"/>
  <c r="CT48" i="2" s="1"/>
  <c r="CS12" i="2"/>
  <c r="CS34" i="2"/>
  <c r="CS16" i="2"/>
  <c r="CS10" i="2"/>
  <c r="CS9" i="2"/>
  <c r="T6" i="2" s="1"/>
  <c r="CS40" i="2"/>
  <c r="CT40" i="2" s="1"/>
  <c r="CS6" i="2"/>
  <c r="T7" i="2" s="1"/>
  <c r="CS11" i="2"/>
  <c r="CS27" i="2"/>
  <c r="CS46" i="2"/>
  <c r="CT46" i="2" s="1"/>
  <c r="CS42" i="2"/>
  <c r="CT42" i="2" s="1"/>
  <c r="CS25" i="2"/>
  <c r="CS19" i="2"/>
  <c r="CS33" i="2"/>
  <c r="CT33" i="2" s="1"/>
  <c r="CS13" i="2"/>
  <c r="CS37" i="2"/>
  <c r="CT37" i="2" s="1"/>
  <c r="CS36" i="2"/>
  <c r="CT36" i="2" s="1"/>
  <c r="CS51" i="2"/>
  <c r="CT51" i="2" s="1"/>
  <c r="CS50" i="2"/>
  <c r="CT50" i="2" s="1"/>
  <c r="CS45" i="2"/>
  <c r="CT45" i="2" s="1"/>
  <c r="CS24" i="2"/>
  <c r="CS47" i="2"/>
  <c r="CT47" i="2" s="1"/>
  <c r="CS43" i="2"/>
  <c r="CT43" i="2" s="1"/>
  <c r="CS35" i="2"/>
  <c r="CS22" i="2"/>
  <c r="U7" i="2"/>
  <c r="CT35" i="2" l="1"/>
  <c r="U60" i="2"/>
  <c r="CT34" i="2"/>
  <c r="T60" i="2"/>
  <c r="CT29" i="2"/>
  <c r="U45" i="2"/>
  <c r="CT28" i="2"/>
  <c r="T45" i="2"/>
  <c r="CT25" i="2"/>
  <c r="U37" i="2"/>
  <c r="CT24" i="2" s="1"/>
  <c r="T37" i="2"/>
  <c r="U44" i="2"/>
  <c r="CT26" i="2"/>
  <c r="T44" i="2"/>
  <c r="CT27" i="2" s="1"/>
  <c r="CT22" i="2"/>
  <c r="T36" i="2"/>
  <c r="CT23" i="2"/>
  <c r="U36" i="2"/>
  <c r="U29" i="2"/>
  <c r="CT20" i="2" s="1"/>
  <c r="T29" i="2"/>
  <c r="CT21" i="2" s="1"/>
  <c r="CT17" i="2"/>
  <c r="U21" i="2"/>
  <c r="CT16" i="2"/>
  <c r="T21" i="2"/>
  <c r="U20" i="2"/>
  <c r="CT14" i="2" s="1"/>
  <c r="T20" i="2"/>
  <c r="CT15" i="2" s="1"/>
  <c r="T13" i="2"/>
  <c r="U5" i="2"/>
  <c r="CT8" i="2" s="1"/>
  <c r="CT13" i="2"/>
  <c r="U13" i="2"/>
  <c r="CT12" i="2" s="1"/>
  <c r="CT19" i="2"/>
  <c r="U28" i="2"/>
  <c r="CT18" i="2"/>
  <c r="T28" i="2"/>
  <c r="U12" i="2"/>
  <c r="CT10" i="2" s="1"/>
  <c r="T12" i="2"/>
  <c r="CT11" i="2" s="1"/>
  <c r="T9" i="2"/>
  <c r="U8" i="2"/>
  <c r="T8" i="2"/>
  <c r="U6" i="2"/>
  <c r="U9" i="2"/>
  <c r="T5" i="2"/>
  <c r="CT9" i="2"/>
  <c r="CT6" i="2"/>
  <c r="T4" i="2"/>
  <c r="CT7" i="2" s="1"/>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X8" i="2" s="1"/>
  <c r="CW16" i="2"/>
  <c r="CX16" i="2" s="1"/>
  <c r="CW42" i="2"/>
  <c r="CX22" i="2" s="1"/>
  <c r="CX6" i="2"/>
  <c r="CX43" i="2" l="1"/>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DA19" i="2" s="1"/>
  <c r="CZ45" i="2"/>
  <c r="CZ51" i="2"/>
  <c r="CZ35" i="2"/>
  <c r="CZ23" i="2"/>
  <c r="CZ41" i="2"/>
  <c r="CZ36" i="2"/>
  <c r="CZ17" i="2"/>
  <c r="CZ32" i="2"/>
  <c r="CZ28" i="2"/>
  <c r="DA37" i="2" l="1"/>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M9"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AU8" i="2" l="1"/>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T6" i="2"/>
  <c r="J4" i="4"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N6" i="2" l="1"/>
  <c r="H4" i="4"/>
  <c r="AO6" i="2"/>
  <c r="AP6" i="2"/>
  <c r="AR6" i="2"/>
  <c r="K4" i="4" s="1"/>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5" i="4" l="1"/>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<sst xmlns="http://schemas.openxmlformats.org/spreadsheetml/2006/main" count="6754" uniqueCount="1516">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</sst>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60"/>
  <sheetViews>
    <sheetView showGridLines="0" showRowColHeaders="0" tabSelected="1" zoomScaleNormal="100" workbookViewId="0">
      <selection activeCell="AD60" sqref="AD60"/>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2"/>
      <c r="D3" s="622"/>
      <c r="E3" s="622"/>
      <c r="F3" s="622"/>
      <c r="G3" s="622"/>
      <c r="H3" s="622"/>
      <c r="I3" s="622"/>
      <c r="J3" s="622"/>
      <c r="K3" s="622"/>
      <c r="L3" s="622"/>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2"/>
      <c r="G16" s="622"/>
      <c r="H16" s="622"/>
      <c r="I16" s="622"/>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2"/>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60" spans="1:31" x14ac:dyDescent="0.2">
      <c r="AC60" s="292">
        <v>0</v>
      </c>
      <c r="AD60"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20" zoomScaleNormal="100" workbookViewId="0">
      <selection activeCell="AD60" sqref="AD60"/>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1" t="str">
        <f>Idiomas!D8</f>
        <v>XXIII Mundial USA/MEX/CAN 2026</v>
      </c>
      <c r="X1" s="622"/>
      <c r="Y1" s="622"/>
      <c r="Z1" s="622"/>
      <c r="AA1" s="622"/>
      <c r="AB1" s="622"/>
      <c r="AC1" s="622"/>
      <c r="AD1" s="622"/>
      <c r="AE1" s="622"/>
      <c r="AF1" s="622"/>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0"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7"/>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7"/>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7"/>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8"/>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4</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1</v>
      </c>
      <c r="BG11" s="16">
        <f t="shared" ca="1" si="18"/>
        <v>0</v>
      </c>
      <c r="BH11" s="16">
        <f t="shared" ca="1" si="19"/>
        <v>1</v>
      </c>
      <c r="BI11" s="16">
        <f t="shared" ca="1" si="20"/>
        <v>0</v>
      </c>
      <c r="BJ11" s="16">
        <f t="shared" ca="1" si="21"/>
        <v>1</v>
      </c>
      <c r="BK11" s="16">
        <f t="shared" ca="1" si="22"/>
        <v>1</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1</v>
      </c>
      <c r="CB11" s="16">
        <f t="shared" ca="1" si="33"/>
        <v>1</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1</v>
      </c>
      <c r="CP11" s="16">
        <f t="shared" ca="1" si="41"/>
        <v>1</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4</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(4)</v>
      </c>
      <c r="F12" s="16" t="str">
        <f t="shared" ref="F12:F17" ca="1" si="54">IF(D12="Pendiente","-",INDEX($BT$6:$BT$53,MATCH($AF12,$BD$6:$BD$53,0)))</f>
        <v>P.1 (4)</v>
      </c>
      <c r="G12" s="16"/>
      <c r="H12" s="16" t="str">
        <f t="shared" ref="H12:H17" ca="1" si="55">IF(D12="Pendiente","-",INDEX($BZ$6:$BZ$53,MATCH($AA12,$BD$6:$BD$53,0)))</f>
        <v>P.1 (4)</v>
      </c>
      <c r="I12" s="16" t="str">
        <f t="shared" ref="I12:I17" ca="1" si="56">IF(D12="Pendiente","-",INDEX($BZ$6:$BZ$53,MATCH($AF12,$BD$6:$BD$53,0)))</f>
        <v>P.1 (4)</v>
      </c>
      <c r="J12" s="16"/>
      <c r="K12" s="16" t="str">
        <f t="shared" ref="K12:K17" ca="1" si="57">IF(D12="Pendiente","-",INDEX($CE$6:$CE$53,MATCH($AA12,$BD$6:$BD$53,0)))</f>
        <v>P.1 (4)</v>
      </c>
      <c r="L12" s="16" t="str">
        <f t="shared" ref="L12:L17" ca="1" si="58">IF(D12="Pendiente","-",INDEX($CE$6:$CE$53,MATCH($AF12,$BD$6:$BD$53,0)))</f>
        <v>P.1 (4)</v>
      </c>
      <c r="M12" s="16"/>
      <c r="N12" s="16" t="str">
        <f t="shared" ref="N12:N17" ca="1" si="59">IF(D12="Pendiente","-",INDEX($CH$6:$CH$53,MATCH($AA12,$BD$6:$BD$53,0)))</f>
        <v>P.1 (4)</v>
      </c>
      <c r="O12" s="16" t="str">
        <f t="shared" ref="O12:O17" ca="1" si="60">IF(D12="Pendiente","-",INDEX($CH$6:$CH$53,MATCH($AF12,$BD$6:$BD$53,0)))</f>
        <v>P.1 (4)</v>
      </c>
      <c r="P12" s="16"/>
      <c r="Q12" s="16" t="str">
        <f t="shared" ref="Q12:Q17" ca="1" si="61">IF(D12="Pendiente","-",INDEX($CN$6:$CN$53,MATCH($AA12,$BD$6:$BD$53,0)))</f>
        <v>P.1 (4)</v>
      </c>
      <c r="R12" s="16" t="str">
        <f t="shared" ref="R12:R17" ca="1" si="62">IF(D12="Pendiente","-",INDEX($CN$6:$CN$53,MATCH($AF12,$BD$6:$BD$53,0)))</f>
        <v>P.1 (4)</v>
      </c>
      <c r="S12" s="16"/>
      <c r="T12" s="16" t="str">
        <f t="shared" ref="T12:T17" ca="1" si="63">IF(D12="Pendiente","-",INDEX($CS$6:$CS$53,MATCH($AA12,$BD$6:$BD$53,0)))</f>
        <v>P.1 (4)</v>
      </c>
      <c r="U12" s="16" t="str">
        <f t="shared" ref="U12:U17" ca="1" si="64">IF(D12="Pendiente","-",INDEX($CS$6:$CS$53,MATCH($AF12,$BD$6:$BD$53,0)))</f>
        <v>P.1 (4)</v>
      </c>
      <c r="V12" s="17"/>
      <c r="W12" s="639"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1</v>
      </c>
      <c r="BG12" s="16">
        <f t="shared" ca="1" si="18"/>
        <v>0</v>
      </c>
      <c r="BH12" s="16">
        <f t="shared" ca="1" si="19"/>
        <v>1</v>
      </c>
      <c r="BI12" s="16">
        <f t="shared" ca="1" si="20"/>
        <v>0</v>
      </c>
      <c r="BJ12" s="16">
        <f t="shared" ca="1" si="21"/>
        <v>1</v>
      </c>
      <c r="BK12" s="16">
        <f t="shared" ca="1" si="22"/>
        <v>1</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1</v>
      </c>
      <c r="BW12" s="16">
        <f t="shared" ca="1" si="30"/>
        <v>0</v>
      </c>
      <c r="BX12" s="16">
        <f t="shared" ca="1" si="31"/>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1</v>
      </c>
      <c r="CB12" s="16">
        <f t="shared" ca="1" si="33"/>
        <v>1</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1</v>
      </c>
      <c r="CK12" s="16">
        <f t="shared" ca="1" si="38"/>
        <v>0</v>
      </c>
      <c r="CL12" s="16">
        <f t="shared" ca="1" si="39"/>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1</v>
      </c>
      <c r="CP12" s="16">
        <f t="shared" ca="1" si="41"/>
        <v>1</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4</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P.1 (4)</v>
      </c>
      <c r="F13" s="16" t="str">
        <f t="shared" ca="1" si="54"/>
        <v>P.1 (4)</v>
      </c>
      <c r="G13" s="16"/>
      <c r="H13" s="16" t="str">
        <f t="shared" ca="1" si="55"/>
        <v>P.1 (4)</v>
      </c>
      <c r="I13" s="16" t="str">
        <f t="shared" ca="1" si="56"/>
        <v>P.1 (4)</v>
      </c>
      <c r="J13" s="16"/>
      <c r="K13" s="16" t="str">
        <f t="shared" ca="1" si="57"/>
        <v>P.1 (4)</v>
      </c>
      <c r="L13" s="16" t="str">
        <f t="shared" ca="1" si="58"/>
        <v>P.1 (4)</v>
      </c>
      <c r="M13" s="16"/>
      <c r="N13" s="16" t="str">
        <f t="shared" ca="1" si="59"/>
        <v>P.1 (4)</v>
      </c>
      <c r="O13" s="16" t="str">
        <f t="shared" ca="1" si="60"/>
        <v>P.1 (4)</v>
      </c>
      <c r="P13" s="16"/>
      <c r="Q13" s="16" t="str">
        <f t="shared" ca="1" si="61"/>
        <v>P.1 (4)</v>
      </c>
      <c r="R13" s="16" t="str">
        <f t="shared" ca="1" si="62"/>
        <v>P.1 (4)</v>
      </c>
      <c r="S13" s="16"/>
      <c r="T13" s="16" t="str">
        <f t="shared" ca="1" si="63"/>
        <v>P.1 (4)</v>
      </c>
      <c r="U13" s="16" t="str">
        <f t="shared" ca="1" si="64"/>
        <v>P.1 (4)</v>
      </c>
      <c r="V13" s="17"/>
      <c r="W13" s="627"/>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1</v>
      </c>
      <c r="BF13" s="16">
        <f t="shared" ca="1" si="17"/>
        <v>1</v>
      </c>
      <c r="BG13" s="16">
        <f t="shared" ca="1" si="18"/>
        <v>0</v>
      </c>
      <c r="BH13" s="16">
        <f t="shared" ca="1" si="19"/>
        <v>1</v>
      </c>
      <c r="BI13" s="16">
        <f t="shared" ca="1" si="20"/>
        <v>0</v>
      </c>
      <c r="BJ13" s="16">
        <f t="shared" ca="1" si="21"/>
        <v>1</v>
      </c>
      <c r="BK13" s="16">
        <f t="shared" ca="1" si="22"/>
        <v>1</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4</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7"/>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1</v>
      </c>
      <c r="AN14" s="36">
        <f t="shared" ca="1" si="67"/>
        <v>1</v>
      </c>
      <c r="AO14" s="36">
        <f t="shared" ca="1" si="67"/>
        <v>0</v>
      </c>
      <c r="AP14" s="36">
        <f t="shared" ca="1" si="67"/>
        <v>1</v>
      </c>
      <c r="AQ14" s="36">
        <f t="shared" ca="1" si="67"/>
        <v>0</v>
      </c>
      <c r="AR14" s="36">
        <f t="shared" ca="1" si="67"/>
        <v>1</v>
      </c>
      <c r="AS14" s="36">
        <f t="shared" ca="1" si="67"/>
        <v>1</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8"/>
        <v>0</v>
      </c>
      <c r="BV14" s="16">
        <f t="shared" ca="1" si="29"/>
        <v>1</v>
      </c>
      <c r="BW14" s="16">
        <f t="shared" ca="1" si="30"/>
        <v>0</v>
      </c>
      <c r="BX14" s="16">
        <f t="shared" ca="1" si="31"/>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32"/>
        <v>1</v>
      </c>
      <c r="CB14" s="16">
        <f t="shared" ca="1" si="33"/>
        <v>1</v>
      </c>
      <c r="CC14" s="16">
        <f t="shared" ca="1" si="34"/>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35"/>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6"/>
        <v>0</v>
      </c>
      <c r="CJ14" s="16">
        <f t="shared" ca="1" si="37"/>
        <v>1</v>
      </c>
      <c r="CK14" s="16">
        <f t="shared" ca="1" si="38"/>
        <v>0</v>
      </c>
      <c r="CL14" s="16">
        <f t="shared" ca="1" si="39"/>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40"/>
        <v>1</v>
      </c>
      <c r="CP14" s="16">
        <f t="shared" ca="1" si="41"/>
        <v>1</v>
      </c>
      <c r="CQ14" s="16">
        <f t="shared" ca="1" si="42"/>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43"/>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44"/>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45"/>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46"/>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47"/>
        <v>1</v>
      </c>
      <c r="DK14" s="16">
        <f t="shared" ca="1" si="48"/>
        <v>4</v>
      </c>
      <c r="DL14" s="16">
        <f t="shared" ca="1" si="49"/>
        <v>1</v>
      </c>
      <c r="DM14" s="16" t="str">
        <f t="shared" ca="1" si="50"/>
        <v>1.1</v>
      </c>
      <c r="DN14" s="16">
        <f t="array" aca="1" ref="DN14" ca="1">OFFSET(Horarios!$P$3,DJ14-1,0,DL14,1)</f>
        <v>1</v>
      </c>
      <c r="DO14" s="16"/>
      <c r="DP14" s="16" t="s">
        <v>79</v>
      </c>
      <c r="DQ14" s="16" t="str">
        <f t="shared" ca="1" si="51"/>
        <v>Escocia</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7"/>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45"/>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46"/>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47"/>
        <v>2</v>
      </c>
      <c r="DK15" s="16">
        <f t="shared" ca="1" si="48"/>
        <v>4</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7"/>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1</v>
      </c>
      <c r="AO16" s="39">
        <f t="shared" ca="1" si="67"/>
        <v>0</v>
      </c>
      <c r="AP16" s="39">
        <f t="shared" ca="1" si="67"/>
        <v>1</v>
      </c>
      <c r="AQ16" s="39">
        <f t="shared" ca="1" si="67"/>
        <v>0</v>
      </c>
      <c r="AR16" s="39">
        <f t="shared" ca="1" si="67"/>
        <v>1</v>
      </c>
      <c r="AS16" s="39">
        <f t="shared" ca="1" si="67"/>
        <v>1</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2</v>
      </c>
      <c r="DK16" s="16">
        <f t="shared" ca="1" si="48"/>
        <v>4</v>
      </c>
      <c r="DL16" s="16">
        <f t="shared" ca="1" si="49"/>
        <v>1</v>
      </c>
      <c r="DM16" s="16" t="str">
        <f t="shared" ca="1" si="50"/>
        <v>2.1</v>
      </c>
      <c r="DN16" s="16">
        <f t="array" aca="1" ref="DN16" ca="1">OFFSET(Horarios!$P$3,DJ16-1,0,DL16,1)</f>
        <v>2</v>
      </c>
      <c r="DO16" s="16"/>
      <c r="DP16" s="16" t="s">
        <v>81</v>
      </c>
      <c r="DQ16" s="16" t="str">
        <f t="shared" ca="1" si="51"/>
        <v>Marruecos</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8"/>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1</v>
      </c>
      <c r="AN17" s="78">
        <f t="shared" ca="1" si="67"/>
        <v>1</v>
      </c>
      <c r="AO17" s="78">
        <f t="shared" ca="1" si="67"/>
        <v>0</v>
      </c>
      <c r="AP17" s="78">
        <f t="shared" ca="1" si="67"/>
        <v>1</v>
      </c>
      <c r="AQ17" s="78">
        <f t="shared" ca="1" si="67"/>
        <v>0</v>
      </c>
      <c r="AR17" s="78">
        <f t="shared" ca="1" si="67"/>
        <v>1</v>
      </c>
      <c r="AS17" s="78">
        <f t="shared" ca="1" si="67"/>
        <v>1</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1</v>
      </c>
      <c r="BG17" s="16">
        <f t="shared" ca="1" si="18"/>
        <v>1</v>
      </c>
      <c r="BH17" s="16">
        <f t="shared" ca="1" si="19"/>
        <v>0</v>
      </c>
      <c r="BI17" s="16">
        <f t="shared" ca="1" si="20"/>
        <v>0</v>
      </c>
      <c r="BJ17" s="16">
        <f t="shared" ca="1" si="21"/>
        <v>1</v>
      </c>
      <c r="BK17" s="16">
        <f t="shared" ca="1" si="22"/>
        <v>0</v>
      </c>
      <c r="BL17" s="16">
        <f t="shared" ca="1" si="23"/>
        <v>1</v>
      </c>
      <c r="BM17" s="16" t="str">
        <f t="shared" ca="1" si="24"/>
        <v>1C</v>
      </c>
      <c r="BN17" s="16" t="str">
        <f t="shared" ca="1" si="25"/>
        <v>1C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46"/>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47"/>
        <v>4</v>
      </c>
      <c r="DK17" s="16">
        <f t="shared" ca="1" si="48"/>
        <v>4</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4</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4</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P.2 (2)</v>
      </c>
      <c r="F20" s="16" t="str">
        <f t="shared" ref="F20:F25" ca="1" si="70">IF(D20="Pendiente","-",INDEX($BT$6:$BT$53,MATCH($AF20,$BD$6:$BD$53,0)))</f>
        <v>P.2 (2)</v>
      </c>
      <c r="G20" s="16"/>
      <c r="H20" s="16" t="str">
        <f t="shared" ref="H20:H25" ca="1" si="71">IF(D20="Pendiente","-",INDEX($BZ$6:$BZ$53,MATCH($AA20,$BD$6:$BD$53,0)))</f>
        <v>P.2 (2)</v>
      </c>
      <c r="I20" s="16" t="str">
        <f t="shared" ref="I20:I25" ca="1" si="72">IF(D20="Pendiente","-",INDEX($BZ$6:$BZ$53,MATCH($AF20,$BD$6:$BD$53,0)))</f>
        <v>P.2 (2)</v>
      </c>
      <c r="J20" s="16"/>
      <c r="K20" s="16" t="str">
        <f t="shared" ref="K20:K25" ca="1" si="73">IF(D20="Pendiente","-",INDEX($CE$6:$CE$53,MATCH($AA20,$BD$6:$BD$53,0)))</f>
        <v>P.2 (2)</v>
      </c>
      <c r="L20" s="16" t="str">
        <f t="shared" ref="L20:L25" ca="1" si="74">IF(D20="Pendiente","-",INDEX($CE$6:$CE$53,MATCH($AF20,$BD$6:$BD$53,0)))</f>
        <v>P.2 (2)</v>
      </c>
      <c r="M20" s="16"/>
      <c r="N20" s="16" t="str">
        <f t="shared" ref="N20:N25" ca="1" si="75">IF(D20="Pendiente","-",INDEX($CH$6:$CH$53,MATCH($AA20,$BD$6:$BD$53,0)))</f>
        <v>P.2 (2)</v>
      </c>
      <c r="O20" s="16" t="str">
        <f t="shared" ref="O20:O25" ca="1" si="76">IF(D20="Pendiente","-",INDEX($CH$6:$CH$53,MATCH($AF20,$BD$6:$BD$53,0)))</f>
        <v>P.2 (2)</v>
      </c>
      <c r="P20" s="16"/>
      <c r="Q20" s="16" t="str">
        <f t="shared" ref="Q20:Q25" ca="1" si="77">IF(D20="Pendiente","-",INDEX($CN$6:$CN$53,MATCH($AA20,$BD$6:$BD$53,0)))</f>
        <v>P.2 (2)</v>
      </c>
      <c r="R20" s="16" t="str">
        <f t="shared" ref="R20:R25" ca="1" si="78">IF(D20="Pendiente","-",INDEX($CN$6:$CN$53,MATCH($AF20,$BD$6:$BD$53,0)))</f>
        <v>P.2 (2)</v>
      </c>
      <c r="S20" s="16"/>
      <c r="T20" s="16" t="str">
        <f t="shared" ref="T20:T25" ca="1" si="79">IF(D20="Pendiente","-",INDEX($CS$6:$CS$53,MATCH($AA20,$BD$6:$BD$53,0)))</f>
        <v>P.2 (2)</v>
      </c>
      <c r="U20" s="16" t="str">
        <f t="shared" ref="U20:U25" ca="1" si="80">IF(D20="Pendiente","-",INDEX($CS$6:$CS$53,MATCH($AF20,$BD$6:$BD$53,0)))</f>
        <v>P.2 (2)</v>
      </c>
      <c r="V20" s="17"/>
      <c r="W20" s="638"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1</v>
      </c>
      <c r="BG20" s="16">
        <f t="shared" ca="1" si="18"/>
        <v>1</v>
      </c>
      <c r="BH20" s="16">
        <f t="shared" ca="1" si="19"/>
        <v>0</v>
      </c>
      <c r="BI20" s="16">
        <f t="shared" ca="1" si="20"/>
        <v>0</v>
      </c>
      <c r="BJ20" s="16">
        <f t="shared" ca="1" si="21"/>
        <v>2</v>
      </c>
      <c r="BK20" s="16">
        <f t="shared" ca="1" si="22"/>
        <v>0</v>
      </c>
      <c r="BL20" s="16">
        <f t="shared" ca="1" si="23"/>
        <v>2</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44"/>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4</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4</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7"/>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Escocia</v>
      </c>
      <c r="AM22" s="35">
        <f t="shared" ref="AM22:AT25" ca="1" si="83">INDEX($BE$6:$BN$53,MATCH($AL22,$BD$6:$BD$53,0),MATCH(AM$5,$BE$5:$BN$5,0))</f>
        <v>3</v>
      </c>
      <c r="AN22" s="36">
        <f t="shared" ca="1" si="83"/>
        <v>1</v>
      </c>
      <c r="AO22" s="36">
        <f t="shared" ca="1" si="83"/>
        <v>1</v>
      </c>
      <c r="AP22" s="36">
        <f t="shared" ca="1" si="83"/>
        <v>0</v>
      </c>
      <c r="AQ22" s="36">
        <f t="shared" ca="1" si="83"/>
        <v>0</v>
      </c>
      <c r="AR22" s="36">
        <f t="shared" ca="1" si="83"/>
        <v>1</v>
      </c>
      <c r="AS22" s="36">
        <f t="shared" ca="1" si="83"/>
        <v>0</v>
      </c>
      <c r="AT22" s="41">
        <f t="shared" ca="1" si="83"/>
        <v>1</v>
      </c>
      <c r="AU22" s="323">
        <f ca="1">INDEX($DL$6:$DL$53,MATCH(AI22,$DP$6:$DP$53,0))</f>
        <v>1</v>
      </c>
      <c r="AV22" s="182" t="str">
        <f ca="1">INDEX($BD$6:$BD$53,MATCH(AI22,$BM$6:$BM$53,0))</f>
        <v>Escocia</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4</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7"/>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Brasil</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4</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7"/>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Marruecos</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1</v>
      </c>
      <c r="BG24" s="16">
        <f t="shared" ca="1" si="18"/>
        <v>1</v>
      </c>
      <c r="BH24" s="16">
        <f t="shared" ca="1" si="19"/>
        <v>0</v>
      </c>
      <c r="BI24" s="16">
        <f t="shared" ca="1" si="20"/>
        <v>0</v>
      </c>
      <c r="BJ24" s="16">
        <f t="shared" ca="1" si="21"/>
        <v>1</v>
      </c>
      <c r="BK24" s="16">
        <f t="shared" ca="1" si="22"/>
        <v>0</v>
      </c>
      <c r="BL24" s="16">
        <f t="shared" ca="1" si="23"/>
        <v>1</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44"/>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4</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8"/>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4</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1</v>
      </c>
      <c r="BF26" s="16">
        <f t="shared" ca="1" si="17"/>
        <v>1</v>
      </c>
      <c r="BG26" s="16">
        <f t="shared" ca="1" si="18"/>
        <v>0</v>
      </c>
      <c r="BH26" s="16">
        <f t="shared" ca="1" si="19"/>
        <v>1</v>
      </c>
      <c r="BI26" s="16">
        <f t="shared" ca="1" si="20"/>
        <v>0</v>
      </c>
      <c r="BJ26" s="16">
        <f t="shared" ca="1" si="21"/>
        <v>2</v>
      </c>
      <c r="BK26" s="16">
        <f t="shared" ca="1" si="22"/>
        <v>2</v>
      </c>
      <c r="BL26" s="16">
        <f t="shared" ca="1" si="23"/>
        <v>0</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8"/>
        <v>0</v>
      </c>
      <c r="BV26" s="16">
        <f t="shared" ca="1" si="29"/>
        <v>1</v>
      </c>
      <c r="BW26" s="16">
        <f t="shared" ca="1" si="30"/>
        <v>0</v>
      </c>
      <c r="BX26" s="16">
        <f t="shared" ca="1" si="31"/>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32"/>
        <v>2</v>
      </c>
      <c r="CB26" s="16">
        <f t="shared" ca="1" si="33"/>
        <v>2</v>
      </c>
      <c r="CC26" s="16">
        <f t="shared" ca="1" si="34"/>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35"/>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6"/>
        <v>0</v>
      </c>
      <c r="CJ26" s="16">
        <f t="shared" ca="1" si="37"/>
        <v>1</v>
      </c>
      <c r="CK26" s="16">
        <f t="shared" ca="1" si="38"/>
        <v>0</v>
      </c>
      <c r="CL26" s="16">
        <f t="shared" ca="1" si="39"/>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40"/>
        <v>2</v>
      </c>
      <c r="CP26" s="16">
        <f t="shared" ca="1" si="41"/>
        <v>2</v>
      </c>
      <c r="CQ26" s="16">
        <f t="shared" ca="1" si="42"/>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43"/>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44"/>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45"/>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46"/>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47"/>
        <v>1</v>
      </c>
      <c r="DK26" s="16">
        <f t="shared" ca="1" si="48"/>
        <v>4</v>
      </c>
      <c r="DL26" s="16">
        <f t="shared" ca="1" si="49"/>
        <v>1</v>
      </c>
      <c r="DM26" s="16" t="str">
        <f t="shared" ca="1" si="50"/>
        <v>1.1</v>
      </c>
      <c r="DN26" s="16">
        <f t="array" aca="1" ref="DN26" ca="1">OFFSET(Horarios!$P$3,DJ26-1,0,DL26,1)</f>
        <v>1</v>
      </c>
      <c r="DO26" s="16"/>
      <c r="DP26" s="16" t="s">
        <v>92</v>
      </c>
      <c r="DQ26" s="16" t="str">
        <f t="shared" ca="1" si="51"/>
        <v>Suecia</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45"/>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46"/>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47"/>
        <v>2</v>
      </c>
      <c r="DK27" s="16">
        <f t="shared" ca="1" si="48"/>
        <v>4</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P.1 (2)</v>
      </c>
      <c r="F28" s="16" t="str">
        <f t="shared" ref="F28:F33" ca="1" si="86">IF(D28="Pendiente","-",INDEX($BT$6:$BT$53,MATCH($AF28,$BD$6:$BD$53,0)))</f>
        <v>P.3 (2)</v>
      </c>
      <c r="G28" s="16"/>
      <c r="H28" s="16" t="str">
        <f t="shared" ref="H28:H33" ca="1" si="87">IF(D28="Pendiente","-",INDEX($BZ$6:$BZ$53,MATCH($AA28,$BD$6:$BD$53,0)))</f>
        <v>P.1 (2)</v>
      </c>
      <c r="I28" s="16" t="str">
        <f t="shared" ref="I28:I33" ca="1" si="88">IF(D28="Pendiente","-",INDEX($BZ$6:$BZ$53,MATCH($AF28,$BD$6:$BD$53,0)))</f>
        <v>P.3 (2)</v>
      </c>
      <c r="J28" s="16"/>
      <c r="K28" s="16" t="str">
        <f t="shared" ref="K28:K33" ca="1" si="89">IF(D28="Pendiente","-",INDEX($CE$6:$CE$53,MATCH($AA28,$BD$6:$BD$53,0)))</f>
        <v>P.1 (2)</v>
      </c>
      <c r="L28" s="16" t="str">
        <f t="shared" ref="L28:L33" ca="1" si="90">IF(D28="Pendiente","-",INDEX($CE$6:$CE$53,MATCH($AF28,$BD$6:$BD$53,0)))</f>
        <v>P.3 (2)</v>
      </c>
      <c r="M28" s="16"/>
      <c r="N28" s="16" t="str">
        <f t="shared" ref="N28:N33" ca="1" si="91">IF(D28="Pendiente","-",INDEX($CH$6:$CH$53,MATCH($AA28,$BD$6:$BD$53,0)))</f>
        <v>P.1 (2)</v>
      </c>
      <c r="O28" s="16" t="str">
        <f t="shared" ref="O28:O33" ca="1" si="92">IF(D28="Pendiente","-",INDEX($CH$6:$CH$53,MATCH($AF28,$BD$6:$BD$53,0)))</f>
        <v>P.3 (2)</v>
      </c>
      <c r="P28" s="16"/>
      <c r="Q28" s="16" t="str">
        <f t="shared" ref="Q28:Q33" ca="1" si="93">IF(D28="Pendiente","-",INDEX($CN$6:$CN$53,MATCH($AA28,$BD$6:$BD$53,0)))</f>
        <v>P.1 (2)</v>
      </c>
      <c r="R28" s="16" t="str">
        <f t="shared" ref="R28:R33" ca="1" si="94">IF(D28="Pendiente","-",INDEX($CN$6:$CN$53,MATCH($AF28,$BD$6:$BD$53,0)))</f>
        <v>P.3 (2)</v>
      </c>
      <c r="S28" s="16"/>
      <c r="T28" s="16" t="str">
        <f t="shared" ref="T28:T33" ca="1" si="95">IF(D28="Pendiente","-",INDEX($CS$6:$CS$53,MATCH($AA28,$BD$6:$BD$53,0)))</f>
        <v>P.1 (2)</v>
      </c>
      <c r="U28" s="16" t="str">
        <f t="shared" ref="U28:U33" ca="1" si="96">IF(D28="Pendiente","-",INDEX($CS$6:$CS$53,MATCH($AF28,$BD$6:$BD$53,0)))</f>
        <v>P.3 (2)</v>
      </c>
      <c r="V28" s="17"/>
      <c r="W28" s="629"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1</v>
      </c>
      <c r="BG28" s="16">
        <f t="shared" ca="1" si="18"/>
        <v>1</v>
      </c>
      <c r="BH28" s="16">
        <f t="shared" ca="1" si="19"/>
        <v>0</v>
      </c>
      <c r="BI28" s="16">
        <f t="shared" ca="1" si="20"/>
        <v>0</v>
      </c>
      <c r="BJ28" s="16">
        <f t="shared" ca="1" si="21"/>
        <v>5</v>
      </c>
      <c r="BK28" s="16">
        <f t="shared" ca="1" si="22"/>
        <v>1</v>
      </c>
      <c r="BL28" s="16">
        <f t="shared" ca="1" si="23"/>
        <v>4</v>
      </c>
      <c r="BM28" s="16" t="str">
        <f t="shared" ca="1" si="24"/>
        <v>1F</v>
      </c>
      <c r="BN28" s="16" t="str">
        <f t="shared" ca="1" si="25"/>
        <v>1F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46"/>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47"/>
        <v>2</v>
      </c>
      <c r="DK28" s="16">
        <f t="shared" ca="1" si="48"/>
        <v>4</v>
      </c>
      <c r="DL28" s="16">
        <f t="shared" ca="1" si="49"/>
        <v>1</v>
      </c>
      <c r="DM28" s="16" t="str">
        <f t="shared" ca="1" si="50"/>
        <v>2.1</v>
      </c>
      <c r="DN28" s="16">
        <f t="array" aca="1" ref="DN28" ca="1">OFFSET(Horarios!$P$3,DJ28-1,0,DL28,1)</f>
        <v>2</v>
      </c>
      <c r="DO28" s="16"/>
      <c r="DP28" s="16" t="s">
        <v>95</v>
      </c>
      <c r="DQ28" s="16" t="str">
        <f t="shared" ca="1" si="51"/>
        <v>Japón</v>
      </c>
    </row>
    <row r="29" spans="1:121" ht="16" customHeight="1" x14ac:dyDescent="0.2">
      <c r="A29" s="16" t="str">
        <f ca="1">+Equipos!B14</f>
        <v>Estados Unidos</v>
      </c>
      <c r="B29" s="16"/>
      <c r="C29" s="16"/>
      <c r="D29" s="16" t="str">
        <f t="shared" si="84"/>
        <v>Local</v>
      </c>
      <c r="E29" s="16" t="str">
        <f t="shared" ca="1" si="85"/>
        <v>P.1 (2)</v>
      </c>
      <c r="F29" s="16" t="str">
        <f t="shared" ca="1" si="86"/>
        <v>P.3 (2)</v>
      </c>
      <c r="G29" s="16"/>
      <c r="H29" s="16" t="str">
        <f t="shared" ca="1" si="87"/>
        <v>P.1 (2)</v>
      </c>
      <c r="I29" s="16" t="str">
        <f t="shared" ca="1" si="88"/>
        <v>P.3 (2)</v>
      </c>
      <c r="J29" s="16"/>
      <c r="K29" s="16" t="str">
        <f t="shared" ca="1" si="89"/>
        <v>P.1 (2)</v>
      </c>
      <c r="L29" s="16" t="str">
        <f t="shared" ca="1" si="90"/>
        <v>P.3 (2)</v>
      </c>
      <c r="M29" s="16"/>
      <c r="N29" s="16" t="str">
        <f t="shared" ca="1" si="91"/>
        <v>P.1 (2)</v>
      </c>
      <c r="O29" s="16" t="str">
        <f t="shared" ca="1" si="92"/>
        <v>P.3 (2)</v>
      </c>
      <c r="P29" s="16"/>
      <c r="Q29" s="16" t="str">
        <f t="shared" ca="1" si="93"/>
        <v>P.1 (2)</v>
      </c>
      <c r="R29" s="16" t="str">
        <f t="shared" ca="1" si="94"/>
        <v>P.3 (2)</v>
      </c>
      <c r="S29" s="16"/>
      <c r="T29" s="16" t="str">
        <f t="shared" ca="1" si="95"/>
        <v>P.1 (2)</v>
      </c>
      <c r="U29" s="16" t="str">
        <f t="shared" ca="1" si="96"/>
        <v>P.3 (2)</v>
      </c>
      <c r="V29" s="17"/>
      <c r="W29" s="627"/>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4</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7"/>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0</v>
      </c>
      <c r="BF30" s="16">
        <f t="shared" ca="1" si="17"/>
        <v>0</v>
      </c>
      <c r="BG30" s="16">
        <f t="shared" ca="1" si="18"/>
        <v>0</v>
      </c>
      <c r="BH30" s="16">
        <f t="shared" ca="1" si="19"/>
        <v>0</v>
      </c>
      <c r="BI30" s="16">
        <f t="shared" ca="1" si="20"/>
        <v>0</v>
      </c>
      <c r="BJ30" s="16">
        <f t="shared" ca="1" si="21"/>
        <v>0</v>
      </c>
      <c r="BK30" s="16">
        <f t="shared" ca="1" si="22"/>
        <v>0</v>
      </c>
      <c r="BL30" s="16">
        <f t="shared" ca="1" si="23"/>
        <v>0</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0</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0</v>
      </c>
      <c r="BW30" s="16">
        <f t="shared" ca="1" si="30"/>
        <v>0</v>
      </c>
      <c r="BX30" s="16">
        <f t="shared" ca="1" si="31"/>
        <v>0</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0</v>
      </c>
      <c r="CB30" s="16">
        <f t="shared" ca="1" si="33"/>
        <v>0</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(4)</v>
      </c>
      <c r="CI30" s="16">
        <f t="shared" ca="1" si="36"/>
        <v>0</v>
      </c>
      <c r="CJ30" s="16">
        <f t="shared" ca="1" si="37"/>
        <v>0</v>
      </c>
      <c r="CK30" s="16">
        <f t="shared" ca="1" si="38"/>
        <v>0</v>
      </c>
      <c r="CL30" s="16">
        <f t="shared" ca="1" si="39"/>
        <v>0</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(4)</v>
      </c>
      <c r="CO30" s="16">
        <f t="shared" ca="1" si="40"/>
        <v>0</v>
      </c>
      <c r="CP30" s="16">
        <f t="shared" ca="1" si="41"/>
        <v>0</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(4)</v>
      </c>
      <c r="CT30" s="16">
        <f t="shared" ca="1" si="43"/>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(4)</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(4)</v>
      </c>
      <c r="CZ30" s="16">
        <f t="shared" ca="1" si="45"/>
        <v>0</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(4)</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0</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7"/>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1</v>
      </c>
      <c r="AO31" s="39">
        <f t="shared" ca="1" si="99"/>
        <v>1</v>
      </c>
      <c r="AP31" s="39">
        <f t="shared" ca="1" si="99"/>
        <v>0</v>
      </c>
      <c r="AQ31" s="39">
        <f t="shared" ca="1" si="99"/>
        <v>0</v>
      </c>
      <c r="AR31" s="39">
        <f t="shared" ca="1" si="99"/>
        <v>2</v>
      </c>
      <c r="AS31" s="39">
        <f t="shared" ca="1" si="99"/>
        <v>0</v>
      </c>
      <c r="AT31" s="43">
        <f t="shared" ca="1" si="99"/>
        <v>2</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0</v>
      </c>
      <c r="BF31" s="16">
        <f t="shared" ca="1" si="17"/>
        <v>0</v>
      </c>
      <c r="BG31" s="16">
        <f t="shared" ca="1" si="18"/>
        <v>0</v>
      </c>
      <c r="BH31" s="16">
        <f t="shared" ca="1" si="19"/>
        <v>0</v>
      </c>
      <c r="BI31" s="16">
        <f t="shared" ca="1" si="20"/>
        <v>0</v>
      </c>
      <c r="BJ31" s="16">
        <f t="shared" ca="1" si="21"/>
        <v>0</v>
      </c>
      <c r="BK31" s="16">
        <f t="shared" ca="1" si="22"/>
        <v>0</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0</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0</v>
      </c>
      <c r="BW31" s="16">
        <f t="shared" ca="1" si="30"/>
        <v>0</v>
      </c>
      <c r="BX31" s="16">
        <f t="shared" ca="1" si="31"/>
        <v>0</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0</v>
      </c>
      <c r="CB31" s="16">
        <f t="shared" ca="1" si="33"/>
        <v>0</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0</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(4)</v>
      </c>
      <c r="CI31" s="16">
        <f t="shared" ca="1" si="36"/>
        <v>0</v>
      </c>
      <c r="CJ31" s="16">
        <f t="shared" ca="1" si="37"/>
        <v>0</v>
      </c>
      <c r="CK31" s="16">
        <f t="shared" ca="1" si="38"/>
        <v>0</v>
      </c>
      <c r="CL31" s="16">
        <f t="shared" ca="1" si="39"/>
        <v>0</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(4)</v>
      </c>
      <c r="CO31" s="16">
        <f t="shared" ca="1" si="40"/>
        <v>0</v>
      </c>
      <c r="CP31" s="16">
        <f t="shared" ca="1" si="41"/>
        <v>0</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(4)</v>
      </c>
      <c r="CT31" s="16">
        <f t="shared" ca="1" si="43"/>
        <v>0</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(4)</v>
      </c>
      <c r="CW31" s="16">
        <f t="shared" ca="1" si="44"/>
        <v>0</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(4)</v>
      </c>
      <c r="CZ31" s="16">
        <f t="shared" ca="1" si="45"/>
        <v>0</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(4)</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0</v>
      </c>
      <c r="DL31" s="16">
        <f t="shared" ca="1" si="49"/>
        <v>1</v>
      </c>
      <c r="DM31" s="16" t="str">
        <f t="shared" ca="1" si="50"/>
        <v>1.1</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7"/>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0</v>
      </c>
      <c r="BG32" s="16">
        <f t="shared" ca="1" si="18"/>
        <v>0</v>
      </c>
      <c r="BH32" s="16">
        <f t="shared" ca="1" si="19"/>
        <v>0</v>
      </c>
      <c r="BI32" s="16">
        <f t="shared" ca="1" si="20"/>
        <v>0</v>
      </c>
      <c r="BJ32" s="16">
        <f t="shared" ca="1" si="21"/>
        <v>0</v>
      </c>
      <c r="BK32" s="16">
        <f t="shared" ca="1" si="22"/>
        <v>0</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0</v>
      </c>
      <c r="BW32" s="16">
        <f t="shared" ca="1" si="30"/>
        <v>0</v>
      </c>
      <c r="BX32" s="16">
        <f t="shared" ca="1" si="31"/>
        <v>0</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0</v>
      </c>
      <c r="CB32" s="16">
        <f t="shared" ca="1" si="33"/>
        <v>0</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(4)</v>
      </c>
      <c r="CI32" s="16">
        <f t="shared" ca="1" si="36"/>
        <v>0</v>
      </c>
      <c r="CJ32" s="16">
        <f t="shared" ca="1" si="37"/>
        <v>0</v>
      </c>
      <c r="CK32" s="16">
        <f t="shared" ca="1" si="38"/>
        <v>0</v>
      </c>
      <c r="CL32" s="16">
        <f t="shared" ca="1" si="39"/>
        <v>0</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(4)</v>
      </c>
      <c r="CO32" s="16">
        <f t="shared" ca="1" si="40"/>
        <v>0</v>
      </c>
      <c r="CP32" s="16">
        <f t="shared" ca="1" si="41"/>
        <v>0</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(4)</v>
      </c>
      <c r="CT32" s="16">
        <f t="shared" ca="1" si="43"/>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(4)</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(4)</v>
      </c>
      <c r="CZ32" s="16">
        <f t="shared" ca="1" si="45"/>
        <v>0</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(4)</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1</v>
      </c>
      <c r="DK32" s="16">
        <f t="shared" ca="1" si="48"/>
        <v>0</v>
      </c>
      <c r="DL32" s="16">
        <f t="shared" ca="1" si="49"/>
        <v>1</v>
      </c>
      <c r="DM32" s="16" t="str">
        <f t="shared" ca="1" si="50"/>
        <v>1.1</v>
      </c>
      <c r="DN32" s="16">
        <f t="array" aca="1" ref="DN32" ca="1">OFFSET(Horarios!$P$3,DJ32-1,0,DL32,1)</f>
        <v>1</v>
      </c>
      <c r="DO32" s="16"/>
      <c r="DP32" s="16" t="s">
        <v>99</v>
      </c>
      <c r="DQ32" s="16" t="str">
        <f t="shared" ca="1" si="51"/>
        <v>Irán</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8"/>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0</v>
      </c>
      <c r="BG33" s="16">
        <f t="shared" ca="1" si="18"/>
        <v>0</v>
      </c>
      <c r="BH33" s="16">
        <f t="shared" ca="1" si="19"/>
        <v>0</v>
      </c>
      <c r="BI33" s="16">
        <f t="shared" ca="1" si="20"/>
        <v>0</v>
      </c>
      <c r="BJ33" s="16">
        <f t="shared" ca="1" si="21"/>
        <v>0</v>
      </c>
      <c r="BK33" s="16">
        <f t="shared" ca="1" si="22"/>
        <v>0</v>
      </c>
      <c r="BL33" s="16">
        <f t="shared" ca="1" si="23"/>
        <v>0</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0</v>
      </c>
      <c r="BW33" s="16">
        <f t="shared" ca="1" si="30"/>
        <v>0</v>
      </c>
      <c r="BX33" s="16">
        <f t="shared" ca="1" si="31"/>
        <v>0</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0</v>
      </c>
      <c r="CB33" s="16">
        <f t="shared" ca="1" si="33"/>
        <v>0</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0</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(4)</v>
      </c>
      <c r="CI33" s="16">
        <f t="shared" ca="1" si="36"/>
        <v>0</v>
      </c>
      <c r="CJ33" s="16">
        <f t="shared" ca="1" si="37"/>
        <v>0</v>
      </c>
      <c r="CK33" s="16">
        <f t="shared" ca="1" si="38"/>
        <v>0</v>
      </c>
      <c r="CL33" s="16">
        <f t="shared" ca="1" si="39"/>
        <v>0</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(4)</v>
      </c>
      <c r="CO33" s="16">
        <f t="shared" ca="1" si="40"/>
        <v>0</v>
      </c>
      <c r="CP33" s="16">
        <f t="shared" ca="1" si="41"/>
        <v>0</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(4)</v>
      </c>
      <c r="CT33" s="16">
        <f t="shared" ca="1" si="43"/>
        <v>0</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(4)</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(4)</v>
      </c>
      <c r="CZ33" s="16">
        <f t="shared" ca="1" si="45"/>
        <v>0</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(4)</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4</v>
      </c>
      <c r="DE33" s="16"/>
      <c r="DF33" s="16">
        <f t="shared" ca="1" si="46"/>
        <v>4</v>
      </c>
      <c r="DG33" s="16">
        <f ca="1">IF(DB33="-","-",COUNTIFS(DF$6:DF$53,"&lt;"&amp;DF33,$BC$6:$BC$53,INDEX(T_Equipos[Grupo],MATCH(BD33,T_Equipos[NombreEquipo],0))))</f>
        <v>3</v>
      </c>
      <c r="DH33" s="16">
        <f ca="1">DA33+COUNTIFS(DB$6:DB$53,DB33,DG$6:DG$53,"&lt;"&amp;DG33,$BC$6:$BC$53,INDEX(T_Equipos[Grupo],MATCH(BD33,T_Equipos[NombreEquipo],0)))</f>
        <v>4</v>
      </c>
      <c r="DI33" s="16"/>
      <c r="DJ33" s="16">
        <f t="shared" ca="1" si="47"/>
        <v>1</v>
      </c>
      <c r="DK33" s="16">
        <f t="shared" ca="1" si="48"/>
        <v>0</v>
      </c>
      <c r="DL33" s="16">
        <f t="shared" ca="1" si="49"/>
        <v>1</v>
      </c>
      <c r="DM33" s="16" t="str">
        <f t="shared" ca="1" si="50"/>
        <v>1.1</v>
      </c>
      <c r="DN33" s="16">
        <f t="array" aca="1" ref="DN33" ca="1">OFFSET(Horarios!$P$3,DJ33-1,0,DL33,1)</f>
        <v>1</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0</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0</v>
      </c>
      <c r="CP34" s="16">
        <f t="shared" ca="1" si="41"/>
        <v>0</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0</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0</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(2)</v>
      </c>
      <c r="CZ34" s="16">
        <f t="shared" ca="1" si="45"/>
        <v>0</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(2)</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(2)</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(2)</v>
      </c>
      <c r="CF35" s="16">
        <f t="shared" ca="1" si="35"/>
        <v>0</v>
      </c>
      <c r="CG35" s="16">
        <f ca="1">CD35+COUNTIFS($CE$6:$CE$53,CE35,$CF$6:CF$53,"&gt;"&amp;CF35,$BC$6:$BC$53,INDEX(T_Equipos[Grupo],MATCH(BD35,T_Equipos[NombreEquipo],0)))</f>
        <v>1</v>
      </c>
      <c r="CH35" s="16" t="str">
        <f ca="1">IF(COUNTIFS($CG$6:$CG$53,CG35,$BC$6:$BC$53,INDEX(T_Equipos[Grupo],MATCH(BD35,T_Equipos[NombreEquipo],0)))=1,"-","P."&amp;CG35&amp;" ("&amp;COUNTIFS($CG$6:$CG$53,CG35,$BC$6:$BC$53,INDEX(T_Equipos[Grupo],MATCH(BD35,T_Equipos[NombreEquipo],0)))&amp;")")</f>
        <v>P.1 (2)</v>
      </c>
      <c r="CI35" s="16">
        <f t="shared" ca="1" si="36"/>
        <v>0</v>
      </c>
      <c r="CJ35" s="16">
        <f t="shared" ca="1" si="37"/>
        <v>1</v>
      </c>
      <c r="CK35" s="16">
        <f t="shared" ca="1" si="38"/>
        <v>0</v>
      </c>
      <c r="CL35" s="16">
        <f t="shared" ca="1" si="39"/>
        <v>1</v>
      </c>
      <c r="CM35" s="16">
        <f ca="1">CG35+COUNTIFS($CH$6:$CH$53,CH35,$CL$6:CL$53,"&gt;"&amp;CL35,$BC$6:$BC$53,INDEX(T_Equipos[Grupo],MATCH(BD35,T_Equipos[NombreEquipo],0)))</f>
        <v>1</v>
      </c>
      <c r="CN35" s="16" t="str">
        <f ca="1">IF(COUNTIFS($CM$6:$CM$53,CM35,$BC$6:$BC$53,INDEX(T_Equipos[Grupo],MATCH(BD35,T_Equipos[NombreEquipo],0)))=1,"-","P."&amp;CM35&amp;" ("&amp;COUNTIFS($CM$6:$CM$53,CM35,$BC$6:$BC$53,INDEX(T_Equipos[Grupo],MATCH(BD35,T_Equipos[NombreEquipo],0)))&amp;")")</f>
        <v>P.1 (2)</v>
      </c>
      <c r="CO35" s="16">
        <f t="shared" ca="1" si="40"/>
        <v>0</v>
      </c>
      <c r="CP35" s="16">
        <f t="shared" ca="1" si="41"/>
        <v>0</v>
      </c>
      <c r="CQ35" s="16">
        <f t="shared" ca="1" si="42"/>
        <v>0</v>
      </c>
      <c r="CR35" s="16">
        <f ca="1">CM35+COUNTIFS($CN$6:$CN$53,CN35,$CQ$6:CQ$53,"&gt;"&amp;CQ35,$BC$6:$BC$53,INDEX(T_Equipos[Grupo],MATCH(BD35,T_Equipos[NombreEquipo],0)))</f>
        <v>1</v>
      </c>
      <c r="CS35" s="16" t="str">
        <f ca="1">IF(COUNTIFS($CR$6:$CR$53,CR35,$BC$6:$BC$53,INDEX(T_Equipos[Grupo],MATCH(BD35,T_Equipos[NombreEquipo],0)))=1,"-","P."&amp;CR35&amp;" ("&amp;COUNTIFS($CR$6:$CR$53,CR35,$BC$6:$BC$53,INDEX(T_Equipos[Grupo],MATCH(BD35,T_Equipos[NombreEquipo],0)))&amp;")")</f>
        <v>P.1 (2)</v>
      </c>
      <c r="CT35" s="16">
        <f t="shared" ca="1" si="43"/>
        <v>0</v>
      </c>
      <c r="CU35" s="16">
        <f ca="1">CR35+COUNTIFS($CS$6:$CS$53,CS35,$CT$6:CT$53,"&gt;"&amp;CT35,$BC$6:$BC$53,INDEX(T_Equipos[Grupo],MATCH(BD35,T_Equipos[NombreEquipo],0)))</f>
        <v>1</v>
      </c>
      <c r="CV35" s="16" t="str">
        <f ca="1">IF(COUNTIFS($CU$6:$CU$53,CU35,$BC$6:$BC$53,INDEX(T_Equipos[Grupo],MATCH(BD35,T_Equipos[NombreEquipo],0)))=1,"-","P."&amp;CU35&amp;" ("&amp;COUNTIFS($CU$6:$CU$53,CU35,$BC$6:$BC$53,INDEX(T_Equipos[Grupo],MATCH(BD35,T_Equipos[NombreEquipo],0)))&amp;")")</f>
        <v>P.1 (2)</v>
      </c>
      <c r="CW35" s="16">
        <f t="shared" ca="1" si="44"/>
        <v>0</v>
      </c>
      <c r="CX35" s="16">
        <f ca="1">CU35+COUNTIFS($CV$6:$CV$53,CV35,$CW$6:CW$53,"&gt;"&amp;CW35,$BC$6:$BC$53,INDEX(T_Equipos[Grupo],MATCH(BD35,T_Equipos[NombreEquipo],0)))</f>
        <v>1</v>
      </c>
      <c r="CY35" s="16" t="str">
        <f ca="1">IF(COUNTIFS($CX$6:$CX$53,CX35,$BC$6:$BC$53,INDEX(T_Equipos[Grupo],MATCH(BD35,T_Equipos[NombreEquipo],0)))=1,"-","P."&amp;CX35&amp;" ("&amp;COUNTIFS($CX$6:$CX$53,CX35,$BC$6:$BC$53,INDEX(T_Equipos[Grupo],MATCH(BD35,T_Equipos[NombreEquipo],0)))&amp;")")</f>
        <v>P.1 (2)</v>
      </c>
      <c r="CZ35" s="16">
        <f t="shared" ca="1" si="45"/>
        <v>0</v>
      </c>
      <c r="DA35" s="16">
        <f ca="1">CX35+COUNTIFS($CY$6:$CY$53,CY35,$CZ$6:CZ$53,"&gt;"&amp;CZ35,$BC$6:$BC$53,INDEX(T_Equipos[Grupo],MATCH(BD35,T_Equipos[NombreEquipo],0)))</f>
        <v>1</v>
      </c>
      <c r="DB35" s="16" t="str">
        <f ca="1">IF(COUNTIFS($DA$6:$DA$53,DA35,$BC$6:$BC$53,INDEX(T_Equipos[Grupo],MATCH(BD35,T_Equipos[NombreEquipo],0)))=1,"-","P."&amp;DA35&amp;" ("&amp;COUNTIFS($DA$6:$DA$53,DA35,$BC$6:$BC$53,INDEX(T_Equipos[Grupo],MATCH(BD35,T_Equipos[NombreEquipo],0)))&amp;")")</f>
        <v>P.1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2</v>
      </c>
      <c r="DE35" s="16"/>
      <c r="DF35" s="16">
        <f t="shared" ca="1" si="46"/>
        <v>2</v>
      </c>
      <c r="DG35" s="16">
        <f ca="1">IF(DB35="-","-",COUNTIFS(DF$6:DF$53,"&lt;"&amp;DF35,$BC$6:$BC$53,INDEX(T_Equipos[Grupo],MATCH(BD35,T_Equipos[NombreEquipo],0))))</f>
        <v>1</v>
      </c>
      <c r="DH35" s="16">
        <f ca="1">DA35+COUNTIFS(DB$6:DB$53,DB35,DG$6:DG$53,"&lt;"&amp;DG35,$BC$6:$BC$53,INDEX(T_Equipos[Grupo],MATCH(BD35,T_Equipos[NombreEquipo],0)))</f>
        <v>2</v>
      </c>
      <c r="DI35" s="16"/>
      <c r="DJ35" s="16">
        <f t="shared" ca="1" si="47"/>
        <v>1</v>
      </c>
      <c r="DK35" s="16">
        <f t="shared" ca="1" si="48"/>
        <v>2</v>
      </c>
      <c r="DL35" s="16">
        <f t="shared" ca="1" si="49"/>
        <v>1</v>
      </c>
      <c r="DM35" s="16" t="str">
        <f t="shared" ca="1" si="50"/>
        <v>1.1</v>
      </c>
      <c r="DN35" s="16">
        <f t="array" aca="1" ref="DN35" ca="1">OFFSET(Horarios!$P$3,DJ35-1,0,DL35,1)</f>
        <v>1</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P.3 (2)</v>
      </c>
      <c r="G36" s="16"/>
      <c r="H36" s="16" t="str">
        <f t="shared" ref="H36:H41" ca="1" si="103">IF(D36="Pendiente","-",INDEX($BZ$6:$BZ$53,MATCH($AA36,$BD$6:$BD$53,0)))</f>
        <v>P.1 (2)</v>
      </c>
      <c r="I36" s="16" t="str">
        <f t="shared" ref="I36:I41" ca="1" si="104">IF(D36="Pendiente","-",INDEX($BZ$6:$BZ$53,MATCH($AF36,$BD$6:$BD$53,0)))</f>
        <v>P.3 (2)</v>
      </c>
      <c r="J36" s="16"/>
      <c r="K36" s="16" t="str">
        <f t="shared" ref="K36:K41" ca="1" si="105">IF(D36="Pendiente","-",INDEX($CE$6:$CE$53,MATCH($AA36,$BD$6:$BD$53,0)))</f>
        <v>P.1 (2)</v>
      </c>
      <c r="L36" s="16" t="str">
        <f t="shared" ref="L36:L41" ca="1" si="106">IF(D36="Pendiente","-",INDEX($CE$6:$CE$53,MATCH($AF36,$BD$6:$BD$53,0)))</f>
        <v>P.3 (2)</v>
      </c>
      <c r="M36" s="16"/>
      <c r="N36" s="16" t="str">
        <f t="shared" ref="N36:N41" ca="1" si="107">IF(D36="Pendiente","-",INDEX($CH$6:$CH$53,MATCH($AA36,$BD$6:$BD$53,0)))</f>
        <v>P.1 (2)</v>
      </c>
      <c r="O36" s="16" t="str">
        <f t="shared" ref="O36:O41" ca="1" si="108">IF(D36="Pendiente","-",INDEX($CH$6:$CH$53,MATCH($AF36,$BD$6:$BD$53,0)))</f>
        <v>P.3 (2)</v>
      </c>
      <c r="P36" s="16"/>
      <c r="Q36" s="16" t="str">
        <f t="shared" ref="Q36:Q41" ca="1" si="109">IF(D36="Pendiente","-",INDEX($CN$6:$CN$53,MATCH($AA36,$BD$6:$BD$53,0)))</f>
        <v>P.1 (2)</v>
      </c>
      <c r="R36" s="16" t="str">
        <f t="shared" ref="R36:R41" ca="1" si="110">IF(D36="Pendiente","-",INDEX($CN$6:$CN$53,MATCH($AF36,$BD$6:$BD$53,0)))</f>
        <v>P.3 (2)</v>
      </c>
      <c r="S36" s="16"/>
      <c r="T36" s="16" t="str">
        <f t="shared" ref="T36:T41" ca="1" si="111">IF(D36="Pendiente","-",INDEX($CS$6:$CS$53,MATCH($AA36,$BD$6:$BD$53,0)))</f>
        <v>P.1 (2)</v>
      </c>
      <c r="U36" s="16" t="str">
        <f t="shared" ref="U36:U41" ca="1" si="112">IF(D36="Pendiente","-",INDEX($CS$6:$CS$53,MATCH($AF36,$BD$6:$BD$53,0)))</f>
        <v>P.3 (2)</v>
      </c>
      <c r="V36" s="17"/>
      <c r="W36" s="633"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0</v>
      </c>
      <c r="BG36" s="16">
        <f t="shared" ca="1" si="18"/>
        <v>0</v>
      </c>
      <c r="BH36" s="16">
        <f t="shared" ca="1" si="19"/>
        <v>0</v>
      </c>
      <c r="BI36" s="16">
        <f t="shared" ca="1" si="20"/>
        <v>0</v>
      </c>
      <c r="BJ36" s="16">
        <f t="shared" ca="1" si="21"/>
        <v>0</v>
      </c>
      <c r="BK36" s="16">
        <f t="shared" ca="1" si="22"/>
        <v>0</v>
      </c>
      <c r="BL36" s="16">
        <f t="shared" ca="1" si="23"/>
        <v>0</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0</v>
      </c>
      <c r="BW36" s="16">
        <f t="shared" ca="1" si="30"/>
        <v>0</v>
      </c>
      <c r="BX36" s="16">
        <f t="shared" ca="1" si="31"/>
        <v>0</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0</v>
      </c>
      <c r="CB36" s="16">
        <f t="shared" ca="1" si="33"/>
        <v>0</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0</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0</v>
      </c>
      <c r="CK36" s="16">
        <f t="shared" ca="1" si="38"/>
        <v>0</v>
      </c>
      <c r="CL36" s="16">
        <f t="shared" ca="1" si="39"/>
        <v>0</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0</v>
      </c>
      <c r="CP36" s="16">
        <f t="shared" ca="1" si="41"/>
        <v>0</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0</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0</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P.3 (2)</v>
      </c>
      <c r="CZ36" s="16">
        <f t="shared" ca="1" si="45"/>
        <v>0</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P.3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3</v>
      </c>
      <c r="DE36" s="16"/>
      <c r="DF36" s="16">
        <f t="shared" ca="1" si="46"/>
        <v>3</v>
      </c>
      <c r="DG36" s="16">
        <f ca="1">IF(DB36="-","-",COUNTIFS(DF$6:DF$53,"&lt;"&amp;DF36,$BC$6:$BC$53,INDEX(T_Equipos[Grupo],MATCH(BD36,T_Equipos[NombreEquipo],0))))</f>
        <v>2</v>
      </c>
      <c r="DH36" s="16">
        <f ca="1">DA36+COUNTIFS(DB$6:DB$53,DB36,DG$6:DG$53,"&lt;"&amp;DG36,$BC$6:$BC$53,INDEX(T_Equipos[Grupo],MATCH(BD36,T_Equipos[NombreEquipo],0)))</f>
        <v>3</v>
      </c>
      <c r="DI36" s="16"/>
      <c r="DJ36" s="16">
        <f t="shared" ca="1" si="47"/>
        <v>3</v>
      </c>
      <c r="DK36" s="16">
        <f t="shared" ca="1" si="48"/>
        <v>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Local</v>
      </c>
      <c r="E37" s="16" t="str">
        <f t="shared" ca="1" si="101"/>
        <v>P.1 (2)</v>
      </c>
      <c r="F37" s="16" t="str">
        <f t="shared" ca="1" si="102"/>
        <v>P.3 (2)</v>
      </c>
      <c r="G37" s="16"/>
      <c r="H37" s="16" t="str">
        <f t="shared" ca="1" si="103"/>
        <v>P.1 (2)</v>
      </c>
      <c r="I37" s="16" t="str">
        <f t="shared" ca="1" si="104"/>
        <v>P.3 (2)</v>
      </c>
      <c r="J37" s="16"/>
      <c r="K37" s="16" t="str">
        <f t="shared" ca="1" si="105"/>
        <v>P.1 (2)</v>
      </c>
      <c r="L37" s="16" t="str">
        <f t="shared" ca="1" si="106"/>
        <v>P.3 (2)</v>
      </c>
      <c r="M37" s="16"/>
      <c r="N37" s="16" t="str">
        <f t="shared" ca="1" si="107"/>
        <v>P.1 (2)</v>
      </c>
      <c r="O37" s="16" t="str">
        <f t="shared" ca="1" si="108"/>
        <v>P.3 (2)</v>
      </c>
      <c r="P37" s="16"/>
      <c r="Q37" s="16" t="str">
        <f t="shared" ca="1" si="109"/>
        <v>P.1 (2)</v>
      </c>
      <c r="R37" s="16" t="str">
        <f t="shared" ca="1" si="110"/>
        <v>P.3 (2)</v>
      </c>
      <c r="S37" s="16"/>
      <c r="T37" s="16" t="str">
        <f t="shared" ca="1" si="111"/>
        <v>P.1 (2)</v>
      </c>
      <c r="U37" s="16" t="str">
        <f t="shared" ca="1" si="112"/>
        <v>P.3 (2)</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0</v>
      </c>
      <c r="BF37" s="16">
        <f t="shared" ca="1" si="17"/>
        <v>0</v>
      </c>
      <c r="BG37" s="16">
        <f t="shared" ca="1" si="18"/>
        <v>0</v>
      </c>
      <c r="BH37" s="16">
        <f t="shared" ca="1" si="19"/>
        <v>0</v>
      </c>
      <c r="BI37" s="16">
        <f t="shared" ca="1" si="20"/>
        <v>0</v>
      </c>
      <c r="BJ37" s="16">
        <f t="shared" ca="1" si="21"/>
        <v>0</v>
      </c>
      <c r="BK37" s="16">
        <f t="shared" ca="1" si="22"/>
        <v>0</v>
      </c>
      <c r="BL37" s="16">
        <f t="shared" ca="1" si="23"/>
        <v>0</v>
      </c>
      <c r="BM37" s="16" t="str">
        <f t="shared" ca="1" si="24"/>
        <v>4H</v>
      </c>
      <c r="BN37" s="16" t="str">
        <f t="shared" ca="1" si="25"/>
        <v>4H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0</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0</v>
      </c>
      <c r="BW37" s="16">
        <f t="shared" ca="1" si="30"/>
        <v>0</v>
      </c>
      <c r="BX37" s="16">
        <f t="shared" ca="1" si="31"/>
        <v>0</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0</v>
      </c>
      <c r="CB37" s="16">
        <f t="shared" ca="1" si="33"/>
        <v>0</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0</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0</v>
      </c>
      <c r="CK37" s="16">
        <f t="shared" ca="1" si="38"/>
        <v>0</v>
      </c>
      <c r="CL37" s="16">
        <f t="shared" ca="1" si="39"/>
        <v>0</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0</v>
      </c>
      <c r="CP37" s="16">
        <f t="shared" ca="1" si="41"/>
        <v>0</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0</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0</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P.3 (2)</v>
      </c>
      <c r="CZ37" s="16">
        <f t="shared" ca="1" si="45"/>
        <v>0</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P.3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4</v>
      </c>
      <c r="DE37" s="16"/>
      <c r="DF37" s="16">
        <f t="shared" ca="1" si="46"/>
        <v>4</v>
      </c>
      <c r="DG37" s="16">
        <f ca="1">IF(DB37="-","-",COUNTIFS(DF$6:DF$53,"&lt;"&amp;DF37,$BC$6:$BC$53,INDEX(T_Equipos[Grupo],MATCH(BD37,T_Equipos[NombreEquipo],0))))</f>
        <v>3</v>
      </c>
      <c r="DH37" s="16">
        <f ca="1">DA37+COUNTIFS(DB$6:DB$53,DB37,DG$6:DG$53,"&lt;"&amp;DG37,$BC$6:$BC$53,INDEX(T_Equipos[Grupo],MATCH(BD37,T_Equipos[NombreEquipo],0)))</f>
        <v>4</v>
      </c>
      <c r="DI37" s="16"/>
      <c r="DJ37" s="16">
        <f t="shared" ca="1" si="47"/>
        <v>3</v>
      </c>
      <c r="DK37" s="16">
        <f t="shared" ca="1" si="48"/>
        <v>2</v>
      </c>
      <c r="DL37" s="16">
        <f t="shared" ca="1" si="49"/>
        <v>1</v>
      </c>
      <c r="DM37" s="16" t="str">
        <f t="shared" ca="1" si="50"/>
        <v>3.1</v>
      </c>
      <c r="DN37" s="16">
        <f t="array" aca="1" ref="DN37" ca="1">OFFSET(Horarios!$P$3,DJ37-1,0,DL37,1)</f>
        <v>3</v>
      </c>
      <c r="DO37" s="16"/>
      <c r="DP37" s="16" t="s">
        <v>105</v>
      </c>
      <c r="DQ37" s="16" t="str">
        <f t="shared" ca="1" si="51"/>
        <v>Uruguay</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7"/>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17"/>
        <v>0</v>
      </c>
      <c r="BG38" s="16">
        <f t="shared" ca="1" si="18"/>
        <v>0</v>
      </c>
      <c r="BH38" s="16">
        <f t="shared" ca="1" si="19"/>
        <v>0</v>
      </c>
      <c r="BI38" s="16">
        <f t="shared" ca="1" si="20"/>
        <v>0</v>
      </c>
      <c r="BJ38" s="16">
        <f t="shared" ca="1" si="21"/>
        <v>0</v>
      </c>
      <c r="BK38" s="16">
        <f t="shared" ca="1" si="22"/>
        <v>0</v>
      </c>
      <c r="BL38" s="16">
        <f t="shared" ca="1" si="23"/>
        <v>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44"/>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45"/>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46"/>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47"/>
        <v>1</v>
      </c>
      <c r="DK38" s="16">
        <f t="shared" ca="1" si="48"/>
        <v>0</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7"/>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1</v>
      </c>
      <c r="AO39" s="39">
        <f t="shared" ca="1" si="115"/>
        <v>1</v>
      </c>
      <c r="AP39" s="39">
        <f t="shared" ca="1" si="115"/>
        <v>0</v>
      </c>
      <c r="AQ39" s="39">
        <f t="shared" ca="1" si="115"/>
        <v>0</v>
      </c>
      <c r="AR39" s="39">
        <f t="shared" ca="1" si="115"/>
        <v>1</v>
      </c>
      <c r="AS39" s="39">
        <f t="shared" ca="1" si="115"/>
        <v>0</v>
      </c>
      <c r="AT39" s="43">
        <f t="shared" ca="1" si="115"/>
        <v>1</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0</v>
      </c>
      <c r="BG39" s="16">
        <f t="shared" ca="1" si="18"/>
        <v>0</v>
      </c>
      <c r="BH39" s="16">
        <f t="shared" ca="1" si="19"/>
        <v>0</v>
      </c>
      <c r="BI39" s="16">
        <f t="shared" ca="1" si="20"/>
        <v>0</v>
      </c>
      <c r="BJ39" s="16">
        <f t="shared" ca="1" si="21"/>
        <v>0</v>
      </c>
      <c r="BK39" s="16">
        <f t="shared" ca="1" si="22"/>
        <v>0</v>
      </c>
      <c r="BL39" s="16">
        <f t="shared" ca="1" si="23"/>
        <v>0</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8"/>
        <v>0</v>
      </c>
      <c r="BV39" s="16">
        <f t="shared" ca="1" si="29"/>
        <v>0</v>
      </c>
      <c r="BW39" s="16">
        <f t="shared" ca="1" si="30"/>
        <v>0</v>
      </c>
      <c r="BX39" s="16">
        <f t="shared" ca="1" si="31"/>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32"/>
        <v>0</v>
      </c>
      <c r="CB39" s="16">
        <f t="shared" ca="1" si="33"/>
        <v>0</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35"/>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6"/>
        <v>0</v>
      </c>
      <c r="CJ39" s="16">
        <f t="shared" ca="1" si="37"/>
        <v>0</v>
      </c>
      <c r="CK39" s="16">
        <f t="shared" ca="1" si="38"/>
        <v>0</v>
      </c>
      <c r="CL39" s="16">
        <f t="shared" ca="1" si="39"/>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40"/>
        <v>0</v>
      </c>
      <c r="CP39" s="16">
        <f t="shared" ca="1" si="41"/>
        <v>0</v>
      </c>
      <c r="CQ39" s="16">
        <f t="shared" ca="1" si="42"/>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43"/>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44"/>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45"/>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46"/>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47"/>
        <v>1</v>
      </c>
      <c r="DK39" s="16">
        <f t="shared" ca="1" si="48"/>
        <v>0</v>
      </c>
      <c r="DL39" s="16">
        <f t="shared" ca="1" si="49"/>
        <v>1</v>
      </c>
      <c r="DM39" s="16" t="str">
        <f t="shared" ca="1" si="50"/>
        <v>1.1</v>
      </c>
      <c r="DN39" s="16">
        <f t="array" aca="1" ref="DN39" ca="1">OFFSET(Horarios!$P$3,DJ39-1,0,DL39,1)</f>
        <v>1</v>
      </c>
      <c r="DO39" s="16"/>
      <c r="DP39" s="16" t="s">
        <v>107</v>
      </c>
      <c r="DQ39" s="16" t="str">
        <f t="shared" ca="1" si="51"/>
        <v>Senegal</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7"/>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3I</v>
      </c>
      <c r="BN40" s="16" t="str">
        <f t="shared" ca="1" si="25"/>
        <v>3I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8"/>
        <v>0</v>
      </c>
      <c r="BV40" s="16">
        <f t="shared" ca="1" si="29"/>
        <v>0</v>
      </c>
      <c r="BW40" s="16">
        <f t="shared" ca="1" si="30"/>
        <v>0</v>
      </c>
      <c r="BX40" s="16">
        <f t="shared" ca="1" si="31"/>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32"/>
        <v>0</v>
      </c>
      <c r="CB40" s="16">
        <f t="shared" ca="1" si="33"/>
        <v>0</v>
      </c>
      <c r="CC40" s="16">
        <f t="shared" ca="1" si="34"/>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35"/>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6"/>
        <v>0</v>
      </c>
      <c r="CJ40" s="16">
        <f t="shared" ca="1" si="37"/>
        <v>0</v>
      </c>
      <c r="CK40" s="16">
        <f t="shared" ca="1" si="38"/>
        <v>0</v>
      </c>
      <c r="CL40" s="16">
        <f t="shared" ca="1" si="39"/>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40"/>
        <v>0</v>
      </c>
      <c r="CP40" s="16">
        <f t="shared" ca="1" si="41"/>
        <v>0</v>
      </c>
      <c r="CQ40" s="16">
        <f t="shared" ca="1" si="42"/>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43"/>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44"/>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45"/>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46"/>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47"/>
        <v>1</v>
      </c>
      <c r="DK40" s="16">
        <f t="shared" ca="1" si="48"/>
        <v>0</v>
      </c>
      <c r="DL40" s="16">
        <f t="shared" ca="1" si="49"/>
        <v>1</v>
      </c>
      <c r="DM40" s="16" t="str">
        <f t="shared" ca="1" si="50"/>
        <v>1.1</v>
      </c>
      <c r="DN40" s="16">
        <f t="array" aca="1" ref="DN40" ca="1">OFFSET(Horarios!$P$3,DJ40-1,0,DL40,1)</f>
        <v>1</v>
      </c>
      <c r="DO40" s="16"/>
      <c r="DP40" s="16" t="s">
        <v>108</v>
      </c>
      <c r="DQ40" s="16" t="str">
        <f t="shared" ca="1" si="51"/>
        <v>Irak</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8"/>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4I</v>
      </c>
      <c r="BN41" s="16" t="str">
        <f t="shared" ca="1" si="25"/>
        <v>4I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44"/>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45"/>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46"/>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47"/>
        <v>1</v>
      </c>
      <c r="DK41" s="16">
        <f t="shared" ca="1" si="48"/>
        <v>0</v>
      </c>
      <c r="DL41" s="16">
        <f t="shared" ca="1" si="49"/>
        <v>1</v>
      </c>
      <c r="DM41" s="16" t="str">
        <f t="shared" ca="1" si="50"/>
        <v>1.1</v>
      </c>
      <c r="DN41" s="16">
        <f t="array" aca="1" ref="DN41" ca="1">OFFSET(Horarios!$P$3,DJ41-1,0,DL41,1)</f>
        <v>1</v>
      </c>
      <c r="DO41" s="16"/>
      <c r="DP41" s="16" t="s">
        <v>109</v>
      </c>
      <c r="DQ41" s="16" t="str">
        <f t="shared" ca="1" si="51"/>
        <v>Noruega</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P.2 (2)</v>
      </c>
      <c r="F44" s="16" t="str">
        <f t="shared" ref="F44:F49" ca="1" si="118">IF(D44="Pendiente","-",INDEX($BT$6:$BT$53,MATCH($AF44,$BD$6:$BD$53,0)))</f>
        <v>P.2 (2)</v>
      </c>
      <c r="G44" s="16"/>
      <c r="H44" s="16" t="str">
        <f t="shared" ref="H44:H49" ca="1" si="119">IF(D44="Pendiente","-",INDEX($BZ$6:$BZ$53,MATCH($AA44,$BD$6:$BD$53,0)))</f>
        <v>P.2 (2)</v>
      </c>
      <c r="I44" s="16" t="str">
        <f t="shared" ref="I44:I49" ca="1" si="120">IF(D44="Pendiente","-",INDEX($BZ$6:$BZ$53,MATCH($AF44,$BD$6:$BD$53,0)))</f>
        <v>P.2 (2)</v>
      </c>
      <c r="J44" s="16"/>
      <c r="K44" s="16" t="str">
        <f t="shared" ref="K44:K49" ca="1" si="121">IF(D44="Pendiente","-",INDEX($CE$6:$CE$53,MATCH($AA44,$BD$6:$BD$53,0)))</f>
        <v>P.2 (2)</v>
      </c>
      <c r="L44" s="16" t="str">
        <f t="shared" ref="L44:L49" ca="1" si="122">IF(D44="Pendiente","-",INDEX($CE$6:$CE$53,MATCH($AF44,$BD$6:$BD$53,0)))</f>
        <v>P.2 (2)</v>
      </c>
      <c r="M44" s="16"/>
      <c r="N44" s="16" t="str">
        <f t="shared" ref="N44:N49" ca="1" si="123">IF(D44="Pendiente","-",INDEX($CH$6:$CH$53,MATCH($AA44,$BD$6:$BD$53,0)))</f>
        <v>P.2 (2)</v>
      </c>
      <c r="O44" s="16" t="str">
        <f t="shared" ref="O44:O49" ca="1" si="124">IF(D44="Pendiente","-",INDEX($CH$6:$CH$53,MATCH($AF44,$BD$6:$BD$53,0)))</f>
        <v>P.2 (2)</v>
      </c>
      <c r="P44" s="16"/>
      <c r="Q44" s="16" t="str">
        <f t="shared" ref="Q44:Q49" ca="1" si="125">IF(D44="Pendiente","-",INDEX($CN$6:$CN$53,MATCH($AA44,$BD$6:$BD$53,0)))</f>
        <v>P.2 (2)</v>
      </c>
      <c r="R44" s="16" t="str">
        <f t="shared" ref="R44:R49" ca="1" si="126">IF(D44="Pendiente","-",INDEX($CN$6:$CN$53,MATCH($AF44,$BD$6:$BD$53,0)))</f>
        <v>P.2 (2)</v>
      </c>
      <c r="S44" s="16"/>
      <c r="T44" s="16" t="str">
        <f t="shared" ref="T44:T49" ca="1" si="127">IF(D44="Pendiente","-",INDEX($CS$6:$CS$53,MATCH($AA44,$BD$6:$BD$53,0)))</f>
        <v>P.2 (2)</v>
      </c>
      <c r="U44" s="16" t="str">
        <f t="shared" ref="U44:U49" ca="1" si="128">IF(D44="Pendiente","-",INDEX($CS$6:$CS$53,MATCH($AF44,$BD$6:$BD$53,0)))</f>
        <v>P.2 (2)</v>
      </c>
      <c r="V44" s="17"/>
      <c r="W44" s="636"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Suecia</v>
      </c>
      <c r="AM46" s="35">
        <f t="shared" ref="AM46:AT49" ca="1" si="131">INDEX($BE$6:$BN$53,MATCH($AL46,$BD$6:$BD$53,0),MATCH(AM$5,$BE$5:$BN$5,0))</f>
        <v>3</v>
      </c>
      <c r="AN46" s="36">
        <f t="shared" ca="1" si="131"/>
        <v>1</v>
      </c>
      <c r="AO46" s="36">
        <f t="shared" ca="1" si="131"/>
        <v>1</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Suecia</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7"/>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Países Bajos</v>
      </c>
      <c r="AM47" s="38">
        <f t="shared" ca="1" si="131"/>
        <v>1</v>
      </c>
      <c r="AN47" s="39">
        <f t="shared" ca="1" si="131"/>
        <v>1</v>
      </c>
      <c r="AO47" s="39">
        <f t="shared" ca="1" si="131"/>
        <v>0</v>
      </c>
      <c r="AP47" s="39">
        <f t="shared" ca="1" si="131"/>
        <v>1</v>
      </c>
      <c r="AQ47" s="39">
        <f t="shared" ca="1" si="131"/>
        <v>0</v>
      </c>
      <c r="AR47" s="39">
        <f t="shared" ca="1" si="131"/>
        <v>2</v>
      </c>
      <c r="AS47" s="39">
        <f t="shared" ca="1" si="131"/>
        <v>2</v>
      </c>
      <c r="AT47" s="43">
        <f t="shared" ca="1" si="131"/>
        <v>0</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7"/>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8"/>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Pendiente</v>
      </c>
      <c r="E52" s="16" t="str">
        <f t="shared" ref="E52:E57" si="133">IF(D52="Pendiente","-",INDEX($BT$6:$BT$53,MATCH($AA52,$BD$6:$BD$53,0)))</f>
        <v>-</v>
      </c>
      <c r="F52" s="16" t="str">
        <f t="shared" ref="F52:F57" si="134">IF(D52="Pendiente","-",INDEX($BT$6:$BT$53,MATCH($AF52,$BD$6:$BD$53,0)))</f>
        <v>-</v>
      </c>
      <c r="G52" s="16"/>
      <c r="H52" s="16" t="str">
        <f t="shared" ref="H52:H57" si="135">IF(D52="Pendiente","-",INDEX($BZ$6:$BZ$53,MATCH($AA52,$BD$6:$BD$53,0)))</f>
        <v>-</v>
      </c>
      <c r="I52" s="16" t="str">
        <f t="shared" ref="I52:I57" si="136">IF(D52="Pendiente","-",INDEX($BZ$6:$BZ$53,MATCH($AF52,$BD$6:$BD$53,0)))</f>
        <v>-</v>
      </c>
      <c r="J52" s="16"/>
      <c r="K52" s="16" t="str">
        <f t="shared" ref="K52:K57" si="137">IF(D52="Pendiente","-",INDEX($CE$6:$CE$53,MATCH($AA52,$BD$6:$BD$53,0)))</f>
        <v>-</v>
      </c>
      <c r="L52" s="16" t="str">
        <f t="shared" ref="L52:L57" si="138">IF(D52="Pendiente","-",INDEX($CE$6:$CE$53,MATCH($AF52,$BD$6:$BD$53,0)))</f>
        <v>-</v>
      </c>
      <c r="M52" s="16"/>
      <c r="N52" s="16" t="str">
        <f t="shared" ref="N52:N57" si="139">IF(D52="Pendiente","-",INDEX($CH$6:$CH$53,MATCH($AA52,$BD$6:$BD$53,0)))</f>
        <v>-</v>
      </c>
      <c r="O52" s="16" t="str">
        <f t="shared" ref="O52:O57" si="140">IF(D52="Pendiente","-",INDEX($CH$6:$CH$53,MATCH($AF52,$BD$6:$BD$53,0)))</f>
        <v>-</v>
      </c>
      <c r="P52" s="16"/>
      <c r="Q52" s="16" t="str">
        <f t="shared" ref="Q52:Q57" si="141">IF(D52="Pendiente","-",INDEX($CN$6:$CN$53,MATCH($AA52,$BD$6:$BD$53,0)))</f>
        <v>-</v>
      </c>
      <c r="R52" s="16" t="str">
        <f t="shared" ref="R52:R57" si="142">IF(D52="Pendiente","-",INDEX($CN$6:$CN$53,MATCH($AF52,$BD$6:$BD$53,0)))</f>
        <v>-</v>
      </c>
      <c r="S52" s="16"/>
      <c r="T52" s="16" t="str">
        <f t="shared" ref="T52:T57" si="143">IF(D52="Pendiente","-",INDEX($CS$6:$CS$53,MATCH($AA52,$BD$6:$BD$53,0)))</f>
        <v>-</v>
      </c>
      <c r="U52" s="16" t="str">
        <f t="shared" ref="U52:U57" si="144">IF(D52="Pendiente","-",INDEX($CS$6:$CS$53,MATCH($AF52,$BD$6:$BD$53,0)))</f>
        <v>-</v>
      </c>
      <c r="V52" s="17"/>
      <c r="W52" s="631" t="s">
        <v>121</v>
      </c>
      <c r="X52" s="24">
        <f ca="1">Horarios!C52</f>
        <v>46188.625</v>
      </c>
      <c r="Y52" s="25">
        <f ca="1">Horarios!C52</f>
        <v>46188.625</v>
      </c>
      <c r="Z52" s="26" t="str">
        <f>$Z$4</f>
        <v>J1</v>
      </c>
      <c r="AA52" s="27" t="str">
        <f ca="1">A53</f>
        <v>Bélgica</v>
      </c>
      <c r="AB52" s="49" t="str">
        <f t="array" aca="1" ref="AB52" ca="1">Ver_flag_local</f>
        <v/>
      </c>
      <c r="AC52" s="50"/>
      <c r="AD52" s="51"/>
      <c r="AE52" s="582" t="str">
        <f t="array" aca="1" ref="AE52" ca="1">Ver_flag_visit</f>
        <v/>
      </c>
      <c r="AF52" s="32" t="str">
        <f ca="1">A54</f>
        <v>Egipto</v>
      </c>
      <c r="AG52" s="316">
        <f t="shared" ref="AG52:AG57" si="145">IF(NOT(OR(ISBLANK(AC52),ISBLANK(AD52))),1,0)</f>
        <v>0</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Pendiente</v>
      </c>
      <c r="E53" s="16" t="str">
        <f t="shared" si="133"/>
        <v>-</v>
      </c>
      <c r="F53" s="16" t="str">
        <f t="shared" si="134"/>
        <v>-</v>
      </c>
      <c r="G53" s="16"/>
      <c r="H53" s="16" t="str">
        <f t="shared" si="135"/>
        <v>-</v>
      </c>
      <c r="I53" s="16" t="str">
        <f t="shared" si="136"/>
        <v>-</v>
      </c>
      <c r="J53" s="16"/>
      <c r="K53" s="16" t="str">
        <f t="shared" si="137"/>
        <v>-</v>
      </c>
      <c r="L53" s="16" t="str">
        <f t="shared" si="138"/>
        <v>-</v>
      </c>
      <c r="M53" s="16"/>
      <c r="N53" s="16" t="str">
        <f t="shared" si="139"/>
        <v>-</v>
      </c>
      <c r="O53" s="16" t="str">
        <f t="shared" si="140"/>
        <v>-</v>
      </c>
      <c r="P53" s="16"/>
      <c r="Q53" s="16" t="str">
        <f t="shared" si="141"/>
        <v>-</v>
      </c>
      <c r="R53" s="16" t="str">
        <f t="shared" si="142"/>
        <v>-</v>
      </c>
      <c r="S53" s="16"/>
      <c r="T53" s="16" t="str">
        <f t="shared" si="143"/>
        <v>-</v>
      </c>
      <c r="U53" s="16" t="str">
        <f t="shared" si="144"/>
        <v>-</v>
      </c>
      <c r="V53" s="17"/>
      <c r="W53" s="627"/>
      <c r="X53" s="24">
        <f ca="1">Horarios!C53</f>
        <v>46188.875</v>
      </c>
      <c r="Y53" s="25">
        <f ca="1">Horarios!C53</f>
        <v>46188.875</v>
      </c>
      <c r="Z53" s="26" t="str">
        <f>$Z$4</f>
        <v>J1</v>
      </c>
      <c r="AA53" s="27" t="str">
        <f ca="1">A55</f>
        <v>Irán</v>
      </c>
      <c r="AB53" s="49" t="str">
        <f t="array" aca="1" ref="AB53" ca="1">Ver_flag_local</f>
        <v/>
      </c>
      <c r="AC53" s="50"/>
      <c r="AD53" s="51"/>
      <c r="AE53" s="582" t="str">
        <f t="array" aca="1" ref="AE53" ca="1">Ver_flag_visit</f>
        <v/>
      </c>
      <c r="AF53" s="32" t="str">
        <f ca="1">A56</f>
        <v>Nueva Zelanda</v>
      </c>
      <c r="AG53" s="316">
        <f t="shared" si="145"/>
        <v>0</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7"/>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0</v>
      </c>
      <c r="AN54" s="36">
        <f t="shared" ca="1" si="147"/>
        <v>0</v>
      </c>
      <c r="AO54" s="36">
        <f t="shared" ca="1" si="147"/>
        <v>0</v>
      </c>
      <c r="AP54" s="36">
        <f t="shared" ca="1" si="147"/>
        <v>0</v>
      </c>
      <c r="AQ54" s="36">
        <f t="shared" ca="1" si="147"/>
        <v>0</v>
      </c>
      <c r="AR54" s="36">
        <f t="shared" ca="1" si="147"/>
        <v>0</v>
      </c>
      <c r="AS54" s="36">
        <f t="shared" ca="1" si="147"/>
        <v>0</v>
      </c>
      <c r="AT54" s="41">
        <f t="shared" ca="1" si="147"/>
        <v>0</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7"/>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Egipto</v>
      </c>
      <c r="AM55" s="38">
        <f t="shared" ca="1" si="147"/>
        <v>0</v>
      </c>
      <c r="AN55" s="39">
        <f t="shared" ca="1" si="147"/>
        <v>0</v>
      </c>
      <c r="AO55" s="39">
        <f t="shared" ca="1" si="147"/>
        <v>0</v>
      </c>
      <c r="AP55" s="39">
        <f t="shared" ca="1" si="147"/>
        <v>0</v>
      </c>
      <c r="AQ55" s="39">
        <f t="shared" ca="1" si="147"/>
        <v>0</v>
      </c>
      <c r="AR55" s="39">
        <f t="shared" ca="1" si="147"/>
        <v>0</v>
      </c>
      <c r="AS55" s="39">
        <f t="shared" ca="1" si="147"/>
        <v>0</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7"/>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Irán</v>
      </c>
      <c r="AM56" s="38">
        <f t="shared" ca="1" si="147"/>
        <v>0</v>
      </c>
      <c r="AN56" s="39">
        <f t="shared" ca="1" si="147"/>
        <v>0</v>
      </c>
      <c r="AO56" s="39">
        <f t="shared" ca="1" si="147"/>
        <v>0</v>
      </c>
      <c r="AP56" s="39">
        <f t="shared" ca="1" si="147"/>
        <v>0</v>
      </c>
      <c r="AQ56" s="39">
        <f t="shared" ca="1" si="147"/>
        <v>0</v>
      </c>
      <c r="AR56" s="39">
        <f t="shared" ca="1" si="147"/>
        <v>0</v>
      </c>
      <c r="AS56" s="39">
        <f t="shared" ca="1" si="147"/>
        <v>0</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8"/>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0</v>
      </c>
      <c r="AO57" s="47">
        <f t="shared" ca="1" si="147"/>
        <v>0</v>
      </c>
      <c r="AP57" s="47">
        <f t="shared" ca="1" si="147"/>
        <v>0</v>
      </c>
      <c r="AQ57" s="47">
        <f t="shared" ca="1" si="147"/>
        <v>0</v>
      </c>
      <c r="AR57" s="47">
        <f t="shared" ca="1" si="147"/>
        <v>0</v>
      </c>
      <c r="AS57" s="47">
        <f t="shared" ca="1" si="147"/>
        <v>0</v>
      </c>
      <c r="AT57" s="48">
        <f t="shared" ca="1" si="147"/>
        <v>0</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0</v>
      </c>
      <c r="BS58" s="16">
        <f t="shared" ref="BS58:BS69" ca="1" si="156">COUNTIFS(BR$58:BR$69,"&gt;"&amp;BR58)+1</f>
        <v>4</v>
      </c>
      <c r="BT58" s="16" t="str">
        <f t="shared" ref="BT58:BT69" ca="1" si="157">IF(COUNTIF(BS$58:BS$69,BS58)=1,"-","Pos. "&amp;BS58&amp;" ("&amp;COUNTIF(BS$58:BS$69,BS58)&amp;")")</f>
        <v>Pos. 4 (9)</v>
      </c>
      <c r="BU58" s="16">
        <f t="shared" ref="BU58:BU69" ca="1" si="158">IF(BT58="-","-",BL58)</f>
        <v>-1</v>
      </c>
      <c r="BV58" s="16">
        <f t="shared" ref="BV58:BV69" ca="1" si="159">BS58+COUNTIFS(BT$58:BT$69,BT58,BU$58:BU$69,"&gt;"&amp;BU58)</f>
        <v>10</v>
      </c>
      <c r="BW58" s="16" t="str">
        <f t="shared" ref="BW58:BW69" ca="1" si="160">IF(COUNTIF(BV$58:BV$69,BV58)=1,"-","Pos. "&amp;BV58&amp;" ("&amp;COUNTIF(BV$58:BV$69,BV58)&amp;")")</f>
        <v>Pos. 10 (2)</v>
      </c>
      <c r="BX58" s="16">
        <f t="shared" ref="BX58:BX69" ca="1" si="161">IF(BW58="-","-",BJ58)</f>
        <v>1</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Japón</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1</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1</v>
      </c>
      <c r="BL59" s="16">
        <f t="shared" ca="1" si="151"/>
        <v>0</v>
      </c>
      <c r="BM59" s="16">
        <f t="shared" ca="1" si="152"/>
        <v>2</v>
      </c>
      <c r="BN59" s="16">
        <f t="shared" ca="1" si="153"/>
        <v>2</v>
      </c>
      <c r="BO59" s="16" t="str">
        <f t="shared" si="154"/>
        <v>4B</v>
      </c>
      <c r="BP59" s="16"/>
      <c r="BQ59" s="16"/>
      <c r="BR59" s="16">
        <f t="shared" ca="1" si="155"/>
        <v>1</v>
      </c>
      <c r="BS59" s="16">
        <f t="shared" ca="1" si="156"/>
        <v>1</v>
      </c>
      <c r="BT59" s="16" t="str">
        <f t="shared" ca="1" si="157"/>
        <v>Pos. 1 (3)</v>
      </c>
      <c r="BU59" s="16">
        <f t="shared" ca="1" si="158"/>
        <v>0</v>
      </c>
      <c r="BV59" s="16">
        <f t="shared" ca="1" si="159"/>
        <v>1</v>
      </c>
      <c r="BW59" s="16" t="str">
        <f t="shared" ca="1" si="160"/>
        <v>Pos. 1 (3)</v>
      </c>
      <c r="BX59" s="16">
        <f t="shared" ca="1" si="161"/>
        <v>1</v>
      </c>
      <c r="BY59" s="16">
        <f t="shared" ca="1" si="162"/>
        <v>2</v>
      </c>
      <c r="BZ59" s="16" t="str">
        <f t="shared" ca="1" si="163"/>
        <v>Pos. 2 (2)</v>
      </c>
      <c r="CA59" s="16">
        <f t="shared" ca="1" si="164"/>
        <v>9</v>
      </c>
      <c r="CB59" s="16">
        <f t="shared" ca="1" si="165"/>
        <v>2</v>
      </c>
      <c r="CC59" s="16"/>
      <c r="CD59" s="16">
        <f t="shared" ca="1" si="166"/>
        <v>2</v>
      </c>
      <c r="CE59" s="16">
        <f t="shared" ca="1" si="167"/>
        <v>1</v>
      </c>
      <c r="CF59" s="16">
        <f t="shared" ca="1" si="168"/>
        <v>2</v>
      </c>
      <c r="DJ59" s="16">
        <f t="shared" ca="1" si="169"/>
        <v>2</v>
      </c>
      <c r="DK59" s="16"/>
      <c r="DL59" s="16">
        <f t="shared" ca="1" si="170"/>
        <v>1</v>
      </c>
      <c r="DM59" s="16" t="str">
        <f t="shared" ca="1" si="171"/>
        <v>2.1</v>
      </c>
      <c r="DN59" s="16">
        <f t="array" aca="1" ref="DN59" ca="1">OFFSET(Horarios!$P$3,DJ59-1,0,DL59,1)</f>
        <v>2</v>
      </c>
      <c r="DO59" s="16"/>
      <c r="DP59" s="16">
        <v>2</v>
      </c>
      <c r="DQ59" s="16" t="str">
        <f t="shared" ca="1" si="172"/>
        <v>Catar</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(2)</v>
      </c>
      <c r="F60" s="16" t="str">
        <f t="shared" ref="F60:F65" ca="1" si="181">IF(D60="Pendiente","-",INDEX($BT$6:$BT$53,MATCH($AF60,$BD$6:$BD$53,0)))</f>
        <v>P.1 (2)</v>
      </c>
      <c r="G60" s="16"/>
      <c r="H60" s="16" t="str">
        <f t="shared" ref="H60:H65" ca="1" si="182">IF(D60="Pendiente","-",INDEX($BZ$6:$BZ$53,MATCH($AA60,$BD$6:$BD$53,0)))</f>
        <v>P.1 (2)</v>
      </c>
      <c r="I60" s="16" t="str">
        <f t="shared" ref="I60:I65" ca="1" si="183">IF(D60="Pendiente","-",INDEX($BZ$6:$BZ$53,MATCH($AF60,$BD$6:$BD$53,0)))</f>
        <v>P.1 (2)</v>
      </c>
      <c r="J60" s="16"/>
      <c r="K60" s="16" t="str">
        <f t="shared" ref="K60:K65" ca="1" si="184">IF(D60="Pendiente","-",INDEX($CE$6:$CE$53,MATCH($AA60,$BD$6:$BD$53,0)))</f>
        <v>P.1 (2)</v>
      </c>
      <c r="L60" s="16" t="str">
        <f t="shared" ref="L60:L65" ca="1" si="185">IF(D60="Pendiente","-",INDEX($CE$6:$CE$53,MATCH($AF60,$BD$6:$BD$53,0)))</f>
        <v>P.1 (2)</v>
      </c>
      <c r="M60" s="16"/>
      <c r="N60" s="16" t="str">
        <f t="shared" ref="N60:N65" ca="1" si="186">IF(D60="Pendiente","-",INDEX($CH$6:$CH$53,MATCH($AA60,$BD$6:$BD$53,0)))</f>
        <v>P.1 (2)</v>
      </c>
      <c r="O60" s="16" t="str">
        <f t="shared" ref="O60:O65" ca="1" si="187">IF(D60="Pendiente","-",INDEX($CH$6:$CH$53,MATCH($AF60,$BD$6:$BD$53,0)))</f>
        <v>P.1 (2)</v>
      </c>
      <c r="P60" s="16"/>
      <c r="Q60" s="16" t="str">
        <f t="shared" ref="Q60:Q65" ca="1" si="188">IF(D60="Pendiente","-",INDEX($CN$6:$CN$53,MATCH($AA60,$BD$6:$BD$53,0)))</f>
        <v>P.1 (2)</v>
      </c>
      <c r="R60" s="16" t="str">
        <f t="shared" ref="R60:R65" ca="1" si="189">IF(D60="Pendiente","-",INDEX($CN$6:$CN$53,MATCH($AF60,$BD$6:$BD$53,0)))</f>
        <v>P.1 (2)</v>
      </c>
      <c r="S60" s="16"/>
      <c r="T60" s="16" t="str">
        <f t="shared" ref="T60:T65" ca="1" si="190">IF(D60="Pendiente","-",INDEX($CS$6:$CS$53,MATCH($AA60,$BD$6:$BD$53,0)))</f>
        <v>P.1 (2)</v>
      </c>
      <c r="U60" s="16" t="str">
        <f t="shared" ref="U60:U65" ca="1" si="191">IF(D60="Pendiente","-",INDEX($CS$6:$CS$53,MATCH($AF60,$BD$6:$BD$53,0)))</f>
        <v>P.1 (2)</v>
      </c>
      <c r="V60" s="17"/>
      <c r="W60" s="634"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3</v>
      </c>
      <c r="BN60" s="16">
        <f t="shared" ca="1" si="153"/>
        <v>3</v>
      </c>
      <c r="BO60" s="16" t="str">
        <f t="shared" si="154"/>
        <v>4C</v>
      </c>
      <c r="BP60" s="16"/>
      <c r="BQ60" s="16"/>
      <c r="BR60" s="16">
        <f t="shared" ca="1" si="155"/>
        <v>1</v>
      </c>
      <c r="BS60" s="16">
        <f t="shared" ca="1" si="156"/>
        <v>1</v>
      </c>
      <c r="BT60" s="16" t="str">
        <f t="shared" ca="1" si="157"/>
        <v>Pos. 1 (3)</v>
      </c>
      <c r="BU60" s="16">
        <f t="shared" ca="1" si="158"/>
        <v>0</v>
      </c>
      <c r="BV60" s="16">
        <f t="shared" ca="1" si="159"/>
        <v>1</v>
      </c>
      <c r="BW60" s="16" t="str">
        <f t="shared" ca="1" si="160"/>
        <v>Pos. 1 (3)</v>
      </c>
      <c r="BX60" s="16">
        <f t="shared" ca="1" si="161"/>
        <v>1</v>
      </c>
      <c r="BY60" s="16">
        <f t="shared" ca="1" si="162"/>
        <v>2</v>
      </c>
      <c r="BZ60" s="16" t="str">
        <f t="shared" ca="1" si="163"/>
        <v>Pos. 2 (2)</v>
      </c>
      <c r="CA60" s="16">
        <f t="shared" ca="1" si="164"/>
        <v>3</v>
      </c>
      <c r="CB60" s="16">
        <f t="shared" ca="1" si="165"/>
        <v>3</v>
      </c>
      <c r="CC60" s="16"/>
      <c r="CD60" s="16">
        <f t="shared" ca="1" si="166"/>
        <v>3</v>
      </c>
      <c r="CE60" s="16">
        <f t="shared" ca="1" si="167"/>
        <v>2</v>
      </c>
      <c r="CF60" s="16">
        <f t="shared" ca="1" si="168"/>
        <v>3</v>
      </c>
      <c r="DJ60" s="16">
        <f t="shared" ca="1" si="169"/>
        <v>2</v>
      </c>
      <c r="DK60" s="16"/>
      <c r="DL60" s="16">
        <f t="shared" ca="1" si="170"/>
        <v>1</v>
      </c>
      <c r="DM60" s="16" t="str">
        <f t="shared" ca="1" si="171"/>
        <v>2.1</v>
      </c>
      <c r="DN60" s="16">
        <f t="array" aca="1" ref="DN60" ca="1">OFFSET(Horarios!$P$3,DJ60-1,0,DL60,1)</f>
        <v>2</v>
      </c>
      <c r="DO60" s="16"/>
      <c r="DP60" s="16">
        <v>3</v>
      </c>
      <c r="DQ60" s="16" t="str">
        <f t="shared" ca="1" si="172"/>
        <v>Marruecos</v>
      </c>
    </row>
    <row r="61" spans="1:121" ht="16" customHeight="1" x14ac:dyDescent="0.2">
      <c r="A61" s="16" t="str">
        <f ca="1">+Equipos!B30</f>
        <v>España</v>
      </c>
      <c r="B61" s="16"/>
      <c r="C61" s="16"/>
      <c r="D61" s="16" t="str">
        <f t="shared" si="179"/>
        <v>Pendiente</v>
      </c>
      <c r="E61" s="16" t="str">
        <f t="shared" si="180"/>
        <v>-</v>
      </c>
      <c r="F61" s="16" t="str">
        <f t="shared" si="181"/>
        <v>-</v>
      </c>
      <c r="G61" s="16"/>
      <c r="H61" s="16" t="str">
        <f t="shared" si="182"/>
        <v>-</v>
      </c>
      <c r="I61" s="16" t="str">
        <f t="shared" si="183"/>
        <v>-</v>
      </c>
      <c r="J61" s="16"/>
      <c r="K61" s="16" t="str">
        <f t="shared" si="184"/>
        <v>-</v>
      </c>
      <c r="L61" s="16" t="str">
        <f t="shared" si="185"/>
        <v>-</v>
      </c>
      <c r="M61" s="16"/>
      <c r="N61" s="16" t="str">
        <f t="shared" si="186"/>
        <v>-</v>
      </c>
      <c r="O61" s="16" t="str">
        <f t="shared" si="187"/>
        <v>-</v>
      </c>
      <c r="P61" s="16"/>
      <c r="Q61" s="16" t="str">
        <f t="shared" si="188"/>
        <v>-</v>
      </c>
      <c r="R61" s="16" t="str">
        <f t="shared" si="189"/>
        <v>-</v>
      </c>
      <c r="S61" s="16"/>
      <c r="T61" s="16" t="str">
        <f t="shared" si="190"/>
        <v>-</v>
      </c>
      <c r="U61" s="16" t="str">
        <f t="shared" si="191"/>
        <v>-</v>
      </c>
      <c r="V61" s="17"/>
      <c r="W61" s="627"/>
      <c r="X61" s="24">
        <f ca="1">Horarios!C61</f>
        <v>46188.75</v>
      </c>
      <c r="Y61" s="25">
        <f ca="1">Horarios!C61</f>
        <v>46188.75</v>
      </c>
      <c r="Z61" s="26" t="str">
        <f>$Z$4</f>
        <v>J1</v>
      </c>
      <c r="AA61" s="27" t="str">
        <f ca="1">A63</f>
        <v>Arabia Saudita</v>
      </c>
      <c r="AB61" s="49" t="str">
        <f t="array" aca="1" ref="AB61" ca="1">Ver_flag_local</f>
        <v/>
      </c>
      <c r="AC61" s="50"/>
      <c r="AD61" s="51"/>
      <c r="AE61" s="582" t="str">
        <f t="array" aca="1" ref="AE61" ca="1">Ver_flag_visit</f>
        <v/>
      </c>
      <c r="AF61" s="32" t="str">
        <f ca="1">A64</f>
        <v>Uruguay</v>
      </c>
      <c r="AG61" s="316">
        <f t="shared" si="192"/>
        <v>0</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4</v>
      </c>
      <c r="BT61" s="16" t="str">
        <f t="shared" ca="1" si="157"/>
        <v>Pos. 4 (9)</v>
      </c>
      <c r="BU61" s="16">
        <f t="shared" ca="1" si="158"/>
        <v>-2</v>
      </c>
      <c r="BV61" s="16">
        <f t="shared" ca="1" si="159"/>
        <v>12</v>
      </c>
      <c r="BW61" s="16" t="str">
        <f t="shared" ca="1" si="160"/>
        <v>-</v>
      </c>
      <c r="BX61" s="16" t="str">
        <f t="shared" ca="1" si="161"/>
        <v>-</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4</v>
      </c>
      <c r="DK61" s="16"/>
      <c r="DL61" s="16">
        <f t="shared" ca="1" si="170"/>
        <v>1</v>
      </c>
      <c r="DM61" s="16" t="str">
        <f t="shared" ca="1" si="171"/>
        <v>4.1</v>
      </c>
      <c r="DN61" s="16">
        <f t="array" aca="1" ref="DN61" ca="1">OFFSET(Horarios!$P$3,DJ61-1,0,DL61,1)</f>
        <v>4</v>
      </c>
      <c r="DO61" s="16"/>
      <c r="DP61" s="16">
        <v>4</v>
      </c>
      <c r="DQ61" s="16" t="str">
        <f t="shared" ca="1" si="172"/>
        <v>Arabia Saudita</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7"/>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0</v>
      </c>
      <c r="AS62" s="36">
        <f t="shared" ca="1" si="195"/>
        <v>0</v>
      </c>
      <c r="AT62" s="41">
        <f t="shared" ca="1" si="195"/>
        <v>0</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11</v>
      </c>
      <c r="BN62" s="16">
        <f t="shared" ca="1" si="153"/>
        <v>11</v>
      </c>
      <c r="BO62" s="16" t="str">
        <f t="shared" si="154"/>
        <v>4E</v>
      </c>
      <c r="BP62" s="16"/>
      <c r="BQ62" s="16"/>
      <c r="BR62" s="16">
        <f t="shared" ca="1" si="155"/>
        <v>0</v>
      </c>
      <c r="BS62" s="16">
        <f t="shared" ca="1" si="156"/>
        <v>4</v>
      </c>
      <c r="BT62" s="16" t="str">
        <f t="shared" ca="1" si="157"/>
        <v>Pos. 4 (9)</v>
      </c>
      <c r="BU62" s="16">
        <f t="shared" ca="1" si="158"/>
        <v>-1</v>
      </c>
      <c r="BV62" s="16">
        <f t="shared" ca="1" si="159"/>
        <v>10</v>
      </c>
      <c r="BW62" s="16" t="str">
        <f t="shared" ca="1" si="160"/>
        <v>Pos. 10 (2)</v>
      </c>
      <c r="BX62" s="16">
        <f t="shared" ca="1" si="161"/>
        <v>0</v>
      </c>
      <c r="BY62" s="16">
        <f t="shared" ca="1" si="162"/>
        <v>11</v>
      </c>
      <c r="BZ62" s="16" t="str">
        <f t="shared" ca="1" si="163"/>
        <v>-</v>
      </c>
      <c r="CA62" s="16" t="str">
        <f t="shared" ca="1" si="164"/>
        <v>-</v>
      </c>
      <c r="CB62" s="16">
        <f t="shared" ca="1" si="165"/>
        <v>11</v>
      </c>
      <c r="CC62" s="16"/>
      <c r="CD62" s="16">
        <f t="shared" ca="1" si="166"/>
        <v>11</v>
      </c>
      <c r="CE62" s="16" t="str">
        <f t="shared" ca="1" si="167"/>
        <v>-</v>
      </c>
      <c r="CF62" s="16">
        <f t="shared" ca="1" si="168"/>
        <v>11</v>
      </c>
      <c r="DJ62" s="16">
        <f t="shared" ca="1" si="169"/>
        <v>4</v>
      </c>
      <c r="DK62" s="16"/>
      <c r="DL62" s="16">
        <f t="shared" ca="1" si="170"/>
        <v>1</v>
      </c>
      <c r="DM62" s="16" t="str">
        <f t="shared" ca="1" si="171"/>
        <v>4.1</v>
      </c>
      <c r="DN62" s="16">
        <f t="array" aca="1" ref="DN62" ca="1">OFFSET(Horarios!$P$3,DJ62-1,0,DL62,1)</f>
        <v>4</v>
      </c>
      <c r="DO62" s="16"/>
      <c r="DP62" s="16">
        <v>5</v>
      </c>
      <c r="DQ62" s="16" t="str">
        <f t="shared" ca="1" si="172"/>
        <v>Austria</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7"/>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Cabo Verde</v>
      </c>
      <c r="AM63" s="38">
        <f t="shared" ca="1" si="195"/>
        <v>1</v>
      </c>
      <c r="AN63" s="39">
        <f t="shared" ca="1" si="195"/>
        <v>1</v>
      </c>
      <c r="AO63" s="39">
        <f t="shared" ca="1" si="195"/>
        <v>0</v>
      </c>
      <c r="AP63" s="39">
        <f t="shared" ca="1" si="195"/>
        <v>1</v>
      </c>
      <c r="AQ63" s="39">
        <f t="shared" ca="1" si="195"/>
        <v>0</v>
      </c>
      <c r="AR63" s="39">
        <f t="shared" ca="1" si="195"/>
        <v>0</v>
      </c>
      <c r="AS63" s="39">
        <f t="shared" ca="1" si="195"/>
        <v>0</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1</v>
      </c>
      <c r="BN63" s="16">
        <f t="shared" ca="1" si="153"/>
        <v>1</v>
      </c>
      <c r="BO63" s="16" t="str">
        <f t="shared" si="154"/>
        <v>4F</v>
      </c>
      <c r="BP63" s="16"/>
      <c r="BQ63" s="16"/>
      <c r="BR63" s="16">
        <f t="shared" ca="1" si="155"/>
        <v>1</v>
      </c>
      <c r="BS63" s="16">
        <f t="shared" ca="1" si="156"/>
        <v>1</v>
      </c>
      <c r="BT63" s="16" t="str">
        <f t="shared" ca="1" si="157"/>
        <v>Pos. 1 (3)</v>
      </c>
      <c r="BU63" s="16">
        <f t="shared" ca="1" si="158"/>
        <v>0</v>
      </c>
      <c r="BV63" s="16">
        <f t="shared" ca="1" si="159"/>
        <v>1</v>
      </c>
      <c r="BW63" s="16" t="str">
        <f t="shared" ca="1" si="160"/>
        <v>Pos. 1 (3)</v>
      </c>
      <c r="BX63" s="16">
        <f t="shared" ca="1" si="161"/>
        <v>2</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4</v>
      </c>
      <c r="DK63" s="16"/>
      <c r="DL63" s="16">
        <f t="shared" ca="1" si="170"/>
        <v>1</v>
      </c>
      <c r="DM63" s="16" t="str">
        <f t="shared" ca="1" si="171"/>
        <v>4.1</v>
      </c>
      <c r="DN63" s="16">
        <f t="array" aca="1" ref="DN63" ca="1">OFFSET(Horarios!$P$3,DJ63-1,0,DL63,1)</f>
        <v>4</v>
      </c>
      <c r="DO63" s="16"/>
      <c r="DP63" s="16">
        <v>6</v>
      </c>
      <c r="DQ63" s="16" t="str">
        <f t="shared" ca="1" si="172"/>
        <v>Ghana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7"/>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Arabia Saudita</v>
      </c>
      <c r="AM64" s="38">
        <f t="shared" ca="1" si="195"/>
        <v>0</v>
      </c>
      <c r="AN64" s="39">
        <f t="shared" ca="1" si="195"/>
        <v>0</v>
      </c>
      <c r="AO64" s="39">
        <f t="shared" ca="1" si="195"/>
        <v>0</v>
      </c>
      <c r="AP64" s="39">
        <f t="shared" ca="1" si="195"/>
        <v>0</v>
      </c>
      <c r="AQ64" s="39">
        <f t="shared" ca="1" si="195"/>
        <v>0</v>
      </c>
      <c r="AR64" s="39">
        <f t="shared" ca="1" si="195"/>
        <v>0</v>
      </c>
      <c r="AS64" s="39">
        <f t="shared" ca="1" si="195"/>
        <v>0</v>
      </c>
      <c r="AT64" s="43">
        <f t="shared" ca="1" si="195"/>
        <v>0</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0</v>
      </c>
      <c r="BF64" s="16">
        <f t="shared" ca="1" si="150"/>
        <v>0</v>
      </c>
      <c r="BG64" s="16">
        <f t="shared" ca="1" si="174"/>
        <v>0</v>
      </c>
      <c r="BH64" s="16">
        <f t="shared" ca="1" si="175"/>
        <v>0</v>
      </c>
      <c r="BI64" s="16">
        <f t="shared" ca="1" si="176"/>
        <v>0</v>
      </c>
      <c r="BJ64" s="16">
        <f t="shared" ca="1" si="177"/>
        <v>0</v>
      </c>
      <c r="BK64" s="16">
        <f t="shared" ca="1" si="178"/>
        <v>0</v>
      </c>
      <c r="BL64" s="16">
        <f t="shared" ca="1" si="151"/>
        <v>0</v>
      </c>
      <c r="BM64" s="16">
        <f t="shared" ca="1" si="152"/>
        <v>8</v>
      </c>
      <c r="BN64" s="16">
        <f t="shared" ca="1" si="153"/>
        <v>8</v>
      </c>
      <c r="BO64" s="16" t="str">
        <f t="shared" si="154"/>
        <v>4G</v>
      </c>
      <c r="BP64" s="16"/>
      <c r="BQ64" s="16"/>
      <c r="BR64" s="16">
        <f t="shared" ca="1" si="155"/>
        <v>0</v>
      </c>
      <c r="BS64" s="16">
        <f t="shared" ca="1" si="156"/>
        <v>4</v>
      </c>
      <c r="BT64" s="16" t="str">
        <f t="shared" ca="1" si="157"/>
        <v>Pos. 4 (9)</v>
      </c>
      <c r="BU64" s="16">
        <f t="shared" ca="1" si="158"/>
        <v>0</v>
      </c>
      <c r="BV64" s="16">
        <f t="shared" ca="1" si="159"/>
        <v>4</v>
      </c>
      <c r="BW64" s="16" t="str">
        <f t="shared" ca="1" si="160"/>
        <v>Pos. 4 (6)</v>
      </c>
      <c r="BX64" s="16">
        <f t="shared" ca="1" si="161"/>
        <v>0</v>
      </c>
      <c r="BY64" s="16">
        <f t="shared" ca="1" si="162"/>
        <v>4</v>
      </c>
      <c r="BZ64" s="16" t="str">
        <f t="shared" ca="1" si="163"/>
        <v>Pos. 4 (6)</v>
      </c>
      <c r="CA64" s="16">
        <f t="shared" ca="1" si="164"/>
        <v>5</v>
      </c>
      <c r="CB64" s="16">
        <f t="shared" ca="1" si="165"/>
        <v>8</v>
      </c>
      <c r="CC64" s="16"/>
      <c r="CD64" s="16">
        <f t="shared" ca="1" si="166"/>
        <v>8</v>
      </c>
      <c r="CE64" s="16">
        <f t="shared" ca="1" si="167"/>
        <v>7</v>
      </c>
      <c r="CF64" s="16">
        <f t="shared" ca="1" si="168"/>
        <v>8</v>
      </c>
      <c r="DJ64" s="16">
        <f t="shared" ca="1" si="169"/>
        <v>4</v>
      </c>
      <c r="DK64" s="16"/>
      <c r="DL64" s="16">
        <f t="shared" ca="1" si="170"/>
        <v>1</v>
      </c>
      <c r="DM64" s="16" t="str">
        <f t="shared" ca="1" si="171"/>
        <v>4.1</v>
      </c>
      <c r="DN64" s="16">
        <f t="array" aca="1" ref="DN64" ca="1">OFFSET(Horarios!$P$3,DJ64-1,0,DL64,1)</f>
        <v>4</v>
      </c>
      <c r="DO64" s="16"/>
      <c r="DP64" s="16">
        <v>7</v>
      </c>
      <c r="DQ64" s="16" t="str">
        <f t="shared" ca="1" si="172"/>
        <v>Irak</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8"/>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Uruguay</v>
      </c>
      <c r="AM65" s="46">
        <f t="shared" ca="1" si="195"/>
        <v>0</v>
      </c>
      <c r="AN65" s="47">
        <f t="shared" ca="1" si="195"/>
        <v>0</v>
      </c>
      <c r="AO65" s="47">
        <f t="shared" ca="1" si="195"/>
        <v>0</v>
      </c>
      <c r="AP65" s="47">
        <f t="shared" ca="1" si="195"/>
        <v>0</v>
      </c>
      <c r="AQ65" s="47">
        <f t="shared" ca="1" si="195"/>
        <v>0</v>
      </c>
      <c r="AR65" s="47">
        <f t="shared" ca="1" si="195"/>
        <v>0</v>
      </c>
      <c r="AS65" s="47">
        <f t="shared" ca="1" si="195"/>
        <v>0</v>
      </c>
      <c r="AT65" s="48">
        <f t="shared" ca="1" si="195"/>
        <v>0</v>
      </c>
      <c r="AU65" s="323">
        <f ca="1">INDEX($DL$6:$DL$53,MATCH(AI65,$DP$6:$DP$53,0))</f>
        <v>1</v>
      </c>
      <c r="AV65" s="182" t="str">
        <f ca="1">INDEX($BD$6:$BD$53,MATCH(AI65,$BM$6:$BM$53,0))</f>
        <v>Uruguay</v>
      </c>
      <c r="AW65" s="210"/>
      <c r="AX65" s="171"/>
      <c r="AY65" s="205" t="str">
        <f ca="1">+A64</f>
        <v>Uruguay</v>
      </c>
      <c r="AZ65" s="206"/>
      <c r="BA65" s="176"/>
      <c r="BB65" s="16" t="str">
        <f t="shared" si="173"/>
        <v>3H</v>
      </c>
      <c r="BC65" s="16" t="s">
        <v>126</v>
      </c>
      <c r="BD65" s="16" t="str">
        <f t="shared" ca="1" si="149"/>
        <v>Arabia Saudita</v>
      </c>
      <c r="BE65" s="16">
        <f t="shared" ca="1" si="193"/>
        <v>0</v>
      </c>
      <c r="BF65" s="16">
        <f t="shared" ca="1" si="150"/>
        <v>0</v>
      </c>
      <c r="BG65" s="16">
        <f t="shared" ca="1" si="174"/>
        <v>0</v>
      </c>
      <c r="BH65" s="16">
        <f t="shared" ca="1" si="175"/>
        <v>0</v>
      </c>
      <c r="BI65" s="16">
        <f t="shared" ca="1" si="176"/>
        <v>0</v>
      </c>
      <c r="BJ65" s="16">
        <f t="shared" ca="1" si="177"/>
        <v>0</v>
      </c>
      <c r="BK65" s="16">
        <f t="shared" ca="1" si="178"/>
        <v>0</v>
      </c>
      <c r="BL65" s="16">
        <f t="shared" ca="1" si="151"/>
        <v>0</v>
      </c>
      <c r="BM65" s="16">
        <f t="shared" ca="1" si="152"/>
        <v>4</v>
      </c>
      <c r="BN65" s="16">
        <f t="shared" ca="1" si="153"/>
        <v>4</v>
      </c>
      <c r="BO65" s="16" t="str">
        <f t="shared" si="154"/>
        <v>4H</v>
      </c>
      <c r="BP65" s="16"/>
      <c r="BQ65" s="16"/>
      <c r="BR65" s="16">
        <f t="shared" ca="1" si="155"/>
        <v>0</v>
      </c>
      <c r="BS65" s="16">
        <f t="shared" ca="1" si="156"/>
        <v>4</v>
      </c>
      <c r="BT65" s="16" t="str">
        <f t="shared" ca="1" si="157"/>
        <v>Pos. 4 (9)</v>
      </c>
      <c r="BU65" s="16">
        <f t="shared" ca="1" si="158"/>
        <v>0</v>
      </c>
      <c r="BV65" s="16">
        <f t="shared" ca="1" si="159"/>
        <v>4</v>
      </c>
      <c r="BW65" s="16" t="str">
        <f t="shared" ca="1" si="160"/>
        <v>Pos. 4 (6)</v>
      </c>
      <c r="BX65" s="16">
        <f t="shared" ca="1" si="161"/>
        <v>0</v>
      </c>
      <c r="BY65" s="16">
        <f t="shared" ca="1" si="162"/>
        <v>4</v>
      </c>
      <c r="BZ65" s="16" t="str">
        <f t="shared" ca="1" si="163"/>
        <v>Pos. 4 (6)</v>
      </c>
      <c r="CA65" s="16">
        <f t="shared" ca="1" si="164"/>
        <v>11</v>
      </c>
      <c r="CB65" s="16">
        <f t="shared" ca="1" si="165"/>
        <v>4</v>
      </c>
      <c r="CC65" s="16"/>
      <c r="CD65" s="16">
        <f t="shared" ca="1" si="166"/>
        <v>4</v>
      </c>
      <c r="CE65" s="16">
        <f t="shared" ca="1" si="167"/>
        <v>3</v>
      </c>
      <c r="CF65" s="16">
        <f t="shared" ca="1" si="168"/>
        <v>4</v>
      </c>
      <c r="DJ65" s="16">
        <f t="shared" ca="1" si="169"/>
        <v>4</v>
      </c>
      <c r="DK65" s="16"/>
      <c r="DL65" s="16">
        <f t="shared" ca="1" si="170"/>
        <v>1</v>
      </c>
      <c r="DM65" s="16" t="str">
        <f t="shared" ca="1" si="171"/>
        <v>4.1</v>
      </c>
      <c r="DN65" s="16">
        <f t="array" aca="1" ref="DN65" ca="1">OFFSET(Horarios!$P$3,DJ65-1,0,DL65,1)</f>
        <v>4</v>
      </c>
      <c r="DO65" s="16"/>
      <c r="DP65" s="16">
        <v>8</v>
      </c>
      <c r="DQ65" s="16" t="str">
        <f t="shared" ca="1" si="172"/>
        <v>Irán</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Irak</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7</v>
      </c>
      <c r="BN66" s="16">
        <f t="shared" ca="1" si="153"/>
        <v>7</v>
      </c>
      <c r="BO66" s="16" t="str">
        <f t="shared" si="154"/>
        <v>4I</v>
      </c>
      <c r="BP66" s="16"/>
      <c r="BQ66" s="16"/>
      <c r="BR66" s="16">
        <f t="shared" ca="1" si="155"/>
        <v>0</v>
      </c>
      <c r="BS66" s="16">
        <f t="shared" ca="1" si="156"/>
        <v>4</v>
      </c>
      <c r="BT66" s="16" t="str">
        <f t="shared" ca="1" si="157"/>
        <v>Pos. 4 (9)</v>
      </c>
      <c r="BU66" s="16">
        <f t="shared" ca="1" si="158"/>
        <v>0</v>
      </c>
      <c r="BV66" s="16">
        <f t="shared" ca="1" si="159"/>
        <v>4</v>
      </c>
      <c r="BW66" s="16" t="str">
        <f t="shared" ca="1" si="160"/>
        <v>Pos. 4 (6)</v>
      </c>
      <c r="BX66" s="16">
        <f t="shared" ca="1" si="161"/>
        <v>0</v>
      </c>
      <c r="BY66" s="16">
        <f t="shared" ca="1" si="162"/>
        <v>4</v>
      </c>
      <c r="BZ66" s="16" t="str">
        <f t="shared" ca="1" si="163"/>
        <v>Pos. 4 (6)</v>
      </c>
      <c r="CA66" s="16">
        <f t="shared" ca="1" si="164"/>
        <v>6</v>
      </c>
      <c r="CB66" s="16">
        <f t="shared" ca="1" si="165"/>
        <v>7</v>
      </c>
      <c r="CC66" s="16"/>
      <c r="CD66" s="16">
        <f t="shared" ca="1" si="166"/>
        <v>7</v>
      </c>
      <c r="CE66" s="16">
        <f t="shared" ca="1" si="167"/>
        <v>6</v>
      </c>
      <c r="CF66" s="16">
        <f t="shared" ca="1" si="168"/>
        <v>7</v>
      </c>
      <c r="DJ66" s="16">
        <f t="shared" ca="1" si="169"/>
        <v>4</v>
      </c>
      <c r="DK66" s="16"/>
      <c r="DL66" s="16">
        <f t="shared" ca="1" si="170"/>
        <v>1</v>
      </c>
      <c r="DM66" s="16" t="str">
        <f t="shared" ca="1" si="171"/>
        <v>4.1</v>
      </c>
      <c r="DN66" s="16">
        <f t="array" aca="1" ref="DN66" ca="1">OFFSET(Horarios!$P$3,DJ66-1,0,DL66,1)</f>
        <v>4</v>
      </c>
      <c r="DO66" s="16"/>
      <c r="DP66" s="16">
        <v>9</v>
      </c>
      <c r="DQ66" s="16" t="str">
        <f t="shared" ca="1" si="172"/>
        <v>Uzbekistán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5</v>
      </c>
      <c r="BN67" s="16">
        <f t="shared" ca="1" si="153"/>
        <v>5</v>
      </c>
      <c r="BO67" s="16" t="str">
        <f t="shared" si="154"/>
        <v>4J</v>
      </c>
      <c r="BP67" s="16"/>
      <c r="BQ67" s="16"/>
      <c r="BR67" s="16">
        <f t="shared" ca="1" si="155"/>
        <v>0</v>
      </c>
      <c r="BS67" s="16">
        <f t="shared" ca="1" si="156"/>
        <v>4</v>
      </c>
      <c r="BT67" s="16" t="str">
        <f t="shared" ca="1" si="157"/>
        <v>Pos. 4 (9)</v>
      </c>
      <c r="BU67" s="16">
        <f t="shared" ca="1" si="158"/>
        <v>0</v>
      </c>
      <c r="BV67" s="16">
        <f t="shared" ca="1" si="159"/>
        <v>4</v>
      </c>
      <c r="BW67" s="16" t="str">
        <f t="shared" ca="1" si="160"/>
        <v>Pos. 4 (6)</v>
      </c>
      <c r="BX67" s="16">
        <f t="shared" ca="1" si="161"/>
        <v>0</v>
      </c>
      <c r="BY67" s="16">
        <f t="shared" ca="1" si="162"/>
        <v>4</v>
      </c>
      <c r="BZ67" s="16" t="str">
        <f t="shared" ca="1" si="163"/>
        <v>Pos. 4 (6)</v>
      </c>
      <c r="CA67" s="16">
        <f t="shared" ca="1" si="164"/>
        <v>10</v>
      </c>
      <c r="CB67" s="16">
        <f t="shared" ca="1" si="165"/>
        <v>5</v>
      </c>
      <c r="CC67" s="16"/>
      <c r="CD67" s="16">
        <f t="shared" ca="1" si="166"/>
        <v>5</v>
      </c>
      <c r="CE67" s="16">
        <f t="shared" ca="1" si="167"/>
        <v>4</v>
      </c>
      <c r="CF67" s="16">
        <f t="shared" ca="1" si="168"/>
        <v>5</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República Checa</v>
      </c>
    </row>
    <row r="68" spans="1:121" ht="16" customHeight="1" thickBot="1" x14ac:dyDescent="0.25">
      <c r="A68" s="16" t="s">
        <v>15</v>
      </c>
      <c r="B68" s="16" t="s">
        <v>127</v>
      </c>
      <c r="C68" s="16">
        <f>COUNTIF(Equipos!$C$2:$C$49,WORLDCUP!B68)</f>
        <v>4</v>
      </c>
      <c r="D68" s="16" t="str">
        <f t="shared" ref="D68:D73" si="196">IF(OR(AC68="",AD68=""),"Pendiente",IF(AC68&gt;AD68,"Local",IF(AC68&lt;AD68,"Visitante","Empate")))</f>
        <v>Pendiente</v>
      </c>
      <c r="E68" s="16" t="str">
        <f t="shared" ref="E68:E73" si="197">IF(D68="Pendiente","-",INDEX($BT$6:$BT$53,MATCH($AA68,$BD$6:$BD$53,0)))</f>
        <v>-</v>
      </c>
      <c r="F68" s="16" t="str">
        <f t="shared" ref="F68:F73" si="198">IF(D68="Pendiente","-",INDEX($BT$6:$BT$53,MATCH($AF68,$BD$6:$BD$53,0)))</f>
        <v>-</v>
      </c>
      <c r="G68" s="16"/>
      <c r="H68" s="16" t="str">
        <f t="shared" ref="H68:H73" si="199">IF(D68="Pendiente","-",INDEX($BZ$6:$BZ$53,MATCH($AA68,$BD$6:$BD$53,0)))</f>
        <v>-</v>
      </c>
      <c r="I68" s="16" t="str">
        <f t="shared" ref="I68:I73" si="200">IF(D68="Pendiente","-",INDEX($BZ$6:$BZ$53,MATCH($AF68,$BD$6:$BD$53,0)))</f>
        <v>-</v>
      </c>
      <c r="J68" s="16"/>
      <c r="K68" s="16" t="str">
        <f t="shared" ref="K68:K73" si="201">IF(D68="Pendiente","-",INDEX($CE$6:$CE$53,MATCH($AA68,$BD$6:$BD$53,0)))</f>
        <v>-</v>
      </c>
      <c r="L68" s="16" t="str">
        <f t="shared" ref="L68:L73" si="202">IF(D68="Pendiente","-",INDEX($CE$6:$CE$53,MATCH($AF68,$BD$6:$BD$53,0)))</f>
        <v>-</v>
      </c>
      <c r="M68" s="16"/>
      <c r="N68" s="16" t="str">
        <f t="shared" ref="N68:N73" si="203">IF(D68="Pendiente","-",INDEX($CH$6:$CH$53,MATCH($AA68,$BD$6:$BD$53,0)))</f>
        <v>-</v>
      </c>
      <c r="O68" s="16" t="str">
        <f t="shared" ref="O68:O73" si="204">IF(D68="Pendiente","-",INDEX($CH$6:$CH$53,MATCH($AF68,$BD$6:$BD$53,0)))</f>
        <v>-</v>
      </c>
      <c r="P68" s="16"/>
      <c r="Q68" s="16" t="str">
        <f t="shared" ref="Q68:Q73" si="205">IF(D68="Pendiente","-",INDEX($CN$6:$CN$53,MATCH($AA68,$BD$6:$BD$53,0)))</f>
        <v>-</v>
      </c>
      <c r="R68" s="16" t="str">
        <f t="shared" ref="R68:R73" si="206">IF(D68="Pendiente","-",INDEX($CN$6:$CN$53,MATCH($AF68,$BD$6:$BD$53,0)))</f>
        <v>-</v>
      </c>
      <c r="S68" s="16"/>
      <c r="T68" s="16" t="str">
        <f t="shared" ref="T68:T73" si="207">IF(D68="Pendiente","-",INDEX($CS$6:$CS$53,MATCH($AA68,$BD$6:$BD$53,0)))</f>
        <v>-</v>
      </c>
      <c r="U68" s="16" t="str">
        <f t="shared" ref="U68:U73" si="208">IF(D68="Pendiente","-",INDEX($CS$6:$CS$53,MATCH($AF68,$BD$6:$BD$53,0)))</f>
        <v>-</v>
      </c>
      <c r="V68" s="17"/>
      <c r="W68" s="637" t="s">
        <v>127</v>
      </c>
      <c r="X68" s="24">
        <f ca="1">Horarios!C68</f>
        <v>46189.625</v>
      </c>
      <c r="Y68" s="25">
        <f ca="1">Horarios!C68</f>
        <v>46189.625</v>
      </c>
      <c r="Z68" s="26" t="str">
        <f>$Z$4</f>
        <v>J1</v>
      </c>
      <c r="AA68" s="27" t="str">
        <f ca="1">A69</f>
        <v>Francia</v>
      </c>
      <c r="AB68" s="49" t="str">
        <f t="array" aca="1" ref="AB68" ca="1">Ver_flag_local</f>
        <v/>
      </c>
      <c r="AC68" s="50"/>
      <c r="AD68" s="51"/>
      <c r="AE68" s="582" t="str">
        <f t="array" aca="1" ref="AE68" ca="1">Ver_flag_visit</f>
        <v/>
      </c>
      <c r="AF68" s="32" t="str">
        <f ca="1">A70</f>
        <v>Senegal</v>
      </c>
      <c r="AG68" s="316">
        <f t="shared" ref="AG68:AG73" si="209">IF(NOT(OR(ISBLANK(AC68),ISBLANK(AD68))),1,0)</f>
        <v>0</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9</v>
      </c>
      <c r="BN68" s="16">
        <f t="shared" ca="1" si="153"/>
        <v>9</v>
      </c>
      <c r="BO68" s="16" t="str">
        <f t="shared" si="154"/>
        <v>4K</v>
      </c>
      <c r="BP68" s="16"/>
      <c r="BQ68" s="16"/>
      <c r="BR68" s="16">
        <f t="shared" ca="1" si="155"/>
        <v>0</v>
      </c>
      <c r="BS68" s="16">
        <f t="shared" ca="1" si="156"/>
        <v>4</v>
      </c>
      <c r="BT68" s="16" t="str">
        <f t="shared" ca="1" si="157"/>
        <v>Pos. 4 (9)</v>
      </c>
      <c r="BU68" s="16">
        <f t="shared" ca="1" si="158"/>
        <v>0</v>
      </c>
      <c r="BV68" s="16">
        <f t="shared" ca="1" si="159"/>
        <v>4</v>
      </c>
      <c r="BW68" s="16" t="str">
        <f t="shared" ca="1" si="160"/>
        <v>Pos. 4 (6)</v>
      </c>
      <c r="BX68" s="16">
        <f t="shared" ca="1" si="161"/>
        <v>0</v>
      </c>
      <c r="BY68" s="16">
        <f t="shared" ca="1" si="162"/>
        <v>4</v>
      </c>
      <c r="BZ68" s="16" t="str">
        <f t="shared" ca="1" si="163"/>
        <v>Pos. 4 (6)</v>
      </c>
      <c r="CA68" s="16">
        <f t="shared" ca="1" si="164"/>
        <v>0</v>
      </c>
      <c r="CB68" s="16">
        <f t="shared" ca="1" si="165"/>
        <v>9</v>
      </c>
      <c r="CC68" s="16"/>
      <c r="CD68" s="16">
        <f t="shared" ca="1" si="166"/>
        <v>9</v>
      </c>
      <c r="CE68" s="16">
        <f t="shared" ca="1" si="167"/>
        <v>8</v>
      </c>
      <c r="CF68" s="16">
        <f t="shared" ca="1" si="168"/>
        <v>9</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Ecuador</v>
      </c>
    </row>
    <row r="69" spans="1:121" ht="16" customHeight="1" x14ac:dyDescent="0.2">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7"/>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6</v>
      </c>
      <c r="BN69" s="16">
        <f t="shared" ca="1" si="153"/>
        <v>6</v>
      </c>
      <c r="BO69" s="16" t="str">
        <f t="shared" si="154"/>
        <v>4L</v>
      </c>
      <c r="BP69" s="16"/>
      <c r="BQ69" s="16"/>
      <c r="BR69" s="16">
        <f t="shared" ca="1" si="155"/>
        <v>0</v>
      </c>
      <c r="BS69" s="16">
        <f t="shared" ca="1" si="156"/>
        <v>4</v>
      </c>
      <c r="BT69" s="16" t="str">
        <f t="shared" ca="1" si="157"/>
        <v>Pos. 4 (9)</v>
      </c>
      <c r="BU69" s="16">
        <f t="shared" ca="1" si="158"/>
        <v>0</v>
      </c>
      <c r="BV69" s="16">
        <f t="shared" ca="1" si="159"/>
        <v>4</v>
      </c>
      <c r="BW69" s="16" t="str">
        <f t="shared" ca="1" si="160"/>
        <v>Pos. 4 (6)</v>
      </c>
      <c r="BX69" s="16">
        <f t="shared" ca="1" si="161"/>
        <v>0</v>
      </c>
      <c r="BY69" s="16">
        <f t="shared" ca="1" si="162"/>
        <v>4</v>
      </c>
      <c r="BZ69" s="16" t="str">
        <f t="shared" ca="1" si="163"/>
        <v>Pos. 4 (6)</v>
      </c>
      <c r="CA69" s="16">
        <f t="shared" ca="1" si="164"/>
        <v>7</v>
      </c>
      <c r="CB69" s="16">
        <f t="shared" ca="1" si="165"/>
        <v>6</v>
      </c>
      <c r="CC69" s="16"/>
      <c r="CD69" s="16">
        <f t="shared" ca="1" si="166"/>
        <v>6</v>
      </c>
      <c r="CE69" s="16">
        <f t="shared" ca="1" si="167"/>
        <v>5</v>
      </c>
      <c r="CF69" s="16">
        <f t="shared" ca="1" si="168"/>
        <v>6</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7"/>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0</v>
      </c>
      <c r="AN70" s="36">
        <f t="shared" ca="1" si="211"/>
        <v>0</v>
      </c>
      <c r="AO70" s="36">
        <f t="shared" ca="1" si="211"/>
        <v>0</v>
      </c>
      <c r="AP70" s="36">
        <f t="shared" ca="1" si="211"/>
        <v>0</v>
      </c>
      <c r="AQ70" s="36">
        <f t="shared" ca="1" si="211"/>
        <v>0</v>
      </c>
      <c r="AR70" s="36">
        <f t="shared" ca="1" si="211"/>
        <v>0</v>
      </c>
      <c r="AS70" s="36">
        <f t="shared" ca="1" si="211"/>
        <v>0</v>
      </c>
      <c r="AT70" s="41">
        <f t="shared" ca="1" si="211"/>
        <v>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7"/>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Senegal</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7"/>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Irak</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Irak</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8"/>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Noruega</v>
      </c>
      <c r="AM73" s="46">
        <f t="shared" ca="1" si="211"/>
        <v>0</v>
      </c>
      <c r="AN73" s="47">
        <f t="shared" ca="1" si="211"/>
        <v>0</v>
      </c>
      <c r="AO73" s="47">
        <f t="shared" ca="1" si="211"/>
        <v>0</v>
      </c>
      <c r="AP73" s="47">
        <f t="shared" ca="1" si="211"/>
        <v>0</v>
      </c>
      <c r="AQ73" s="47">
        <f t="shared" ca="1" si="211"/>
        <v>0</v>
      </c>
      <c r="AR73" s="47">
        <f t="shared" ca="1" si="211"/>
        <v>0</v>
      </c>
      <c r="AS73" s="47">
        <f t="shared" ca="1" si="211"/>
        <v>0</v>
      </c>
      <c r="AT73" s="48">
        <f t="shared" ca="1" si="211"/>
        <v>0</v>
      </c>
      <c r="AU73" s="323">
        <f ca="1">INDEX($DL$6:$DL$53,MATCH(AI73,$DP$6:$DP$53,0))</f>
        <v>1</v>
      </c>
      <c r="AV73" s="182" t="str">
        <f ca="1">INDEX($BD$6:$BD$53,MATCH(AI73,$BM$6:$BM$53,0))</f>
        <v>Noruega</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41"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7"/>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7"/>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7"/>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7"/>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8"/>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2"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7"/>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7"/>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7"/>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8"/>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5"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7"/>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7"/>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7"/>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8"/>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6"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4</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Japón</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4</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7"/>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Catar</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4</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7"/>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Marruecos</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4</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Arabia Saudita</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4</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Austria</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0</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7"/>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Ghana</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2</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7"/>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Irak</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0</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Irán</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Uzbekistán</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7"/>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República Checa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Ecuador</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26</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Turquía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7"/>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0"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3"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1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2"/>
      <c r="G1" s="622"/>
      <c r="H1" s="622"/>
      <c r="I1" s="622"/>
      <c r="J1" s="622"/>
      <c r="K1" s="622"/>
      <c r="L1" s="622"/>
      <c r="M1" s="622"/>
      <c r="N1" s="622"/>
    </row>
    <row r="2" spans="1:14" ht="20" customHeight="1" thickBot="1" x14ac:dyDescent="0.3">
      <c r="A2" s="284"/>
      <c r="B2" s="285"/>
      <c r="C2" s="285"/>
      <c r="D2" s="360"/>
      <c r="E2" s="622"/>
      <c r="F2" s="622"/>
      <c r="G2" s="622"/>
      <c r="H2" s="622"/>
      <c r="I2" s="622"/>
      <c r="J2" s="622"/>
      <c r="K2" s="622"/>
      <c r="L2" s="622"/>
      <c r="M2" s="622"/>
      <c r="N2" s="622"/>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0|-</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0|-</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0|-</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1º GRUPO A</v>
      </c>
      <c r="D80" s="650"/>
      <c r="E80" s="361"/>
      <c r="F80" s="361"/>
      <c r="G80" s="361"/>
      <c r="H80" s="361"/>
      <c r="I80" s="372"/>
      <c r="J80" s="361"/>
      <c r="K80" s="361"/>
      <c r="L80" s="361"/>
      <c r="M80" s="370"/>
      <c r="N80" s="368"/>
    </row>
    <row r="81" spans="1:14" ht="15" customHeight="1" x14ac:dyDescent="0.2">
      <c r="A81" s="622"/>
      <c r="B81" s="351" t="str">
        <f>Idiomas!D141</f>
        <v>2º GRUPO A</v>
      </c>
      <c r="C81" s="342" t="str">
        <f ca="1">IF(OR(SUM(WORLDCUP!$AN$6:$AN$9)=12,WORLDCUP!$AJ$99=144),WORLDCUP!AL7,B81)</f>
        <v>2º GRUPO A</v>
      </c>
      <c r="D81" s="650"/>
      <c r="E81" s="361"/>
      <c r="F81" s="361"/>
      <c r="G81" s="361"/>
      <c r="H81" s="361"/>
      <c r="I81" s="372"/>
      <c r="J81" s="361"/>
      <c r="K81" s="361"/>
      <c r="L81" s="361"/>
      <c r="M81" s="370"/>
      <c r="N81" s="368"/>
    </row>
    <row r="82" spans="1:14" ht="15" customHeight="1" x14ac:dyDescent="0.2">
      <c r="A82" s="622"/>
      <c r="B82" s="351" t="str">
        <f>Idiomas!D142</f>
        <v>3º GRUPO A</v>
      </c>
      <c r="C82" s="342" t="str">
        <f ca="1">IF(OR(SUM(WORLDCUP!$AN$6:$AN$9)=12,WORLDCUP!$AJ$99=144),WORLDCUP!AL8,B82)</f>
        <v>3º GRUPO A</v>
      </c>
      <c r="D82" s="650"/>
      <c r="E82" s="361"/>
      <c r="F82" s="361"/>
      <c r="G82" s="361"/>
      <c r="H82" s="361"/>
      <c r="I82" s="372"/>
      <c r="J82" s="361"/>
      <c r="K82" s="361"/>
      <c r="L82" s="361"/>
      <c r="M82" s="370"/>
      <c r="N82" s="368"/>
    </row>
    <row r="83" spans="1:14" ht="15" customHeight="1" x14ac:dyDescent="0.2">
      <c r="A83" s="622"/>
      <c r="B83" s="351" t="str">
        <f>Idiomas!D143</f>
        <v>4º GRUPO A</v>
      </c>
      <c r="C83" s="342" t="str">
        <f ca="1">IF(OR(SUM(WORLDCUP!$AN$6:$AN$9)=12,WORLDCUP!$AJ$99=144),WORLDCUP!AL9,B83)</f>
        <v>4º GRUPO 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1º GRUPO B</v>
      </c>
      <c r="D84" s="650"/>
      <c r="E84" s="361"/>
      <c r="F84" s="361"/>
      <c r="G84" s="361"/>
      <c r="H84" s="361"/>
      <c r="I84" s="372"/>
      <c r="J84" s="361"/>
      <c r="K84" s="361"/>
      <c r="L84" s="361"/>
      <c r="M84" s="370"/>
      <c r="N84" s="368"/>
    </row>
    <row r="85" spans="1:14" ht="15" customHeight="1" x14ac:dyDescent="0.2">
      <c r="A85" s="622"/>
      <c r="B85" s="349" t="str">
        <f>Idiomas!D145</f>
        <v>2º GRUPO B</v>
      </c>
      <c r="C85" s="342" t="str">
        <f ca="1">IF(OR(SUM(WORLDCUP!$AN$14:$AN$17)=12,WORLDCUP!$AJ$99=144),WORLDCUP!AL15,B85)</f>
        <v>2º GRUPO B</v>
      </c>
      <c r="D85" s="650"/>
      <c r="E85" s="361"/>
      <c r="F85" s="361"/>
      <c r="G85" s="361"/>
      <c r="H85" s="361"/>
      <c r="I85" s="372"/>
      <c r="J85" s="361"/>
      <c r="K85" s="361"/>
      <c r="L85" s="361"/>
      <c r="M85" s="370"/>
      <c r="N85" s="368"/>
    </row>
    <row r="86" spans="1:14" ht="15" customHeight="1" x14ac:dyDescent="0.2">
      <c r="A86" s="622"/>
      <c r="B86" s="349" t="str">
        <f>Idiomas!D146</f>
        <v>3º GRUPO B</v>
      </c>
      <c r="C86" s="342" t="str">
        <f ca="1">IF(OR(SUM(WORLDCUP!$AN$14:$AN$17)=12,WORLDCUP!$AJ$99=144),WORLDCUP!AL16,B86)</f>
        <v>3º GRUPO B</v>
      </c>
      <c r="D86" s="650"/>
      <c r="E86" s="361"/>
      <c r="F86" s="361"/>
      <c r="G86" s="361"/>
      <c r="H86" s="361"/>
      <c r="I86" s="372"/>
      <c r="J86" s="361"/>
      <c r="K86" s="361"/>
      <c r="L86" s="361"/>
      <c r="M86" s="370"/>
      <c r="N86" s="368"/>
    </row>
    <row r="87" spans="1:14" ht="15" customHeight="1" x14ac:dyDescent="0.2">
      <c r="A87" s="622"/>
      <c r="B87" s="349" t="str">
        <f>Idiomas!D147</f>
        <v>4º GRUPO B</v>
      </c>
      <c r="C87" s="342" t="str">
        <f ca="1">IF(OR(SUM(WORLDCUP!$AN$14:$AN$17)=12,WORLDCUP!$AJ$99=144),WORLDCUP!AL17,B87)</f>
        <v>4º GRUPO B</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1º GRUPO C</v>
      </c>
      <c r="D88" s="650"/>
      <c r="E88" s="361"/>
      <c r="F88" s="361"/>
      <c r="G88" s="361"/>
      <c r="H88" s="361"/>
      <c r="I88" s="372"/>
      <c r="J88" s="361"/>
      <c r="K88" s="361"/>
      <c r="L88" s="361"/>
      <c r="M88" s="370"/>
      <c r="N88" s="368"/>
    </row>
    <row r="89" spans="1:14" ht="15" customHeight="1" x14ac:dyDescent="0.2">
      <c r="A89" s="622"/>
      <c r="B89" s="351" t="str">
        <f>Idiomas!D149</f>
        <v>2º GRUPO C</v>
      </c>
      <c r="C89" s="342" t="str">
        <f ca="1">IF(OR(SUM(WORLDCUP!$AN$22:$AN$25)=12,WORLDCUP!$AJ$99=144),WORLDCUP!AL23,B89)</f>
        <v>2º GRUPO C</v>
      </c>
      <c r="D89" s="650"/>
      <c r="E89" s="361"/>
      <c r="F89" s="361"/>
      <c r="G89" s="361"/>
      <c r="H89" s="361"/>
      <c r="I89" s="372"/>
      <c r="J89" s="361"/>
      <c r="K89" s="361"/>
      <c r="L89" s="361"/>
      <c r="M89" s="370"/>
      <c r="N89" s="368"/>
    </row>
    <row r="90" spans="1:14" ht="15" customHeight="1" x14ac:dyDescent="0.2">
      <c r="A90" s="622"/>
      <c r="B90" s="351" t="str">
        <f>Idiomas!D150</f>
        <v>3º GRUPO C</v>
      </c>
      <c r="C90" s="342" t="str">
        <f ca="1">IF(OR(SUM(WORLDCUP!$AN$22:$AN$25)=12,WORLDCUP!$AJ$99=144),WORLDCUP!AL24,B90)</f>
        <v>3º GRUPO C</v>
      </c>
      <c r="D90" s="650"/>
      <c r="E90" s="361"/>
      <c r="F90" s="361"/>
      <c r="G90" s="361"/>
      <c r="H90" s="361"/>
      <c r="I90" s="372"/>
      <c r="J90" s="361"/>
      <c r="K90" s="361"/>
      <c r="L90" s="361"/>
      <c r="M90" s="370"/>
      <c r="N90" s="368"/>
    </row>
    <row r="91" spans="1:14" ht="15" customHeight="1" x14ac:dyDescent="0.2">
      <c r="A91" s="622"/>
      <c r="B91" s="351" t="str">
        <f>Idiomas!D151</f>
        <v>4º GRUPO C</v>
      </c>
      <c r="C91" s="342" t="str">
        <f ca="1">IF(OR(SUM(WORLDCUP!$AN$22:$AN$25)=12,WORLDCUP!$AJ$99=144),WORLDCUP!AL25,B91)</f>
        <v>4º GRUPO C</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1º GRUPO D</v>
      </c>
      <c r="D92" s="650"/>
      <c r="E92" s="361"/>
      <c r="F92" s="361"/>
      <c r="G92" s="361"/>
      <c r="H92" s="361"/>
      <c r="I92" s="372"/>
      <c r="J92" s="361"/>
      <c r="K92" s="361"/>
      <c r="L92" s="361"/>
      <c r="M92" s="370"/>
      <c r="N92" s="368"/>
    </row>
    <row r="93" spans="1:14" ht="15" customHeight="1" x14ac:dyDescent="0.2">
      <c r="A93" s="622"/>
      <c r="B93" s="349" t="str">
        <f>Idiomas!D153</f>
        <v>2º GRUPO D</v>
      </c>
      <c r="C93" s="342" t="str">
        <f ca="1">IF(OR(SUM(WORLDCUP!$AN$30:$AN$33)=12,WORLDCUP!$AJ$99=144),WORLDCUP!AL31,B93)</f>
        <v>2º GRUPO D</v>
      </c>
      <c r="D93" s="650"/>
      <c r="E93" s="361"/>
      <c r="F93" s="361"/>
      <c r="G93" s="361"/>
      <c r="H93" s="361"/>
      <c r="I93" s="372"/>
      <c r="J93" s="361"/>
      <c r="K93" s="361"/>
      <c r="L93" s="361"/>
      <c r="M93" s="370"/>
      <c r="N93" s="368"/>
    </row>
    <row r="94" spans="1:14" ht="15" customHeight="1" x14ac:dyDescent="0.2">
      <c r="A94" s="622"/>
      <c r="B94" s="349" t="str">
        <f>Idiomas!D154</f>
        <v>3º GRUPO D</v>
      </c>
      <c r="C94" s="342" t="str">
        <f ca="1">IF(OR(SUM(WORLDCUP!$AN$30:$AN$33)=12,WORLDCUP!$AJ$99=144),WORLDCUP!AL32,B94)</f>
        <v>3º GRUPO D</v>
      </c>
      <c r="D94" s="650"/>
      <c r="E94" s="361"/>
      <c r="F94" s="361"/>
      <c r="G94" s="361"/>
      <c r="H94" s="361"/>
      <c r="I94" s="372"/>
      <c r="J94" s="361"/>
      <c r="K94" s="361"/>
      <c r="L94" s="361"/>
      <c r="M94" s="370"/>
      <c r="N94" s="368"/>
    </row>
    <row r="95" spans="1:14" ht="15" customHeight="1" x14ac:dyDescent="0.2">
      <c r="A95" s="622"/>
      <c r="B95" s="349" t="str">
        <f>Idiomas!D155</f>
        <v>4º GRUPO D</v>
      </c>
      <c r="C95" s="342" t="str">
        <f ca="1">IF(OR(SUM(WORLDCUP!$AN$30:$AN$33)=12,WORLDCUP!$AJ$99=144),WORLDCUP!AL33,B95)</f>
        <v>4º GRUPO D</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1º GRUPO E</v>
      </c>
      <c r="D96" s="650"/>
      <c r="E96" s="361"/>
      <c r="F96" s="361"/>
      <c r="G96" s="361"/>
      <c r="H96" s="361"/>
      <c r="I96" s="372"/>
      <c r="J96" s="361"/>
      <c r="K96" s="361"/>
      <c r="L96" s="361"/>
      <c r="M96" s="370"/>
      <c r="N96" s="368"/>
    </row>
    <row r="97" spans="1:14" ht="15" customHeight="1" x14ac:dyDescent="0.2">
      <c r="A97" s="622"/>
      <c r="B97" s="351" t="str">
        <f>Idiomas!D157</f>
        <v>2º GRUPO E</v>
      </c>
      <c r="C97" s="342" t="str">
        <f ca="1">IF(OR(SUM(WORLDCUP!$AN$38:$AN$41)=12,WORLDCUP!$AJ$99=144),WORLDCUP!AL39,B97)</f>
        <v>2º GRUPO E</v>
      </c>
      <c r="D97" s="650"/>
      <c r="E97" s="361"/>
      <c r="F97" s="361"/>
      <c r="G97" s="361"/>
      <c r="H97" s="361"/>
      <c r="I97" s="372"/>
      <c r="J97" s="361"/>
      <c r="K97" s="361"/>
      <c r="L97" s="361"/>
      <c r="M97" s="370"/>
      <c r="N97" s="368"/>
    </row>
    <row r="98" spans="1:14" ht="15" customHeight="1" x14ac:dyDescent="0.2">
      <c r="A98" s="622"/>
      <c r="B98" s="351" t="str">
        <f>Idiomas!D158</f>
        <v>3º GRUPO E</v>
      </c>
      <c r="C98" s="342" t="str">
        <f ca="1">IF(OR(SUM(WORLDCUP!$AN$38:$AN$41)=12,WORLDCUP!$AJ$99=144),WORLDCUP!AL40,B98)</f>
        <v>3º GRUPO E</v>
      </c>
      <c r="D98" s="650"/>
      <c r="E98" s="361"/>
      <c r="F98" s="361"/>
      <c r="G98" s="361"/>
      <c r="H98" s="361"/>
      <c r="I98" s="372"/>
      <c r="J98" s="361"/>
      <c r="K98" s="361"/>
      <c r="L98" s="361"/>
      <c r="M98" s="370"/>
      <c r="N98" s="368"/>
    </row>
    <row r="99" spans="1:14" ht="15" customHeight="1" x14ac:dyDescent="0.2">
      <c r="A99" s="622"/>
      <c r="B99" s="351" t="str">
        <f>Idiomas!D159</f>
        <v>4º GRUPO E</v>
      </c>
      <c r="C99" s="342" t="str">
        <f ca="1">IF(OR(SUM(WORLDCUP!$AN$38:$AN$41)=12,WORLDCUP!$AJ$99=144),WORLDCUP!AL41,B99)</f>
        <v>4º GRUPO E</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1º GRUPO F</v>
      </c>
      <c r="D100" s="650"/>
      <c r="E100" s="361"/>
      <c r="F100" s="361"/>
      <c r="G100" s="361"/>
      <c r="H100" s="361"/>
      <c r="I100" s="372"/>
      <c r="J100" s="361"/>
      <c r="K100" s="361"/>
      <c r="L100" s="361"/>
      <c r="M100" s="370"/>
      <c r="N100" s="368"/>
    </row>
    <row r="101" spans="1:14" ht="15" customHeight="1" x14ac:dyDescent="0.2">
      <c r="A101" s="622"/>
      <c r="B101" s="349" t="str">
        <f>Idiomas!D161</f>
        <v>2º GRUPO F</v>
      </c>
      <c r="C101" s="342" t="str">
        <f ca="1">IF(OR(SUM(WORLDCUP!$AN$46:$AN$49)=12,WORLDCUP!$AJ$99=144),WORLDCUP!AL47,B101)</f>
        <v>2º GRUPO F</v>
      </c>
      <c r="D101" s="650"/>
      <c r="E101" s="361"/>
      <c r="F101" s="361"/>
      <c r="G101" s="361"/>
      <c r="H101" s="361"/>
      <c r="I101" s="372"/>
      <c r="J101" s="361"/>
      <c r="K101" s="361"/>
      <c r="L101" s="361"/>
      <c r="M101" s="370"/>
      <c r="N101" s="368"/>
    </row>
    <row r="102" spans="1:14" ht="15" customHeight="1" x14ac:dyDescent="0.2">
      <c r="A102" s="622"/>
      <c r="B102" s="349" t="str">
        <f>Idiomas!D162</f>
        <v>3º GRUPO F</v>
      </c>
      <c r="C102" s="342" t="str">
        <f ca="1">IF(OR(SUM(WORLDCUP!$AN$46:$AN$49)=12,WORLDCUP!$AJ$99=144),WORLDCUP!AL48,B102)</f>
        <v>3º GRUPO F</v>
      </c>
      <c r="D102" s="650"/>
      <c r="E102" s="361"/>
      <c r="F102" s="361"/>
      <c r="G102" s="361"/>
      <c r="H102" s="361"/>
      <c r="I102" s="372"/>
      <c r="J102" s="361"/>
      <c r="K102" s="361"/>
      <c r="L102" s="361"/>
      <c r="M102" s="370"/>
      <c r="N102" s="368"/>
    </row>
    <row r="103" spans="1:14" ht="15" customHeight="1" x14ac:dyDescent="0.2">
      <c r="A103" s="622"/>
      <c r="B103" s="349" t="str">
        <f>Idiomas!D163</f>
        <v>4º GRUPO F</v>
      </c>
      <c r="C103" s="342" t="str">
        <f ca="1">IF(OR(SUM(WORLDCUP!$AN$46:$AN$49)=12,WORLDCUP!$AJ$99=144),WORLDCUP!AL49,B103)</f>
        <v>4º GRUPO F</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1º GRUPO G</v>
      </c>
      <c r="D104" s="650"/>
      <c r="E104" s="361"/>
      <c r="F104" s="361"/>
      <c r="G104" s="361"/>
      <c r="H104" s="361"/>
      <c r="I104" s="372"/>
      <c r="J104" s="361"/>
      <c r="K104" s="361"/>
      <c r="L104" s="361"/>
      <c r="M104" s="370"/>
      <c r="N104" s="368"/>
    </row>
    <row r="105" spans="1:14" ht="15" customHeight="1" x14ac:dyDescent="0.2">
      <c r="A105" s="622"/>
      <c r="B105" s="351" t="str">
        <f>Idiomas!D165</f>
        <v>2º GRUPO G</v>
      </c>
      <c r="C105" s="342" t="str">
        <f ca="1">IF(OR(SUM(WORLDCUP!$AN$54:$AN$57)=12,WORLDCUP!$AJ$99=144),WORLDCUP!AL55,B105)</f>
        <v>2º GRUPO G</v>
      </c>
      <c r="D105" s="650"/>
      <c r="E105" s="361"/>
      <c r="F105" s="361"/>
      <c r="G105" s="361"/>
      <c r="H105" s="361"/>
      <c r="I105" s="372"/>
      <c r="J105" s="361"/>
      <c r="K105" s="361"/>
      <c r="L105" s="361"/>
      <c r="M105" s="370"/>
      <c r="N105" s="368"/>
    </row>
    <row r="106" spans="1:14" ht="15" customHeight="1" x14ac:dyDescent="0.2">
      <c r="A106" s="622"/>
      <c r="B106" s="351" t="str">
        <f>Idiomas!D166</f>
        <v>3º GRUPO G</v>
      </c>
      <c r="C106" s="342" t="str">
        <f ca="1">IF(OR(SUM(WORLDCUP!$AN$54:$AN$57)=12,WORLDCUP!$AJ$99=144),WORLDCUP!AL56,B106)</f>
        <v>3º GRUPO G</v>
      </c>
      <c r="D106" s="650"/>
      <c r="E106" s="361"/>
      <c r="F106" s="361"/>
      <c r="G106" s="361"/>
      <c r="H106" s="361"/>
      <c r="I106" s="372"/>
      <c r="J106" s="361"/>
      <c r="K106" s="361"/>
      <c r="L106" s="361"/>
      <c r="M106" s="370"/>
      <c r="N106" s="368"/>
    </row>
    <row r="107" spans="1:14" ht="15" customHeight="1" x14ac:dyDescent="0.2">
      <c r="A107" s="622"/>
      <c r="B107" s="351" t="str">
        <f>Idiomas!D167</f>
        <v>4º GRUPO G</v>
      </c>
      <c r="C107" s="342" t="str">
        <f ca="1">IF(OR(SUM(WORLDCUP!$AN$54:$AN$57)=12,WORLDCUP!$AJ$99=144),WORLDCUP!AL57,B107)</f>
        <v>4º GRUPO G</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1º GRUPO H</v>
      </c>
      <c r="D108" s="650"/>
      <c r="E108" s="361"/>
      <c r="F108" s="361"/>
      <c r="G108" s="361"/>
      <c r="H108" s="361"/>
      <c r="I108" s="372"/>
      <c r="J108" s="361"/>
      <c r="K108" s="361"/>
      <c r="L108" s="361"/>
      <c r="M108" s="370"/>
      <c r="N108" s="368"/>
    </row>
    <row r="109" spans="1:14" ht="15" customHeight="1" x14ac:dyDescent="0.2">
      <c r="A109" s="622"/>
      <c r="B109" s="349" t="str">
        <f>Idiomas!D169</f>
        <v>2º GRUPO H</v>
      </c>
      <c r="C109" s="342" t="str">
        <f ca="1">IF(OR(SUM(WORLDCUP!$AN$62:$AN$65)=12,WORLDCUP!$AJ$99=144),WORLDCUP!AL63,B109)</f>
        <v>2º GRUPO H</v>
      </c>
      <c r="D109" s="650"/>
      <c r="E109" s="361"/>
      <c r="F109" s="361"/>
      <c r="G109" s="361"/>
      <c r="H109" s="361"/>
      <c r="I109" s="372"/>
      <c r="J109" s="361"/>
      <c r="K109" s="361"/>
      <c r="L109" s="361"/>
      <c r="M109" s="370"/>
      <c r="N109" s="368"/>
    </row>
    <row r="110" spans="1:14" ht="15" customHeight="1" x14ac:dyDescent="0.2">
      <c r="A110" s="622"/>
      <c r="B110" s="349" t="str">
        <f>Idiomas!D170</f>
        <v>3º GRUPO H</v>
      </c>
      <c r="C110" s="342" t="str">
        <f ca="1">IF(OR(SUM(WORLDCUP!$AN$62:$AN$65)=12,WORLDCUP!$AJ$99=144),WORLDCUP!AL64,B110)</f>
        <v>3º GRUPO H</v>
      </c>
      <c r="D110" s="650"/>
      <c r="E110" s="361"/>
      <c r="F110" s="361"/>
      <c r="G110" s="361"/>
      <c r="H110" s="361"/>
      <c r="I110" s="372"/>
      <c r="J110" s="361"/>
      <c r="K110" s="361"/>
      <c r="L110" s="361"/>
      <c r="M110" s="370"/>
      <c r="N110" s="368"/>
    </row>
    <row r="111" spans="1:14" ht="15" customHeight="1" x14ac:dyDescent="0.2">
      <c r="A111" s="622"/>
      <c r="B111" s="349" t="str">
        <f>Idiomas!D171</f>
        <v>4º GRUPO H</v>
      </c>
      <c r="C111" s="342" t="str">
        <f ca="1">IF(OR(SUM(WORLDCUP!$AN$62:$AN$65)=12,WORLDCUP!$AJ$99=144),WORLDCUP!AL65,B111)</f>
        <v>4º GRUPO H</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1º GRUPO I</v>
      </c>
      <c r="D112" s="650"/>
      <c r="E112" s="361"/>
      <c r="F112" s="361"/>
      <c r="G112" s="361"/>
      <c r="H112" s="361"/>
      <c r="I112" s="372"/>
      <c r="J112" s="361"/>
      <c r="K112" s="361"/>
      <c r="L112" s="361"/>
      <c r="M112" s="370"/>
      <c r="N112" s="368"/>
    </row>
    <row r="113" spans="1:14" ht="15" customHeight="1" x14ac:dyDescent="0.2">
      <c r="A113" s="622"/>
      <c r="B113" s="351" t="str">
        <f>Idiomas!D173</f>
        <v>2º GRUPO I</v>
      </c>
      <c r="C113" s="342" t="str">
        <f ca="1">IF(OR(SUM(WORLDCUP!$AN$70:$AN$73)=12,WORLDCUP!$AJ$99=144),WORLDCUP!AL71,B113)</f>
        <v>2º GRUPO I</v>
      </c>
      <c r="D113" s="650"/>
      <c r="E113" s="361"/>
      <c r="F113" s="361"/>
      <c r="G113" s="361"/>
      <c r="H113" s="361"/>
      <c r="I113" s="372"/>
      <c r="J113" s="361"/>
      <c r="K113" s="361"/>
      <c r="L113" s="361"/>
      <c r="M113" s="370"/>
      <c r="N113" s="368"/>
    </row>
    <row r="114" spans="1:14" ht="15" customHeight="1" x14ac:dyDescent="0.2">
      <c r="A114" s="622"/>
      <c r="B114" s="351" t="str">
        <f>Idiomas!D174</f>
        <v>3º GRUPO I</v>
      </c>
      <c r="C114" s="342" t="str">
        <f ca="1">IF(OR(SUM(WORLDCUP!$AN$70:$AN$73)=12,WORLDCUP!$AJ$99=144),WORLDCUP!AL72,B114)</f>
        <v>3º GRUPO I</v>
      </c>
      <c r="D114" s="650"/>
      <c r="E114" s="361"/>
      <c r="F114" s="361"/>
      <c r="G114" s="361"/>
      <c r="H114" s="361"/>
      <c r="I114" s="372"/>
      <c r="J114" s="361"/>
      <c r="K114" s="361"/>
      <c r="L114" s="361"/>
      <c r="M114" s="370"/>
      <c r="N114" s="368"/>
    </row>
    <row r="115" spans="1:14" ht="15" customHeight="1" x14ac:dyDescent="0.2">
      <c r="A115" s="622"/>
      <c r="B115" s="351" t="str">
        <f>Idiomas!D175</f>
        <v>4º GRUPO I</v>
      </c>
      <c r="C115" s="342" t="str">
        <f ca="1">IF(OR(SUM(WORLDCUP!$AN$70:$AN$73)=12,WORLDCUP!$AJ$99=144),WORLDCUP!AL73,B115)</f>
        <v>4º GRUPO I</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1º GRUPO J</v>
      </c>
      <c r="D116" s="650"/>
      <c r="E116" s="361"/>
      <c r="F116" s="361"/>
      <c r="G116" s="361"/>
      <c r="H116" s="361"/>
      <c r="I116" s="372"/>
      <c r="J116" s="361"/>
      <c r="K116" s="361"/>
      <c r="L116" s="361"/>
      <c r="M116" s="370"/>
      <c r="N116" s="368"/>
    </row>
    <row r="117" spans="1:14" ht="15" customHeight="1" x14ac:dyDescent="0.2">
      <c r="A117" s="622"/>
      <c r="B117" s="349" t="str">
        <f>Idiomas!D177</f>
        <v>2º GRUPO J</v>
      </c>
      <c r="C117" s="342" t="str">
        <f ca="1">IF(OR(SUM(WORLDCUP!$AN$78:$AN$81)=12,WORLDCUP!$AJ$99=144),WORLDCUP!AL79,B117)</f>
        <v>2º GRUPO J</v>
      </c>
      <c r="D117" s="650"/>
      <c r="E117" s="361"/>
      <c r="F117" s="361"/>
      <c r="G117" s="361"/>
      <c r="H117" s="361"/>
      <c r="I117" s="372"/>
      <c r="J117" s="361"/>
      <c r="K117" s="361"/>
      <c r="L117" s="361"/>
      <c r="M117" s="370"/>
      <c r="N117" s="368"/>
    </row>
    <row r="118" spans="1:14" ht="15" customHeight="1" x14ac:dyDescent="0.2">
      <c r="A118" s="622"/>
      <c r="B118" s="349" t="str">
        <f>Idiomas!D178</f>
        <v>3º GRUPO J</v>
      </c>
      <c r="C118" s="342" t="str">
        <f ca="1">IF(OR(SUM(WORLDCUP!$AN$78:$AN$81)=12,WORLDCUP!$AJ$99=144),WORLDCUP!AL80,B118)</f>
        <v>3º GRUPO J</v>
      </c>
      <c r="D118" s="650"/>
      <c r="E118" s="361"/>
      <c r="F118" s="361"/>
      <c r="G118" s="361"/>
      <c r="H118" s="361"/>
      <c r="I118" s="372"/>
      <c r="J118" s="361"/>
      <c r="K118" s="361"/>
      <c r="L118" s="361"/>
      <c r="M118" s="370"/>
      <c r="N118" s="368"/>
    </row>
    <row r="119" spans="1:14" ht="15" customHeight="1" x14ac:dyDescent="0.2">
      <c r="A119" s="622"/>
      <c r="B119" s="349" t="str">
        <f>Idiomas!D179</f>
        <v>4º GRUPO J</v>
      </c>
      <c r="C119" s="342" t="str">
        <f ca="1">IF(OR(SUM(WORLDCUP!$AN$78:$AN$81)=12,WORLDCUP!$AJ$99=144),WORLDCUP!AL81,B119)</f>
        <v>4º GRUPO J</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1º GRUPO K</v>
      </c>
      <c r="D120" s="650"/>
      <c r="E120" s="361"/>
      <c r="F120" s="361"/>
      <c r="G120" s="361"/>
      <c r="H120" s="361"/>
      <c r="I120" s="372"/>
      <c r="J120" s="361"/>
      <c r="K120" s="361"/>
      <c r="L120" s="361"/>
      <c r="M120" s="370"/>
      <c r="N120" s="368"/>
    </row>
    <row r="121" spans="1:14" ht="15" customHeight="1" x14ac:dyDescent="0.2">
      <c r="A121" s="622"/>
      <c r="B121" s="351" t="str">
        <f>Idiomas!D181</f>
        <v>2º GRUPO K</v>
      </c>
      <c r="C121" s="342" t="str">
        <f ca="1">IF(OR(SUM(WORLDCUP!$AN$86:$AN$89)=12,WORLDCUP!$AJ$99=144),WORLDCUP!AL87,B121)</f>
        <v>2º GRUPO K</v>
      </c>
      <c r="D121" s="650"/>
      <c r="E121" s="361"/>
      <c r="F121" s="361"/>
      <c r="G121" s="361"/>
      <c r="H121" s="361"/>
      <c r="I121" s="372"/>
      <c r="J121" s="361"/>
      <c r="K121" s="361"/>
      <c r="L121" s="361"/>
      <c r="M121" s="370"/>
      <c r="N121" s="368"/>
    </row>
    <row r="122" spans="1:14" ht="15" customHeight="1" x14ac:dyDescent="0.2">
      <c r="A122" s="622"/>
      <c r="B122" s="351" t="str">
        <f>Idiomas!D182</f>
        <v>3º GRUPO K</v>
      </c>
      <c r="C122" s="342" t="str">
        <f ca="1">IF(OR(SUM(WORLDCUP!$AN$86:$AN$89)=12,WORLDCUP!$AJ$99=144),WORLDCUP!AL88,B122)</f>
        <v>3º GRUPO K</v>
      </c>
      <c r="D122" s="650"/>
      <c r="E122" s="361"/>
      <c r="F122" s="361"/>
      <c r="G122" s="361"/>
      <c r="H122" s="361"/>
      <c r="I122" s="372"/>
      <c r="J122" s="361"/>
      <c r="K122" s="361"/>
      <c r="L122" s="361"/>
      <c r="M122" s="370"/>
      <c r="N122" s="368"/>
    </row>
    <row r="123" spans="1:14" ht="15" customHeight="1" x14ac:dyDescent="0.2">
      <c r="A123" s="622"/>
      <c r="B123" s="351" t="str">
        <f>Idiomas!D183</f>
        <v>4º GRUPO K</v>
      </c>
      <c r="C123" s="342" t="str">
        <f ca="1">IF(OR(SUM(WORLDCUP!$AN$86:$AN$89)=12,WORLDCUP!$AJ$99=144),WORLDCUP!AL89,B123)</f>
        <v>4º GRUPO K</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1º GRUPO L</v>
      </c>
      <c r="D124" s="650"/>
      <c r="E124" s="361"/>
      <c r="F124" s="361"/>
      <c r="G124" s="361"/>
      <c r="H124" s="361"/>
      <c r="I124" s="372"/>
      <c r="J124" s="361"/>
      <c r="K124" s="361"/>
      <c r="L124" s="361"/>
      <c r="M124" s="370"/>
      <c r="N124" s="368"/>
    </row>
    <row r="125" spans="1:14" ht="15" customHeight="1" x14ac:dyDescent="0.2">
      <c r="A125" s="622"/>
      <c r="B125" s="349" t="str">
        <f>Idiomas!D185</f>
        <v>2º GRUPO L</v>
      </c>
      <c r="C125" s="342" t="str">
        <f ca="1">IF(OR(SUM(WORLDCUP!$AN$94:$AN$97)=12,WORLDCUP!$AJ$99=144),WORLDCUP!AL95,B125)</f>
        <v>2º GRUPO L</v>
      </c>
      <c r="D125" s="650"/>
      <c r="E125" s="361"/>
      <c r="F125" s="361"/>
      <c r="G125" s="361"/>
      <c r="H125" s="361"/>
      <c r="I125" s="372"/>
      <c r="J125" s="361"/>
      <c r="K125" s="361"/>
      <c r="L125" s="361"/>
      <c r="M125" s="370"/>
      <c r="N125" s="368"/>
    </row>
    <row r="126" spans="1:14" ht="15" customHeight="1" x14ac:dyDescent="0.2">
      <c r="A126" s="622"/>
      <c r="B126" s="349" t="str">
        <f>Idiomas!D186</f>
        <v>3º GRUPO L</v>
      </c>
      <c r="C126" s="342" t="str">
        <f ca="1">IF(OR(SUM(WORLDCUP!$AN$94:$AN$97)=12,WORLDCUP!$AJ$99=144),WORLDCUP!AL96,B126)</f>
        <v>3º GRUPO L</v>
      </c>
      <c r="D126" s="650"/>
      <c r="E126" s="361"/>
      <c r="F126" s="361"/>
      <c r="G126" s="361"/>
      <c r="H126" s="361"/>
      <c r="I126" s="372"/>
      <c r="J126" s="361"/>
      <c r="K126" s="361"/>
      <c r="L126" s="361"/>
      <c r="M126" s="370"/>
      <c r="N126" s="368"/>
    </row>
    <row r="127" spans="1:14" ht="15" customHeight="1" x14ac:dyDescent="0.2">
      <c r="A127" s="622"/>
      <c r="B127" s="349" t="str">
        <f>Idiomas!D187</f>
        <v>4º GRUPO L</v>
      </c>
      <c r="C127" s="342" t="str">
        <f ca="1">IF(OR(SUM(WORLDCUP!$AN$94:$AN$97)=12,WORLDCUP!$AJ$99=144),WORLDCUP!AL97,B127)</f>
        <v>4º GRUPO L</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2A</v>
      </c>
      <c r="D130" s="650"/>
      <c r="E130" s="361"/>
      <c r="F130" s="361"/>
      <c r="G130" s="361"/>
      <c r="H130" s="361"/>
      <c r="I130" s="372"/>
      <c r="J130" s="361"/>
      <c r="K130" s="361"/>
      <c r="L130" s="361"/>
      <c r="M130" s="370"/>
      <c r="N130" s="368"/>
    </row>
    <row r="131" spans="1:14" ht="15" customHeight="1" x14ac:dyDescent="0.2">
      <c r="A131" s="622"/>
      <c r="B131" s="352" t="str">
        <f t="shared" ref="B131:B145" si="0">B130</f>
        <v>Dieciseisavofinalista</v>
      </c>
      <c r="C131" s="342" t="str">
        <f ca="1">WORLDCUP!AA102</f>
        <v>1C</v>
      </c>
      <c r="D131" s="650"/>
      <c r="E131" s="361"/>
      <c r="F131" s="361"/>
      <c r="G131" s="361"/>
      <c r="H131" s="361"/>
      <c r="I131" s="372"/>
      <c r="J131" s="361"/>
      <c r="K131" s="361"/>
      <c r="L131" s="361"/>
      <c r="M131" s="370"/>
      <c r="N131" s="368"/>
    </row>
    <row r="132" spans="1:14" ht="15" customHeight="1" x14ac:dyDescent="0.2">
      <c r="A132" s="622"/>
      <c r="B132" s="352" t="str">
        <f t="shared" si="0"/>
        <v>Dieciseisavofinalista</v>
      </c>
      <c r="C132" s="342" t="str">
        <f ca="1">WORLDCUP!AA103</f>
        <v>1E</v>
      </c>
      <c r="D132" s="650"/>
      <c r="E132" s="361"/>
      <c r="F132" s="361"/>
      <c r="G132" s="361"/>
      <c r="H132" s="361"/>
      <c r="I132" s="372"/>
      <c r="J132" s="361"/>
      <c r="K132" s="361"/>
      <c r="L132" s="361"/>
      <c r="M132" s="370"/>
      <c r="N132" s="368"/>
    </row>
    <row r="133" spans="1:14" ht="15" customHeight="1" x14ac:dyDescent="0.2">
      <c r="A133" s="622"/>
      <c r="B133" s="352" t="str">
        <f t="shared" si="0"/>
        <v>Dieciseisavofinalista</v>
      </c>
      <c r="C133" s="342" t="str">
        <f ca="1">WORLDCUP!AA104</f>
        <v>1F</v>
      </c>
      <c r="D133" s="650"/>
      <c r="E133" s="361"/>
      <c r="F133" s="361"/>
      <c r="G133" s="361"/>
      <c r="H133" s="361"/>
      <c r="I133" s="372"/>
      <c r="J133" s="361"/>
      <c r="K133" s="361"/>
      <c r="L133" s="361"/>
      <c r="M133" s="370"/>
      <c r="N133" s="368"/>
    </row>
    <row r="134" spans="1:14" ht="15" customHeight="1" x14ac:dyDescent="0.2">
      <c r="A134" s="622"/>
      <c r="B134" s="352" t="str">
        <f t="shared" si="0"/>
        <v>Dieciseisavofinalista</v>
      </c>
      <c r="C134" s="342" t="str">
        <f ca="1">WORLDCUP!AA105</f>
        <v>2E</v>
      </c>
      <c r="D134" s="650"/>
      <c r="E134" s="361"/>
      <c r="F134" s="361"/>
      <c r="G134" s="361"/>
      <c r="H134" s="361"/>
      <c r="I134" s="372"/>
      <c r="J134" s="361"/>
      <c r="K134" s="361"/>
      <c r="L134" s="361"/>
      <c r="M134" s="370"/>
      <c r="N134" s="368"/>
    </row>
    <row r="135" spans="1:14" ht="15" customHeight="1" x14ac:dyDescent="0.2">
      <c r="A135" s="622"/>
      <c r="B135" s="352" t="str">
        <f t="shared" si="0"/>
        <v>Dieciseisavofinalista</v>
      </c>
      <c r="C135" s="342" t="str">
        <f ca="1">WORLDCUP!AA106</f>
        <v>1I</v>
      </c>
      <c r="D135" s="650"/>
      <c r="E135" s="361"/>
      <c r="F135" s="361"/>
      <c r="G135" s="361"/>
      <c r="H135" s="361"/>
      <c r="I135" s="372"/>
      <c r="J135" s="361"/>
      <c r="K135" s="361"/>
      <c r="L135" s="361"/>
      <c r="M135" s="370"/>
      <c r="N135" s="368"/>
    </row>
    <row r="136" spans="1:14" ht="15" customHeight="1" x14ac:dyDescent="0.2">
      <c r="A136" s="622"/>
      <c r="B136" s="352" t="str">
        <f t="shared" si="0"/>
        <v>Dieciseisavofinalista</v>
      </c>
      <c r="C136" s="342" t="str">
        <f ca="1">WORLDCUP!AA107</f>
        <v>1A</v>
      </c>
      <c r="D136" s="650"/>
      <c r="E136" s="361"/>
      <c r="F136" s="361"/>
      <c r="G136" s="361"/>
      <c r="H136" s="361"/>
      <c r="I136" s="372"/>
      <c r="J136" s="361"/>
      <c r="K136" s="361"/>
      <c r="L136" s="361"/>
      <c r="M136" s="370"/>
      <c r="N136" s="368"/>
    </row>
    <row r="137" spans="1:14" ht="15" customHeight="1" x14ac:dyDescent="0.2">
      <c r="A137" s="622"/>
      <c r="B137" s="352" t="str">
        <f t="shared" si="0"/>
        <v>Dieciseisavofinalista</v>
      </c>
      <c r="C137" s="342" t="str">
        <f ca="1">WORLDCUP!AA108</f>
        <v>1L</v>
      </c>
      <c r="D137" s="650"/>
      <c r="E137" s="361"/>
      <c r="F137" s="361"/>
      <c r="G137" s="361"/>
      <c r="H137" s="361"/>
      <c r="I137" s="372"/>
      <c r="J137" s="361"/>
      <c r="K137" s="361"/>
      <c r="L137" s="361"/>
      <c r="M137" s="370"/>
      <c r="N137" s="368"/>
    </row>
    <row r="138" spans="1:14" ht="15" customHeight="1" x14ac:dyDescent="0.2">
      <c r="A138" s="622"/>
      <c r="B138" s="352" t="str">
        <f t="shared" si="0"/>
        <v>Dieciseisavofinalista</v>
      </c>
      <c r="C138" s="342" t="str">
        <f ca="1">WORLDCUP!AA109</f>
        <v>1G</v>
      </c>
      <c r="D138" s="650"/>
      <c r="E138" s="361"/>
      <c r="F138" s="361"/>
      <c r="G138" s="361"/>
      <c r="H138" s="361"/>
      <c r="I138" s="372"/>
      <c r="J138" s="361"/>
      <c r="K138" s="361"/>
      <c r="L138" s="361"/>
      <c r="M138" s="370"/>
      <c r="N138" s="368"/>
    </row>
    <row r="139" spans="1:14" ht="15" customHeight="1" x14ac:dyDescent="0.2">
      <c r="A139" s="622"/>
      <c r="B139" s="352" t="str">
        <f t="shared" si="0"/>
        <v>Dieciseisavofinalista</v>
      </c>
      <c r="C139" s="342" t="str">
        <f ca="1">WORLDCUP!AA110</f>
        <v>1D</v>
      </c>
      <c r="D139" s="650"/>
      <c r="E139" s="361"/>
      <c r="F139" s="361"/>
      <c r="G139" s="361"/>
      <c r="H139" s="361"/>
      <c r="I139" s="372"/>
      <c r="J139" s="361"/>
      <c r="K139" s="361"/>
      <c r="L139" s="361"/>
      <c r="M139" s="370"/>
      <c r="N139" s="368"/>
    </row>
    <row r="140" spans="1:14" ht="15" customHeight="1" x14ac:dyDescent="0.2">
      <c r="A140" s="622"/>
      <c r="B140" s="352" t="str">
        <f t="shared" si="0"/>
        <v>Dieciseisavofinalista</v>
      </c>
      <c r="C140" s="342" t="str">
        <f ca="1">WORLDCUP!AA111</f>
        <v>1H</v>
      </c>
      <c r="D140" s="650"/>
      <c r="E140" s="361"/>
      <c r="F140" s="361"/>
      <c r="G140" s="361"/>
      <c r="H140" s="361"/>
      <c r="I140" s="372"/>
      <c r="J140" s="361"/>
      <c r="K140" s="361"/>
      <c r="L140" s="361"/>
      <c r="M140" s="370"/>
      <c r="N140" s="368"/>
    </row>
    <row r="141" spans="1:14" ht="15" customHeight="1" x14ac:dyDescent="0.2">
      <c r="A141" s="622"/>
      <c r="B141" s="352" t="str">
        <f t="shared" si="0"/>
        <v>Dieciseisavofinalista</v>
      </c>
      <c r="C141" s="342" t="str">
        <f ca="1">WORLDCUP!AA112</f>
        <v>2K</v>
      </c>
      <c r="D141" s="650"/>
      <c r="E141" s="361"/>
      <c r="F141" s="361"/>
      <c r="G141" s="361"/>
      <c r="H141" s="361"/>
      <c r="I141" s="372"/>
      <c r="J141" s="361"/>
      <c r="K141" s="361"/>
      <c r="L141" s="361"/>
      <c r="M141" s="370"/>
      <c r="N141" s="368"/>
    </row>
    <row r="142" spans="1:14" ht="15" customHeight="1" x14ac:dyDescent="0.2">
      <c r="A142" s="622"/>
      <c r="B142" s="352" t="str">
        <f t="shared" si="0"/>
        <v>Dieciseisavofinalista</v>
      </c>
      <c r="C142" s="342" t="str">
        <f ca="1">WORLDCUP!AA113</f>
        <v>1B</v>
      </c>
      <c r="D142" s="650"/>
      <c r="E142" s="361"/>
      <c r="F142" s="361"/>
      <c r="G142" s="361"/>
      <c r="H142" s="361"/>
      <c r="I142" s="372"/>
      <c r="J142" s="361"/>
      <c r="K142" s="361"/>
      <c r="L142" s="361"/>
      <c r="M142" s="370"/>
      <c r="N142" s="368"/>
    </row>
    <row r="143" spans="1:14" ht="15" customHeight="1" x14ac:dyDescent="0.2">
      <c r="A143" s="622"/>
      <c r="B143" s="352" t="str">
        <f t="shared" si="0"/>
        <v>Dieciseisavofinalista</v>
      </c>
      <c r="C143" s="342" t="str">
        <f ca="1">WORLDCUP!AA114</f>
        <v>2D</v>
      </c>
      <c r="D143" s="650"/>
      <c r="E143" s="361"/>
      <c r="F143" s="361"/>
      <c r="G143" s="361"/>
      <c r="H143" s="361"/>
      <c r="I143" s="372"/>
      <c r="J143" s="361"/>
      <c r="K143" s="361"/>
      <c r="L143" s="361"/>
      <c r="M143" s="370"/>
      <c r="N143" s="368"/>
    </row>
    <row r="144" spans="1:14" ht="15" customHeight="1" x14ac:dyDescent="0.2">
      <c r="A144" s="622"/>
      <c r="B144" s="352" t="str">
        <f t="shared" si="0"/>
        <v>Dieciseisavofinalista</v>
      </c>
      <c r="C144" s="342" t="str">
        <f ca="1">WORLDCUP!AA115</f>
        <v>1J</v>
      </c>
      <c r="D144" s="650"/>
      <c r="E144" s="361"/>
      <c r="F144" s="361"/>
      <c r="G144" s="361"/>
      <c r="H144" s="361"/>
      <c r="I144" s="372"/>
      <c r="J144" s="361"/>
      <c r="K144" s="361"/>
      <c r="L144" s="361"/>
      <c r="M144" s="370"/>
      <c r="N144" s="368"/>
    </row>
    <row r="145" spans="1:14" ht="15" customHeight="1" x14ac:dyDescent="0.2">
      <c r="A145" s="622"/>
      <c r="B145" s="352" t="str">
        <f t="shared" si="0"/>
        <v>Dieciseisavofinalista</v>
      </c>
      <c r="C145" s="342" t="str">
        <f ca="1">WORLDCUP!AA116</f>
        <v>1K</v>
      </c>
      <c r="D145" s="650"/>
      <c r="E145" s="361"/>
      <c r="F145" s="361"/>
      <c r="G145" s="361"/>
      <c r="H145" s="361"/>
      <c r="I145" s="372"/>
      <c r="J145" s="361"/>
      <c r="K145" s="361"/>
      <c r="L145" s="361"/>
      <c r="M145" s="370"/>
      <c r="N145" s="368"/>
    </row>
    <row r="146" spans="1:14" ht="15" customHeight="1" x14ac:dyDescent="0.2">
      <c r="A146" s="622"/>
      <c r="B146" s="352" t="str">
        <f>Idiomas!$D$188</f>
        <v>Dieciseisavofinalista</v>
      </c>
      <c r="C146" s="342" t="str">
        <f ca="1">WORLDCUP!AF101</f>
        <v>2B</v>
      </c>
      <c r="D146" s="650"/>
      <c r="E146" s="361"/>
      <c r="F146" s="361"/>
      <c r="G146" s="361"/>
      <c r="H146" s="361"/>
      <c r="I146" s="372"/>
      <c r="J146" s="361"/>
      <c r="K146" s="361"/>
      <c r="L146" s="361"/>
      <c r="M146" s="370"/>
      <c r="N146" s="368"/>
    </row>
    <row r="147" spans="1:14" ht="15" customHeight="1" x14ac:dyDescent="0.2">
      <c r="A147" s="622"/>
      <c r="B147" s="352" t="str">
        <f t="shared" ref="B147:B161" si="1">B146</f>
        <v>Dieciseisavofinalista</v>
      </c>
      <c r="C147" s="342" t="str">
        <f ca="1">WORLDCUP!AF102</f>
        <v>2F</v>
      </c>
      <c r="D147" s="650"/>
      <c r="E147" s="361"/>
      <c r="F147" s="361"/>
      <c r="G147" s="361"/>
      <c r="H147" s="361"/>
      <c r="I147" s="372"/>
      <c r="J147" s="361"/>
      <c r="K147" s="361"/>
      <c r="L147" s="361"/>
      <c r="M147" s="370"/>
      <c r="N147" s="368"/>
    </row>
    <row r="148" spans="1:14" ht="15" customHeight="1" x14ac:dyDescent="0.2">
      <c r="A148" s="622"/>
      <c r="B148" s="352" t="str">
        <f t="shared" si="1"/>
        <v>Dieciseisavofinalista</v>
      </c>
      <c r="C148" s="342" t="str">
        <f ca="1">WORLDCUP!AF103</f>
        <v>3ABCDF</v>
      </c>
      <c r="D148" s="650"/>
      <c r="E148" s="361"/>
      <c r="F148" s="361"/>
      <c r="G148" s="361"/>
      <c r="H148" s="361"/>
      <c r="I148" s="372"/>
      <c r="J148" s="361"/>
      <c r="K148" s="361"/>
      <c r="L148" s="361"/>
      <c r="M148" s="370"/>
      <c r="N148" s="368"/>
    </row>
    <row r="149" spans="1:14" ht="15" customHeight="1" x14ac:dyDescent="0.2">
      <c r="A149" s="622"/>
      <c r="B149" s="352" t="str">
        <f t="shared" si="1"/>
        <v>Dieciseisavofinalista</v>
      </c>
      <c r="C149" s="342" t="str">
        <f ca="1">WORLDCUP!AF104</f>
        <v>2C</v>
      </c>
      <c r="D149" s="650"/>
      <c r="E149" s="361"/>
      <c r="F149" s="361"/>
      <c r="G149" s="361"/>
      <c r="H149" s="361"/>
      <c r="I149" s="372"/>
      <c r="J149" s="361"/>
      <c r="K149" s="361"/>
      <c r="L149" s="361"/>
      <c r="M149" s="370"/>
      <c r="N149" s="368"/>
    </row>
    <row r="150" spans="1:14" ht="15" customHeight="1" x14ac:dyDescent="0.2">
      <c r="A150" s="622"/>
      <c r="B150" s="352" t="str">
        <f t="shared" si="1"/>
        <v>Dieciseisavofinalista</v>
      </c>
      <c r="C150" s="342" t="str">
        <f ca="1">WORLDCUP!AF105</f>
        <v>2I</v>
      </c>
      <c r="D150" s="650"/>
      <c r="E150" s="361"/>
      <c r="F150" s="361"/>
      <c r="G150" s="361"/>
      <c r="H150" s="361"/>
      <c r="I150" s="372"/>
      <c r="J150" s="361"/>
      <c r="K150" s="361"/>
      <c r="L150" s="361"/>
      <c r="M150" s="370"/>
      <c r="N150" s="368"/>
    </row>
    <row r="151" spans="1:14" ht="15" customHeight="1" x14ac:dyDescent="0.2">
      <c r="A151" s="622"/>
      <c r="B151" s="352" t="str">
        <f t="shared" si="1"/>
        <v>Dieciseisavofinalista</v>
      </c>
      <c r="C151" s="342" t="str">
        <f ca="1">WORLDCUP!AF106</f>
        <v>3CDFGH</v>
      </c>
      <c r="D151" s="650"/>
      <c r="E151" s="361"/>
      <c r="F151" s="361"/>
      <c r="G151" s="361"/>
      <c r="H151" s="361"/>
      <c r="I151" s="372"/>
      <c r="J151" s="361"/>
      <c r="K151" s="361"/>
      <c r="L151" s="361"/>
      <c r="M151" s="370"/>
      <c r="N151" s="368"/>
    </row>
    <row r="152" spans="1:14" ht="15" customHeight="1" x14ac:dyDescent="0.2">
      <c r="A152" s="622"/>
      <c r="B152" s="352" t="str">
        <f t="shared" si="1"/>
        <v>Dieciseisavofinalista</v>
      </c>
      <c r="C152" s="342" t="str">
        <f ca="1">WORLDCUP!AF107</f>
        <v>3CEFHI</v>
      </c>
      <c r="D152" s="650"/>
      <c r="E152" s="361"/>
      <c r="F152" s="361"/>
      <c r="G152" s="361"/>
      <c r="H152" s="361"/>
      <c r="I152" s="372"/>
      <c r="J152" s="361"/>
      <c r="K152" s="361"/>
      <c r="L152" s="361"/>
      <c r="M152" s="370"/>
      <c r="N152" s="368"/>
    </row>
    <row r="153" spans="1:14" ht="15" customHeight="1" x14ac:dyDescent="0.2">
      <c r="A153" s="622"/>
      <c r="B153" s="352" t="str">
        <f t="shared" si="1"/>
        <v>Dieciseisavofinalista</v>
      </c>
      <c r="C153" s="342" t="str">
        <f ca="1">WORLDCUP!AF108</f>
        <v>3EHIJK</v>
      </c>
      <c r="D153" s="650"/>
      <c r="E153" s="361"/>
      <c r="F153" s="361"/>
      <c r="G153" s="361"/>
      <c r="H153" s="361"/>
      <c r="I153" s="372"/>
      <c r="J153" s="361"/>
      <c r="K153" s="361"/>
      <c r="L153" s="361"/>
      <c r="M153" s="370"/>
      <c r="N153" s="368"/>
    </row>
    <row r="154" spans="1:14" ht="15" customHeight="1" x14ac:dyDescent="0.2">
      <c r="A154" s="622"/>
      <c r="B154" s="352" t="str">
        <f t="shared" si="1"/>
        <v>Dieciseisavofinalista</v>
      </c>
      <c r="C154" s="342" t="str">
        <f ca="1">WORLDCUP!AF109</f>
        <v>3AEHIJ</v>
      </c>
      <c r="D154" s="650"/>
      <c r="E154" s="361"/>
      <c r="F154" s="361"/>
      <c r="G154" s="361"/>
      <c r="H154" s="361"/>
      <c r="I154" s="372"/>
      <c r="J154" s="361"/>
      <c r="K154" s="361"/>
      <c r="L154" s="361"/>
      <c r="M154" s="370"/>
      <c r="N154" s="368"/>
    </row>
    <row r="155" spans="1:14" ht="15" customHeight="1" x14ac:dyDescent="0.2">
      <c r="A155" s="622"/>
      <c r="B155" s="352" t="str">
        <f t="shared" si="1"/>
        <v>Dieciseisavofinalista</v>
      </c>
      <c r="C155" s="342" t="str">
        <f ca="1">WORLDCUP!AF110</f>
        <v>3BEFIJ</v>
      </c>
      <c r="D155" s="650"/>
      <c r="E155" s="361"/>
      <c r="F155" s="361"/>
      <c r="G155" s="361"/>
      <c r="H155" s="361"/>
      <c r="I155" s="372"/>
      <c r="J155" s="361"/>
      <c r="K155" s="361"/>
      <c r="L155" s="361"/>
      <c r="M155" s="370"/>
      <c r="N155" s="368"/>
    </row>
    <row r="156" spans="1:14" ht="15" customHeight="1" x14ac:dyDescent="0.2">
      <c r="A156" s="622"/>
      <c r="B156" s="352" t="str">
        <f t="shared" si="1"/>
        <v>Dieciseisavofinalista</v>
      </c>
      <c r="C156" s="342" t="str">
        <f ca="1">WORLDCUP!AF111</f>
        <v>2J</v>
      </c>
      <c r="D156" s="650"/>
      <c r="E156" s="361"/>
      <c r="F156" s="361"/>
      <c r="G156" s="361"/>
      <c r="H156" s="361"/>
      <c r="I156" s="372"/>
      <c r="J156" s="361"/>
      <c r="K156" s="361"/>
      <c r="L156" s="361"/>
      <c r="M156" s="370"/>
      <c r="N156" s="368"/>
    </row>
    <row r="157" spans="1:14" ht="15" customHeight="1" x14ac:dyDescent="0.2">
      <c r="A157" s="622"/>
      <c r="B157" s="352" t="str">
        <f t="shared" si="1"/>
        <v>Dieciseisavofinalista</v>
      </c>
      <c r="C157" s="342" t="str">
        <f ca="1">WORLDCUP!AF112</f>
        <v>2L</v>
      </c>
      <c r="D157" s="650"/>
      <c r="E157" s="361"/>
      <c r="F157" s="361"/>
      <c r="G157" s="361"/>
      <c r="H157" s="361"/>
      <c r="I157" s="372"/>
      <c r="J157" s="361"/>
      <c r="K157" s="361"/>
      <c r="L157" s="361"/>
      <c r="M157" s="370"/>
      <c r="N157" s="368"/>
    </row>
    <row r="158" spans="1:14" ht="15" customHeight="1" x14ac:dyDescent="0.2">
      <c r="A158" s="622"/>
      <c r="B158" s="352" t="str">
        <f t="shared" si="1"/>
        <v>Dieciseisavofinalista</v>
      </c>
      <c r="C158" s="342" t="str">
        <f ca="1">WORLDCUP!AF113</f>
        <v>3EFGIJ</v>
      </c>
      <c r="D158" s="650"/>
      <c r="E158" s="361"/>
      <c r="F158" s="361"/>
      <c r="G158" s="361"/>
      <c r="H158" s="361"/>
      <c r="I158" s="372"/>
      <c r="J158" s="361"/>
      <c r="K158" s="361"/>
      <c r="L158" s="361"/>
      <c r="M158" s="370"/>
      <c r="N158" s="368"/>
    </row>
    <row r="159" spans="1:14" ht="15" customHeight="1" x14ac:dyDescent="0.2">
      <c r="A159" s="622"/>
      <c r="B159" s="352" t="str">
        <f t="shared" si="1"/>
        <v>Dieciseisavofinalista</v>
      </c>
      <c r="C159" s="342" t="str">
        <f ca="1">WORLDCUP!AF114</f>
        <v>2G</v>
      </c>
      <c r="D159" s="650"/>
      <c r="E159" s="361"/>
      <c r="F159" s="361"/>
      <c r="G159" s="361"/>
      <c r="H159" s="361"/>
      <c r="I159" s="372"/>
      <c r="J159" s="361"/>
      <c r="K159" s="361"/>
      <c r="L159" s="361"/>
      <c r="M159" s="370"/>
      <c r="N159" s="368"/>
    </row>
    <row r="160" spans="1:14" ht="15" customHeight="1" x14ac:dyDescent="0.2">
      <c r="A160" s="622"/>
      <c r="B160" s="352" t="str">
        <f t="shared" si="1"/>
        <v>Dieciseisavofinalista</v>
      </c>
      <c r="C160" s="342" t="str">
        <f ca="1">WORLDCUP!AF115</f>
        <v>2H</v>
      </c>
      <c r="D160" s="650"/>
      <c r="E160" s="361"/>
      <c r="F160" s="361"/>
      <c r="G160" s="361"/>
      <c r="H160" s="361"/>
      <c r="I160" s="372"/>
      <c r="J160" s="361"/>
      <c r="K160" s="361"/>
      <c r="L160" s="361"/>
      <c r="M160" s="370"/>
      <c r="N160" s="368"/>
    </row>
    <row r="161" spans="1:14" ht="15" customHeight="1" x14ac:dyDescent="0.2">
      <c r="A161" s="622"/>
      <c r="B161" s="352" t="str">
        <f t="shared" si="1"/>
        <v>Dieciseisavofinalista</v>
      </c>
      <c r="C161" s="342" t="str">
        <f ca="1">WORLDCUP!AF116</f>
        <v>3DEIJL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2"/>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2"/>
      <c r="E165" s="650"/>
      <c r="F165" s="650"/>
      <c r="G165" s="650"/>
      <c r="H165" s="650"/>
      <c r="I165" s="345"/>
      <c r="J165" s="361"/>
      <c r="K165" s="361"/>
      <c r="L165" s="361"/>
      <c r="M165" s="377"/>
      <c r="N165" s="368"/>
    </row>
    <row r="166" spans="1:14" ht="15" customHeight="1" x14ac:dyDescent="0.2">
      <c r="A166" s="622"/>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2"/>
      <c r="E166" s="650"/>
      <c r="F166" s="650"/>
      <c r="G166" s="650"/>
      <c r="H166" s="650"/>
      <c r="I166" s="345"/>
      <c r="J166" s="361"/>
      <c r="K166" s="361"/>
      <c r="L166" s="361"/>
      <c r="M166" s="377"/>
      <c r="N166" s="368"/>
    </row>
    <row r="167" spans="1:14" ht="15" customHeight="1" x14ac:dyDescent="0.2">
      <c r="A167" s="622"/>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2"/>
      <c r="E167" s="650"/>
      <c r="F167" s="650"/>
      <c r="G167" s="650"/>
      <c r="H167" s="650"/>
      <c r="I167" s="345"/>
      <c r="J167" s="361"/>
      <c r="K167" s="361"/>
      <c r="L167" s="361"/>
      <c r="M167" s="377"/>
      <c r="N167" s="368"/>
    </row>
    <row r="168" spans="1:14" ht="15" customHeight="1" x14ac:dyDescent="0.2">
      <c r="A168" s="622"/>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2"/>
      <c r="E168" s="361"/>
      <c r="F168" s="361"/>
      <c r="G168" s="361"/>
      <c r="H168" s="361"/>
      <c r="I168" s="345"/>
      <c r="J168" s="361"/>
      <c r="K168" s="361"/>
      <c r="L168" s="361"/>
      <c r="M168" s="377"/>
      <c r="N168" s="368"/>
    </row>
    <row r="169" spans="1:14" ht="15" customHeight="1" x14ac:dyDescent="0.2">
      <c r="A169" s="622"/>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2"/>
      <c r="E169" s="361"/>
      <c r="F169" s="361"/>
      <c r="G169" s="361"/>
      <c r="H169" s="361"/>
      <c r="I169" s="345"/>
      <c r="J169" s="361"/>
      <c r="K169" s="361"/>
      <c r="L169" s="361"/>
      <c r="M169" s="377"/>
      <c r="N169" s="368"/>
    </row>
    <row r="170" spans="1:14" ht="15" customHeight="1" x14ac:dyDescent="0.2">
      <c r="A170" s="622"/>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2"/>
      <c r="E170" s="361"/>
      <c r="F170" s="361"/>
      <c r="G170" s="361"/>
      <c r="H170" s="361"/>
      <c r="I170" s="345"/>
      <c r="J170" s="361"/>
      <c r="K170" s="361"/>
      <c r="L170" s="361"/>
      <c r="M170" s="377"/>
      <c r="N170" s="368"/>
    </row>
    <row r="171" spans="1:14" ht="15" customHeight="1" x14ac:dyDescent="0.2">
      <c r="A171" s="622"/>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2"/>
      <c r="E171" s="361"/>
      <c r="F171" s="361"/>
      <c r="G171" s="361"/>
      <c r="H171" s="361"/>
      <c r="I171" s="345"/>
      <c r="J171" s="361"/>
      <c r="K171" s="361"/>
      <c r="L171" s="361"/>
      <c r="M171" s="377"/>
      <c r="N171" s="368"/>
    </row>
    <row r="172" spans="1:14" ht="15" customHeight="1" x14ac:dyDescent="0.2">
      <c r="A172" s="622"/>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2"/>
      <c r="E172" s="361"/>
      <c r="F172" s="361"/>
      <c r="G172" s="361"/>
      <c r="H172" s="361"/>
      <c r="I172" s="345"/>
      <c r="J172" s="361"/>
      <c r="K172" s="361"/>
      <c r="L172" s="361"/>
      <c r="M172" s="377"/>
      <c r="N172" s="368"/>
    </row>
    <row r="173" spans="1:14" ht="15" customHeight="1" x14ac:dyDescent="0.2">
      <c r="A173" s="622"/>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2"/>
      <c r="E173" s="361"/>
      <c r="F173" s="361"/>
      <c r="G173" s="361"/>
      <c r="H173" s="361"/>
      <c r="I173" s="345"/>
      <c r="J173" s="361"/>
      <c r="K173" s="361"/>
      <c r="L173" s="361"/>
      <c r="M173" s="377"/>
      <c r="N173" s="368"/>
    </row>
    <row r="174" spans="1:14" ht="15" customHeight="1" x14ac:dyDescent="0.2">
      <c r="A174" s="622"/>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2"/>
      <c r="E174" s="361"/>
      <c r="F174" s="361"/>
      <c r="G174" s="361"/>
      <c r="H174" s="361"/>
      <c r="I174" s="345"/>
      <c r="J174" s="361"/>
      <c r="K174" s="361"/>
      <c r="L174" s="361"/>
      <c r="M174" s="377"/>
      <c r="N174" s="368"/>
    </row>
    <row r="175" spans="1:14" ht="15" customHeight="1" x14ac:dyDescent="0.2">
      <c r="A175" s="622"/>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2"/>
      <c r="E175" s="361"/>
      <c r="F175" s="361"/>
      <c r="G175" s="361"/>
      <c r="H175" s="361"/>
      <c r="I175" s="345"/>
      <c r="J175" s="361"/>
      <c r="K175" s="361"/>
      <c r="L175" s="361"/>
      <c r="M175" s="377"/>
      <c r="N175" s="368"/>
    </row>
    <row r="176" spans="1:14" ht="15" customHeight="1" x14ac:dyDescent="0.2">
      <c r="A176" s="622"/>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2"/>
      <c r="E176" s="361"/>
      <c r="F176" s="361"/>
      <c r="G176" s="361"/>
      <c r="H176" s="361"/>
      <c r="I176" s="345"/>
      <c r="J176" s="361"/>
      <c r="K176" s="361"/>
      <c r="L176" s="361"/>
      <c r="M176" s="377"/>
      <c r="N176" s="368"/>
    </row>
    <row r="177" spans="1:14" ht="15" customHeight="1" x14ac:dyDescent="0.2">
      <c r="A177" s="622"/>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2"/>
      <c r="E177" s="361"/>
      <c r="F177" s="361"/>
      <c r="G177" s="361"/>
      <c r="H177" s="361"/>
      <c r="I177" s="345"/>
      <c r="J177" s="361"/>
      <c r="K177" s="361"/>
      <c r="L177" s="361"/>
      <c r="M177" s="377"/>
      <c r="N177" s="368"/>
    </row>
    <row r="178" spans="1:14" ht="15" customHeight="1" x14ac:dyDescent="0.2">
      <c r="A178" s="622"/>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2"/>
      <c r="E178" s="361"/>
      <c r="F178" s="361"/>
      <c r="G178" s="361"/>
      <c r="H178" s="361"/>
      <c r="I178" s="345"/>
      <c r="J178" s="361"/>
      <c r="K178" s="361"/>
      <c r="L178" s="361"/>
      <c r="M178" s="377"/>
      <c r="N178" s="368"/>
    </row>
    <row r="179" spans="1:14" ht="15" customHeight="1" x14ac:dyDescent="0.2">
      <c r="A179" s="622"/>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2"/>
      <c r="E179" s="361"/>
      <c r="F179" s="361"/>
      <c r="G179" s="361"/>
      <c r="H179" s="361"/>
      <c r="I179" s="345"/>
      <c r="J179" s="361"/>
      <c r="K179" s="361"/>
      <c r="L179" s="361"/>
      <c r="M179" s="377"/>
      <c r="N179" s="368"/>
    </row>
    <row r="180" spans="1:14" ht="15" customHeight="1" x14ac:dyDescent="0.2">
      <c r="A180" s="223"/>
      <c r="B180" s="223"/>
      <c r="C180" s="343"/>
      <c r="D180" s="622"/>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2"/>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2"/>
      <c r="E182" s="361"/>
      <c r="F182" s="361"/>
      <c r="G182" s="361"/>
      <c r="H182" s="361"/>
      <c r="I182" s="345"/>
      <c r="J182" s="361"/>
      <c r="K182" s="361"/>
      <c r="L182" s="361"/>
      <c r="M182" s="377"/>
      <c r="N182" s="368"/>
    </row>
    <row r="183" spans="1:14" ht="15" customHeight="1" x14ac:dyDescent="0.2">
      <c r="A183" s="622"/>
      <c r="B183" s="352" t="str">
        <f t="shared" ref="B183:B197" si="2">B182</f>
        <v>Octavofinalista</v>
      </c>
      <c r="C183" s="342" t="str">
        <f>WORLDCUP!AA121</f>
        <v>W74</v>
      </c>
      <c r="D183" s="622"/>
      <c r="E183" s="361"/>
      <c r="F183" s="361"/>
      <c r="G183" s="361"/>
      <c r="H183" s="361"/>
      <c r="I183" s="345"/>
      <c r="J183" s="361"/>
      <c r="K183" s="361"/>
      <c r="L183" s="361"/>
      <c r="M183" s="377"/>
      <c r="N183" s="368"/>
    </row>
    <row r="184" spans="1:14" ht="15" customHeight="1" x14ac:dyDescent="0.2">
      <c r="A184" s="622"/>
      <c r="B184" s="352" t="str">
        <f t="shared" si="2"/>
        <v>Octavofinalista</v>
      </c>
      <c r="C184" s="342" t="str">
        <f>WORLDCUP!AA122</f>
        <v>W76</v>
      </c>
      <c r="D184" s="622"/>
      <c r="E184" s="361"/>
      <c r="F184" s="361"/>
      <c r="G184" s="361"/>
      <c r="H184" s="361"/>
      <c r="I184" s="345"/>
      <c r="J184" s="361"/>
      <c r="K184" s="361"/>
      <c r="L184" s="361"/>
      <c r="M184" s="377"/>
      <c r="N184" s="368"/>
    </row>
    <row r="185" spans="1:14" ht="15" customHeight="1" x14ac:dyDescent="0.2">
      <c r="A185" s="622"/>
      <c r="B185" s="352" t="str">
        <f t="shared" si="2"/>
        <v>Octavofinalista</v>
      </c>
      <c r="C185" s="342" t="str">
        <f>WORLDCUP!AA123</f>
        <v>W79</v>
      </c>
      <c r="D185" s="622"/>
      <c r="E185" s="361"/>
      <c r="F185" s="361"/>
      <c r="G185" s="361"/>
      <c r="H185" s="361"/>
      <c r="I185" s="345"/>
      <c r="J185" s="361"/>
      <c r="K185" s="361"/>
      <c r="L185" s="361"/>
      <c r="M185" s="377"/>
      <c r="N185" s="368"/>
    </row>
    <row r="186" spans="1:14" ht="15" customHeight="1" x14ac:dyDescent="0.2">
      <c r="A186" s="622"/>
      <c r="B186" s="352" t="str">
        <f t="shared" si="2"/>
        <v>Octavofinalista</v>
      </c>
      <c r="C186" s="342" t="str">
        <f>WORLDCUP!AA124</f>
        <v>W83</v>
      </c>
      <c r="D186" s="622"/>
      <c r="E186" s="361"/>
      <c r="F186" s="361"/>
      <c r="G186" s="361"/>
      <c r="H186" s="361"/>
      <c r="I186" s="345"/>
      <c r="J186" s="361"/>
      <c r="K186" s="361"/>
      <c r="L186" s="361"/>
      <c r="M186" s="377"/>
      <c r="N186" s="368"/>
    </row>
    <row r="187" spans="1:14" ht="15" customHeight="1" x14ac:dyDescent="0.2">
      <c r="A187" s="622"/>
      <c r="B187" s="352" t="str">
        <f t="shared" si="2"/>
        <v>Octavofinalista</v>
      </c>
      <c r="C187" s="342" t="str">
        <f>WORLDCUP!AA125</f>
        <v>W81</v>
      </c>
      <c r="D187" s="622"/>
      <c r="E187" s="361"/>
      <c r="F187" s="361"/>
      <c r="G187" s="361"/>
      <c r="H187" s="361"/>
      <c r="I187" s="345"/>
      <c r="J187" s="361"/>
      <c r="K187" s="361"/>
      <c r="L187" s="361"/>
      <c r="M187" s="377"/>
      <c r="N187" s="368"/>
    </row>
    <row r="188" spans="1:14" ht="15" customHeight="1" x14ac:dyDescent="0.2">
      <c r="A188" s="622"/>
      <c r="B188" s="352" t="str">
        <f t="shared" si="2"/>
        <v>Octavofinalista</v>
      </c>
      <c r="C188" s="342" t="str">
        <f>WORLDCUP!AA126</f>
        <v>W86</v>
      </c>
      <c r="D188" s="622"/>
      <c r="E188" s="361"/>
      <c r="F188" s="361"/>
      <c r="G188" s="361"/>
      <c r="H188" s="361"/>
      <c r="I188" s="345"/>
      <c r="J188" s="361"/>
      <c r="K188" s="361"/>
      <c r="L188" s="361"/>
      <c r="M188" s="377"/>
      <c r="N188" s="368"/>
    </row>
    <row r="189" spans="1:14" ht="15" customHeight="1" x14ac:dyDescent="0.2">
      <c r="A189" s="622"/>
      <c r="B189" s="352" t="str">
        <f t="shared" si="2"/>
        <v>Octavofinalista</v>
      </c>
      <c r="C189" s="342" t="str">
        <f>WORLDCUP!AA127</f>
        <v>W85</v>
      </c>
      <c r="D189" s="622"/>
      <c r="E189" s="361"/>
      <c r="F189" s="361"/>
      <c r="G189" s="361"/>
      <c r="H189" s="361"/>
      <c r="I189" s="345"/>
      <c r="J189" s="361"/>
      <c r="K189" s="361"/>
      <c r="L189" s="361"/>
      <c r="M189" s="377"/>
      <c r="N189" s="368"/>
    </row>
    <row r="190" spans="1:14" ht="15" customHeight="1" x14ac:dyDescent="0.2">
      <c r="A190" s="622"/>
      <c r="B190" s="352" t="str">
        <f t="shared" si="2"/>
        <v>Octavofinalista</v>
      </c>
      <c r="C190" s="342" t="str">
        <f>WORLDCUP!AF120</f>
        <v>W75</v>
      </c>
      <c r="D190" s="622"/>
      <c r="E190" s="361"/>
      <c r="F190" s="361"/>
      <c r="G190" s="361"/>
      <c r="H190" s="361"/>
      <c r="I190" s="345"/>
      <c r="J190" s="361"/>
      <c r="K190" s="361"/>
      <c r="L190" s="361"/>
      <c r="M190" s="377"/>
      <c r="N190" s="368"/>
    </row>
    <row r="191" spans="1:14" ht="15" customHeight="1" x14ac:dyDescent="0.2">
      <c r="A191" s="622"/>
      <c r="B191" s="352" t="str">
        <f t="shared" si="2"/>
        <v>Octavofinalista</v>
      </c>
      <c r="C191" s="342" t="str">
        <f>WORLDCUP!AF121</f>
        <v>W77</v>
      </c>
      <c r="D191" s="622"/>
      <c r="E191" s="361"/>
      <c r="F191" s="361"/>
      <c r="G191" s="361"/>
      <c r="H191" s="361"/>
      <c r="I191" s="345"/>
      <c r="J191" s="361"/>
      <c r="K191" s="361"/>
      <c r="L191" s="361"/>
      <c r="M191" s="377"/>
      <c r="N191" s="368"/>
    </row>
    <row r="192" spans="1:14" ht="15" customHeight="1" x14ac:dyDescent="0.2">
      <c r="A192" s="622"/>
      <c r="B192" s="352" t="str">
        <f t="shared" si="2"/>
        <v>Octavofinalista</v>
      </c>
      <c r="C192" s="342" t="str">
        <f>WORLDCUP!AF122</f>
        <v>W78</v>
      </c>
      <c r="D192" s="622"/>
      <c r="E192" s="361"/>
      <c r="F192" s="361"/>
      <c r="G192" s="361"/>
      <c r="H192" s="361"/>
      <c r="I192" s="345"/>
      <c r="J192" s="361"/>
      <c r="K192" s="361"/>
      <c r="L192" s="361"/>
      <c r="M192" s="377"/>
      <c r="N192" s="368"/>
    </row>
    <row r="193" spans="1:14" ht="15" customHeight="1" x14ac:dyDescent="0.2">
      <c r="A193" s="622"/>
      <c r="B193" s="352" t="str">
        <f t="shared" si="2"/>
        <v>Octavofinalista</v>
      </c>
      <c r="C193" s="342" t="str">
        <f>WORLDCUP!AF123</f>
        <v>W80</v>
      </c>
      <c r="D193" s="622"/>
      <c r="E193" s="361"/>
      <c r="F193" s="361"/>
      <c r="G193" s="361"/>
      <c r="H193" s="361"/>
      <c r="I193" s="345"/>
      <c r="J193" s="361"/>
      <c r="K193" s="361"/>
      <c r="L193" s="361"/>
      <c r="M193" s="377"/>
      <c r="N193" s="368"/>
    </row>
    <row r="194" spans="1:14" ht="15" customHeight="1" x14ac:dyDescent="0.2">
      <c r="A194" s="622"/>
      <c r="B194" s="352" t="str">
        <f t="shared" si="2"/>
        <v>Octavofinalista</v>
      </c>
      <c r="C194" s="342" t="str">
        <f>WORLDCUP!AF124</f>
        <v>W84</v>
      </c>
      <c r="D194" s="622"/>
      <c r="E194" s="361"/>
      <c r="F194" s="361"/>
      <c r="G194" s="361"/>
      <c r="H194" s="361"/>
      <c r="I194" s="345"/>
      <c r="J194" s="361"/>
      <c r="K194" s="361"/>
      <c r="L194" s="361"/>
      <c r="M194" s="377"/>
      <c r="N194" s="368"/>
    </row>
    <row r="195" spans="1:14" ht="15" customHeight="1" x14ac:dyDescent="0.2">
      <c r="A195" s="622"/>
      <c r="B195" s="352" t="str">
        <f t="shared" si="2"/>
        <v>Octavofinalista</v>
      </c>
      <c r="C195" s="342" t="str">
        <f>WORLDCUP!AF125</f>
        <v>W82</v>
      </c>
      <c r="D195" s="622"/>
      <c r="E195" s="361"/>
      <c r="F195" s="361"/>
      <c r="G195" s="361"/>
      <c r="H195" s="361"/>
      <c r="I195" s="345"/>
      <c r="J195" s="361"/>
      <c r="K195" s="361"/>
      <c r="L195" s="361"/>
      <c r="M195" s="377"/>
      <c r="N195" s="368"/>
    </row>
    <row r="196" spans="1:14" ht="15" customHeight="1" x14ac:dyDescent="0.2">
      <c r="A196" s="622"/>
      <c r="B196" s="352" t="str">
        <f t="shared" si="2"/>
        <v>Octavofinalista</v>
      </c>
      <c r="C196" s="342" t="str">
        <f>WORLDCUP!AF126</f>
        <v>W88</v>
      </c>
      <c r="D196" s="622"/>
      <c r="E196" s="361"/>
      <c r="F196" s="361"/>
      <c r="G196" s="361"/>
      <c r="H196" s="361"/>
      <c r="I196" s="345"/>
      <c r="J196" s="361"/>
      <c r="K196" s="361"/>
      <c r="L196" s="361"/>
      <c r="M196" s="377"/>
      <c r="N196" s="368"/>
    </row>
    <row r="197" spans="1:14" ht="15" customHeight="1" x14ac:dyDescent="0.2">
      <c r="A197" s="622"/>
      <c r="B197" s="352" t="str">
        <f t="shared" si="2"/>
        <v>Octavofinalista</v>
      </c>
      <c r="C197" s="342" t="str">
        <f>WORLDCUP!AF127</f>
        <v>W87</v>
      </c>
      <c r="D197" s="622"/>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2"/>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2"/>
      <c r="E201" s="650"/>
      <c r="F201" s="650"/>
      <c r="G201" s="650"/>
      <c r="H201" s="650"/>
      <c r="I201" s="345"/>
      <c r="J201" s="361"/>
      <c r="K201" s="361"/>
      <c r="L201" s="361"/>
      <c r="M201" s="377"/>
      <c r="N201" s="368"/>
    </row>
    <row r="202" spans="1:14" ht="15" customHeight="1" x14ac:dyDescent="0.2">
      <c r="A202" s="622"/>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2"/>
      <c r="E202" s="650"/>
      <c r="F202" s="650"/>
      <c r="G202" s="650"/>
      <c r="H202" s="650"/>
      <c r="I202" s="345"/>
      <c r="J202" s="361"/>
      <c r="K202" s="361"/>
      <c r="L202" s="361"/>
      <c r="M202" s="377"/>
      <c r="N202" s="368"/>
    </row>
    <row r="203" spans="1:14" ht="15" customHeight="1" x14ac:dyDescent="0.2">
      <c r="A203" s="622"/>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2"/>
      <c r="E203" s="650"/>
      <c r="F203" s="650"/>
      <c r="G203" s="650"/>
      <c r="H203" s="650"/>
      <c r="I203" s="345"/>
      <c r="J203" s="361"/>
      <c r="K203" s="361"/>
      <c r="L203" s="361"/>
      <c r="M203" s="377"/>
      <c r="N203" s="368"/>
    </row>
    <row r="204" spans="1:14" ht="15" customHeight="1" x14ac:dyDescent="0.2">
      <c r="A204" s="622"/>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2"/>
      <c r="E204" s="345"/>
      <c r="F204" s="345"/>
      <c r="G204" s="345"/>
      <c r="H204" s="345"/>
      <c r="I204" s="345"/>
      <c r="J204" s="361"/>
      <c r="K204" s="361"/>
      <c r="L204" s="361"/>
      <c r="M204" s="377"/>
      <c r="N204" s="368"/>
    </row>
    <row r="205" spans="1:14" ht="15" customHeight="1" x14ac:dyDescent="0.2">
      <c r="A205" s="622"/>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2"/>
      <c r="E205" s="345"/>
      <c r="F205" s="345"/>
      <c r="G205" s="345"/>
      <c r="H205" s="345"/>
      <c r="I205" s="345"/>
      <c r="J205" s="361"/>
      <c r="K205" s="361"/>
      <c r="L205" s="361"/>
      <c r="M205" s="377"/>
      <c r="N205" s="368"/>
    </row>
    <row r="206" spans="1:14" ht="15" customHeight="1" x14ac:dyDescent="0.2">
      <c r="A206" s="622"/>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2"/>
      <c r="E206" s="345"/>
      <c r="F206" s="345"/>
      <c r="G206" s="345"/>
      <c r="H206" s="345"/>
      <c r="I206" s="345"/>
      <c r="J206" s="361"/>
      <c r="K206" s="361"/>
      <c r="L206" s="361"/>
      <c r="M206" s="377"/>
      <c r="N206" s="368"/>
    </row>
    <row r="207" spans="1:14" ht="15" customHeight="1" x14ac:dyDescent="0.2">
      <c r="A207" s="622"/>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2"/>
      <c r="E207" s="345"/>
      <c r="F207" s="345"/>
      <c r="G207" s="345"/>
      <c r="H207" s="345"/>
      <c r="I207" s="345"/>
      <c r="J207" s="361"/>
      <c r="K207" s="361"/>
      <c r="L207" s="361"/>
      <c r="M207" s="377"/>
      <c r="N207" s="368"/>
    </row>
    <row r="208" spans="1:14" ht="15" customHeight="1" x14ac:dyDescent="0.2">
      <c r="A208" s="223"/>
      <c r="B208" s="223"/>
      <c r="C208" s="343"/>
      <c r="D208" s="622"/>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2"/>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2"/>
      <c r="E210" s="361"/>
      <c r="F210" s="361"/>
      <c r="G210" s="361"/>
      <c r="H210" s="361"/>
      <c r="I210" s="345"/>
      <c r="J210" s="361"/>
      <c r="K210" s="361"/>
      <c r="L210" s="361"/>
      <c r="M210" s="377"/>
      <c r="N210" s="368"/>
    </row>
    <row r="211" spans="1:14" ht="15" customHeight="1" x14ac:dyDescent="0.2">
      <c r="A211" s="622"/>
      <c r="B211" s="352" t="str">
        <f t="shared" ref="B211:B217" si="3">B210</f>
        <v>Cuartofinalista</v>
      </c>
      <c r="C211" s="342" t="str">
        <f>WORLDCUP!AA132</f>
        <v>W93</v>
      </c>
      <c r="D211" s="622"/>
      <c r="E211" s="361"/>
      <c r="F211" s="361"/>
      <c r="G211" s="361"/>
      <c r="H211" s="361"/>
      <c r="I211" s="345"/>
      <c r="J211" s="361"/>
      <c r="K211" s="361"/>
      <c r="L211" s="361"/>
      <c r="M211" s="377"/>
      <c r="N211" s="368"/>
    </row>
    <row r="212" spans="1:14" ht="15" customHeight="1" x14ac:dyDescent="0.2">
      <c r="A212" s="622"/>
      <c r="B212" s="352" t="str">
        <f t="shared" si="3"/>
        <v>Cuartofinalista</v>
      </c>
      <c r="C212" s="342" t="str">
        <f>WORLDCUP!AA133</f>
        <v>W91</v>
      </c>
      <c r="D212" s="622"/>
      <c r="E212" s="361"/>
      <c r="F212" s="361"/>
      <c r="G212" s="361"/>
      <c r="H212" s="361"/>
      <c r="I212" s="345"/>
      <c r="J212" s="361"/>
      <c r="K212" s="361"/>
      <c r="L212" s="361"/>
      <c r="M212" s="377"/>
      <c r="N212" s="368"/>
    </row>
    <row r="213" spans="1:14" ht="15" customHeight="1" x14ac:dyDescent="0.2">
      <c r="A213" s="622"/>
      <c r="B213" s="352" t="str">
        <f t="shared" si="3"/>
        <v>Cuartofinalista</v>
      </c>
      <c r="C213" s="342" t="str">
        <f>WORLDCUP!AA134</f>
        <v>W95</v>
      </c>
      <c r="D213" s="622"/>
      <c r="E213" s="361"/>
      <c r="F213" s="361"/>
      <c r="G213" s="361"/>
      <c r="H213" s="361"/>
      <c r="I213" s="345"/>
      <c r="J213" s="361"/>
      <c r="K213" s="361"/>
      <c r="L213" s="361"/>
      <c r="M213" s="377"/>
      <c r="N213" s="368"/>
    </row>
    <row r="214" spans="1:14" ht="15" customHeight="1" x14ac:dyDescent="0.2">
      <c r="A214" s="622"/>
      <c r="B214" s="352" t="str">
        <f t="shared" si="3"/>
        <v>Cuartofinalista</v>
      </c>
      <c r="C214" s="342" t="str">
        <f>WORLDCUP!AF131</f>
        <v>W90</v>
      </c>
      <c r="D214" s="622"/>
      <c r="E214" s="361"/>
      <c r="F214" s="361"/>
      <c r="G214" s="361"/>
      <c r="H214" s="361"/>
      <c r="I214" s="345"/>
      <c r="J214" s="361"/>
      <c r="K214" s="361"/>
      <c r="L214" s="361"/>
      <c r="M214" s="377"/>
      <c r="N214" s="368"/>
    </row>
    <row r="215" spans="1:14" ht="15" customHeight="1" x14ac:dyDescent="0.2">
      <c r="A215" s="622"/>
      <c r="B215" s="352" t="str">
        <f t="shared" si="3"/>
        <v>Cuartofinalista</v>
      </c>
      <c r="C215" s="342" t="str">
        <f>WORLDCUP!AF132</f>
        <v>W94</v>
      </c>
      <c r="D215" s="622"/>
      <c r="E215" s="361"/>
      <c r="F215" s="361"/>
      <c r="G215" s="361"/>
      <c r="H215" s="361"/>
      <c r="I215" s="345"/>
      <c r="J215" s="361"/>
      <c r="K215" s="361"/>
      <c r="L215" s="361"/>
      <c r="M215" s="377"/>
      <c r="N215" s="368"/>
    </row>
    <row r="216" spans="1:14" ht="15" customHeight="1" x14ac:dyDescent="0.2">
      <c r="A216" s="622"/>
      <c r="B216" s="352" t="str">
        <f t="shared" si="3"/>
        <v>Cuartofinalista</v>
      </c>
      <c r="C216" s="342" t="str">
        <f>WORLDCUP!AF133</f>
        <v>W92</v>
      </c>
      <c r="D216" s="622"/>
      <c r="E216" s="361"/>
      <c r="F216" s="361"/>
      <c r="G216" s="361"/>
      <c r="H216" s="361"/>
      <c r="I216" s="345"/>
      <c r="J216" s="361"/>
      <c r="K216" s="361"/>
      <c r="L216" s="361"/>
      <c r="M216" s="377"/>
      <c r="N216" s="368"/>
    </row>
    <row r="217" spans="1:14" ht="15" customHeight="1" x14ac:dyDescent="0.2">
      <c r="A217" s="622"/>
      <c r="B217" s="352" t="str">
        <f t="shared" si="3"/>
        <v>Cuartofinalista</v>
      </c>
      <c r="C217" s="342" t="str">
        <f>WORLDCUP!AF134</f>
        <v>W96</v>
      </c>
      <c r="D217" s="622"/>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2"/>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2"/>
      <c r="E221" s="650"/>
      <c r="F221" s="650"/>
      <c r="G221" s="650"/>
      <c r="H221" s="650"/>
      <c r="I221" s="345"/>
      <c r="J221" s="361"/>
      <c r="K221" s="361"/>
      <c r="L221" s="361"/>
      <c r="M221" s="377"/>
      <c r="N221" s="368"/>
    </row>
    <row r="222" spans="1:14" ht="15" customHeight="1" x14ac:dyDescent="0.2">
      <c r="A222" s="622"/>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2"/>
      <c r="E222" s="650"/>
      <c r="F222" s="650"/>
      <c r="G222" s="650"/>
      <c r="H222" s="650"/>
      <c r="I222" s="345"/>
      <c r="J222" s="361"/>
      <c r="K222" s="361"/>
      <c r="L222" s="361"/>
      <c r="M222" s="377"/>
      <c r="N222" s="368"/>
    </row>
    <row r="223" spans="1:14" ht="15" customHeight="1" x14ac:dyDescent="0.2">
      <c r="A223" s="622"/>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2"/>
      <c r="E223" s="650"/>
      <c r="F223" s="650"/>
      <c r="G223" s="650"/>
      <c r="H223" s="650"/>
      <c r="I223" s="345"/>
      <c r="J223" s="361"/>
      <c r="K223" s="361"/>
      <c r="L223" s="361"/>
      <c r="M223" s="377"/>
      <c r="N223" s="368"/>
    </row>
    <row r="224" spans="1:14" x14ac:dyDescent="0.2">
      <c r="A224" s="223"/>
      <c r="B224" s="223"/>
      <c r="C224" s="343"/>
      <c r="D224" s="622"/>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2"/>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2"/>
      <c r="E226" s="361"/>
      <c r="F226" s="361"/>
      <c r="G226" s="361"/>
      <c r="H226" s="361"/>
      <c r="I226" s="345"/>
      <c r="J226" s="361"/>
      <c r="K226" s="361"/>
      <c r="L226" s="361"/>
      <c r="M226" s="377"/>
      <c r="N226" s="368"/>
    </row>
    <row r="227" spans="1:14" ht="15" customHeight="1" x14ac:dyDescent="0.2">
      <c r="A227" s="622"/>
      <c r="B227" s="352" t="str">
        <f>Idiomas!$D$191</f>
        <v>Semifinalista</v>
      </c>
      <c r="C227" s="342" t="str">
        <f>WORLDCUP!AA139</f>
        <v>W99</v>
      </c>
      <c r="D227" s="622"/>
      <c r="E227" s="361"/>
      <c r="F227" s="361"/>
      <c r="G227" s="361"/>
      <c r="H227" s="361"/>
      <c r="I227" s="345"/>
      <c r="J227" s="361"/>
      <c r="K227" s="361"/>
      <c r="L227" s="361"/>
      <c r="M227" s="377"/>
      <c r="N227" s="368"/>
    </row>
    <row r="228" spans="1:14" ht="15" customHeight="1" x14ac:dyDescent="0.2">
      <c r="A228" s="622"/>
      <c r="B228" s="352" t="str">
        <f>Idiomas!$D$191</f>
        <v>Semifinalista</v>
      </c>
      <c r="C228" s="342" t="str">
        <f>WORLDCUP!AF138</f>
        <v>W98</v>
      </c>
      <c r="D228" s="622"/>
      <c r="E228" s="361"/>
      <c r="F228" s="361"/>
      <c r="G228" s="361"/>
      <c r="H228" s="361"/>
      <c r="I228" s="345"/>
      <c r="J228" s="361"/>
      <c r="K228" s="361"/>
      <c r="L228" s="361"/>
      <c r="M228" s="377"/>
      <c r="N228" s="368"/>
    </row>
    <row r="229" spans="1:14" ht="15" customHeight="1" x14ac:dyDescent="0.2">
      <c r="A229" s="622"/>
      <c r="B229" s="352" t="str">
        <f>Idiomas!$D$191</f>
        <v>Semifinalista</v>
      </c>
      <c r="C229" s="342" t="str">
        <f>WORLDCUP!AF139</f>
        <v>W100</v>
      </c>
      <c r="D229" s="622"/>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2"/>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2"/>
      <c r="E233" s="650"/>
      <c r="F233" s="650"/>
      <c r="G233" s="650"/>
      <c r="H233" s="650"/>
      <c r="I233" s="345"/>
      <c r="J233" s="361"/>
      <c r="K233" s="361"/>
      <c r="L233" s="361"/>
      <c r="M233" s="377"/>
      <c r="N233" s="368"/>
    </row>
    <row r="234" spans="1:14" ht="15" customHeight="1" x14ac:dyDescent="0.2">
      <c r="A234" s="223"/>
      <c r="B234" s="223"/>
      <c r="C234" s="343"/>
      <c r="D234" s="622"/>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2"/>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2"/>
      <c r="E236" s="365"/>
      <c r="F236" s="365"/>
      <c r="G236" s="365"/>
      <c r="H236" s="365"/>
      <c r="I236" s="345"/>
      <c r="J236" s="361"/>
      <c r="K236" s="361"/>
      <c r="L236" s="361"/>
      <c r="M236" s="377"/>
      <c r="N236" s="368"/>
    </row>
    <row r="237" spans="1:14" ht="15" customHeight="1" x14ac:dyDescent="0.2">
      <c r="A237" s="622"/>
      <c r="B237" s="352" t="str">
        <f>Idiomas!D192</f>
        <v>3º y 4º puesto</v>
      </c>
      <c r="C237" s="342" t="str">
        <f>WORLDCUP!AF143</f>
        <v>L102</v>
      </c>
      <c r="D237" s="622"/>
      <c r="E237" s="365"/>
      <c r="F237" s="365"/>
      <c r="G237" s="365"/>
      <c r="H237" s="365"/>
      <c r="I237" s="345"/>
      <c r="J237" s="361"/>
      <c r="K237" s="361"/>
      <c r="L237" s="361"/>
      <c r="M237" s="377"/>
      <c r="N237" s="368"/>
    </row>
    <row r="238" spans="1:14" ht="15" customHeight="1" x14ac:dyDescent="0.2">
      <c r="A238" s="223"/>
      <c r="B238" s="223"/>
      <c r="C238" s="343"/>
      <c r="D238" s="622"/>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2"/>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2"/>
      <c r="E240" s="361"/>
      <c r="F240" s="361"/>
      <c r="G240" s="361"/>
      <c r="H240" s="361"/>
      <c r="I240" s="345"/>
      <c r="J240" s="361"/>
      <c r="K240" s="361"/>
      <c r="L240" s="361"/>
      <c r="M240" s="377"/>
      <c r="N240" s="368"/>
    </row>
    <row r="241" spans="1:14" ht="15" customHeight="1" x14ac:dyDescent="0.2">
      <c r="A241" s="622"/>
      <c r="B241" s="352" t="str">
        <f>B240</f>
        <v>Finalista</v>
      </c>
      <c r="C241" s="342" t="str">
        <f>WORLDCUP!AF147</f>
        <v>W102</v>
      </c>
      <c r="D241" s="622"/>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2"/>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2"/>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2"/>
      <c r="E247" s="367"/>
      <c r="F247" s="367"/>
      <c r="G247" s="367"/>
      <c r="H247" s="367"/>
      <c r="I247" s="372"/>
      <c r="J247" s="361"/>
      <c r="K247" s="361"/>
      <c r="L247" s="361"/>
      <c r="M247" s="377"/>
      <c r="N247" s="368"/>
    </row>
    <row r="248" spans="1:14" ht="15" customHeight="1" x14ac:dyDescent="0.2">
      <c r="A248" s="223"/>
      <c r="B248" s="223"/>
      <c r="C248" s="343"/>
      <c r="D248" s="622"/>
      <c r="E248" s="365"/>
      <c r="F248" s="365"/>
      <c r="G248" s="365"/>
      <c r="H248" s="365"/>
      <c r="I248" s="372"/>
      <c r="J248" s="361"/>
      <c r="K248" s="361"/>
      <c r="L248" s="361"/>
      <c r="M248" s="377"/>
      <c r="N248" s="368"/>
    </row>
    <row r="249" spans="1:14" ht="19" customHeight="1" x14ac:dyDescent="0.25">
      <c r="A249" s="223"/>
      <c r="B249" s="350" t="str">
        <f>Idiomas!D139</f>
        <v>CUADRO DE HONOR</v>
      </c>
      <c r="C249" s="343"/>
      <c r="D249" s="622"/>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2"/>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2"/>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2"/>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2"/>
      <c r="G253" s="622"/>
      <c r="H253" s="622"/>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2"/>
      <c r="F254" s="622"/>
      <c r="G254" s="622"/>
      <c r="H254" s="622"/>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2"/>
      <c r="F255" s="622"/>
      <c r="G255" s="622"/>
      <c r="H255" s="622"/>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2"/>
      <c r="F256" s="622"/>
      <c r="G256" s="622"/>
      <c r="H256" s="622"/>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t="str">
        <f>IF(ISBLANK(INDEX(WORLDCUP!$AC$4:$AC$147,MATCH(M3,WORLDCUP!$AH$4:$AH$147,0))),"",INDEX(WORLDCUP!$AC$4:$AC$147,MATCH(M3,WORLDCUP!$AH$4:$AH$147,0)))</f>
        <v/>
      </c>
      <c r="Q3" s="406" t="str">
        <f>IF(ISBLANK(INDEX(WORLDCUP!$AD$4:$AD$147,MATCH(M3,WORLDCUP!$AH$4:$AH$147,0))),"",INDEX(WORLDCUP!$AD$4:$AD$147,MATCH(M3,WORLDCUP!$AH$4:$AH$147,0)))</f>
        <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t="str">
        <f>IF(ISBLANK(INDEX(WORLDCUP!$AC$4:$AC$147,MATCH(M4,WORLDCUP!$AH$4:$AH$147,0))),"",INDEX(WORLDCUP!$AC$4:$AC$147,MATCH(M4,WORLDCUP!$AH$4:$AH$147,0)))</f>
        <v/>
      </c>
      <c r="Q4" s="433" t="str">
        <f>IF(ISBLANK(INDEX(WORLDCUP!$AD$4:$AD$147,MATCH(M4,WORLDCUP!$AH$4:$AH$147,0))),"",INDEX(WORLDCUP!$AD$4:$AD$147,MATCH(M4,WORLDCUP!$AH$4:$AH$147,0)))</f>
        <v/>
      </c>
      <c r="R4" s="434" t="str">
        <f ca="1">+MID(INDEX(WORLDCUP!$AF$4:$AF$147,MATCH(M4,WORLDCUP!$AH$4:$AH$147,0)),1,3)</f>
        <v>Nue</v>
      </c>
      <c r="S4" s="435">
        <v>1</v>
      </c>
      <c r="T4" s="436" t="str">
        <f ca="1">+MID(INDEX(WORLDCUP!$AL$6:$AL$97,MATCH(X4,WORLDCUP!$AI$6:$AI$97,0)),1,3)</f>
        <v>Bél</v>
      </c>
      <c r="U4" s="437">
        <f ca="1">+INDEX(WORLDCUP!$AM$6:$AM$97,MATCH(X4,WORLDCUP!$AI$6:$AI$97,0))</f>
        <v>0</v>
      </c>
      <c r="V4" s="438">
        <f ca="1">+INDEX(WORLDCUP!$AT$6:$AT$97,MATCH(X4,WORLDCUP!$AI$6:$AI$97,0))</f>
        <v>0</v>
      </c>
      <c r="W4" s="439" t="str">
        <f ca="1">+INDEX(WORLDCUP!$AR$6:$AR$97,MATCH(X4,WORLDCUP!$AI$6:$AI$97,0))&amp;"-"&amp;INDEX(WORLDCUP!$AS$6:$AS$97,MATCH(X4,WORLDCUP!$AI$6:$AI$97,0))</f>
        <v>0-0</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Egi</v>
      </c>
      <c r="U5" s="38">
        <f ca="1">+INDEX(WORLDCUP!$AM$6:$AM$97,MATCH(X5,WORLDCUP!$AI$6:$AI$97,0))</f>
        <v>0</v>
      </c>
      <c r="V5" s="39">
        <f ca="1">+INDEX(WORLDCUP!$AT$6:$AT$97,MATCH(X5,WORLDCUP!$AI$6:$AI$97,0))</f>
        <v>0</v>
      </c>
      <c r="W5" s="43" t="str">
        <f ca="1">+INDEX(WORLDCUP!$AR$6:$AR$97,MATCH(X5,WORLDCUP!$AI$6:$AI$97,0))&amp;"-"&amp;INDEX(WORLDCUP!$AS$6:$AS$97,MATCH(X5,WORLDCUP!$AI$6:$AI$97,0))</f>
        <v>0-0</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Irá</v>
      </c>
      <c r="U6" s="38">
        <f ca="1">+INDEX(WORLDCUP!$AM$6:$AM$97,MATCH(X6,WORLDCUP!$AI$6:$AI$97,0))</f>
        <v>0</v>
      </c>
      <c r="V6" s="39">
        <f ca="1">+INDEX(WORLDCUP!$AT$6:$AT$97,MATCH(X6,WORLDCUP!$AI$6:$AI$97,0))</f>
        <v>0</v>
      </c>
      <c r="W6" s="43" t="str">
        <f ca="1">+INDEX(WORLDCUP!$AR$6:$AR$97,MATCH(X6,WORLDCUP!$AI$6:$AI$97,0))&amp;"-"&amp;INDEX(WORLDCUP!$AS$6:$AS$97,MATCH(X6,WORLDCUP!$AI$6:$AI$97,0))</f>
        <v>0-0</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0</v>
      </c>
      <c r="W7" s="467" t="str">
        <f ca="1">+INDEX(WORLDCUP!$AR$6:$AR$97,MATCH(X7,WORLDCUP!$AI$6:$AI$97,0))&amp;"-"&amp;INDEX(WORLDCUP!$AS$6:$AS$97,MATCH(X7,WORLDCUP!$AI$6:$AI$97,0))</f>
        <v>0-0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1</v>
      </c>
      <c r="J12" s="438">
        <f ca="1">+INDEX(WORLDCUP!$AT$6:$AT$97,MATCH(L12,WORLDCUP!$AI$6:$AI$97,0))</f>
        <v>0</v>
      </c>
      <c r="K12" s="439" t="str">
        <f ca="1">+INDEX(WORLDCUP!$AR$6:$AR$97,MATCH(L12,WORLDCUP!$AI$6:$AI$97,0))&amp;"-"&amp;INDEX(WORLDCUP!$AS$6:$AS$97,MATCH(L12,WORLDCUP!$AI$6:$AI$97,0))</f>
        <v>1-1</v>
      </c>
      <c r="L12" s="181" t="s">
        <v>74</v>
      </c>
      <c r="M12" s="181">
        <v>13</v>
      </c>
      <c r="N12" s="493"/>
      <c r="O12" s="432" t="str">
        <f ca="1">+MID(INDEX(WORLDCUP!$AA$4:$AA$147,MATCH(M12,WORLDCUP!$AH$4:$AH$147,0)),1,3)</f>
        <v>Ara</v>
      </c>
      <c r="P12" s="433" t="str">
        <f>IF(ISBLANK(INDEX(WORLDCUP!$AC$4:$AC$147,MATCH(M12,WORLDCUP!$AH$4:$AH$147,0))),"",INDEX(WORLDCUP!$AC$4:$AC$147,MATCH(M12,WORLDCUP!$AH$4:$AH$147,0)))</f>
        <v/>
      </c>
      <c r="Q12" s="433" t="str">
        <f>IF(ISBLANK(INDEX(WORLDCUP!$AD$4:$AD$147,MATCH(M12,WORLDCUP!$AH$4:$AH$147,0))),"",INDEX(WORLDCUP!$AD$4:$AD$147,MATCH(M12,WORLDCUP!$AH$4:$AH$147,0)))</f>
        <v/>
      </c>
      <c r="R12" s="434" t="str">
        <f ca="1">+MID(INDEX(WORLDCUP!$AF$4:$AF$147,MATCH(M12,WORLDCUP!$AH$4:$AH$147,0)),1,3)</f>
        <v>Uru</v>
      </c>
      <c r="S12" s="435">
        <v>1</v>
      </c>
      <c r="T12" s="436" t="str">
        <f ca="1">+MID(INDEX(WORLDCUP!$AL$6:$AL$97,MATCH(X12,WORLDCUP!$AI$6:$AI$97,0)),1,3)</f>
        <v>Esp</v>
      </c>
      <c r="U12" s="437">
        <f ca="1">+INDEX(WORLDCUP!$AM$6:$AM$97,MATCH(X12,WORLDCUP!$AI$6:$AI$97,0))</f>
        <v>1</v>
      </c>
      <c r="V12" s="438">
        <f ca="1">+INDEX(WORLDCUP!$AT$6:$AT$97,MATCH(X12,WORLDCUP!$AI$6:$AI$97,0))</f>
        <v>0</v>
      </c>
      <c r="W12" s="439" t="str">
        <f ca="1">+INDEX(WORLDCUP!$AR$6:$AR$97,MATCH(X12,WORLDCUP!$AI$6:$AI$97,0))&amp;"-"&amp;INDEX(WORLDCUP!$AS$6:$AS$97,MATCH(X12,WORLDCUP!$AI$6:$AI$97,0))</f>
        <v>0-0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Cab</v>
      </c>
      <c r="U13" s="38">
        <f ca="1">+INDEX(WORLDCUP!$AM$6:$AM$97,MATCH(X13,WORLDCUP!$AI$6:$AI$97,0))</f>
        <v>1</v>
      </c>
      <c r="V13" s="39">
        <f ca="1">+INDEX(WORLDCUP!$AT$6:$AT$97,MATCH(X13,WORLDCUP!$AI$6:$AI$97,0))</f>
        <v>0</v>
      </c>
      <c r="W13" s="43" t="str">
        <f ca="1">+INDEX(WORLDCUP!$AR$6:$AR$97,MATCH(X13,WORLDCUP!$AI$6:$AI$97,0))&amp;"-"&amp;INDEX(WORLDCUP!$AS$6:$AS$97,MATCH(X13,WORLDCUP!$AI$6:$AI$97,0))</f>
        <v>0-0</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Ara</v>
      </c>
      <c r="U14" s="38">
        <f ca="1">+INDEX(WORLDCUP!$AM$6:$AM$97,MATCH(X14,WORLDCUP!$AI$6:$AI$97,0))</f>
        <v>0</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1</v>
      </c>
      <c r="J15" s="466">
        <f ca="1">+INDEX(WORLDCUP!$AT$6:$AT$97,MATCH(L15,WORLDCUP!$AI$6:$AI$97,0))</f>
        <v>0</v>
      </c>
      <c r="K15" s="467" t="str">
        <f ca="1">+INDEX(WORLDCUP!$AR$6:$AR$97,MATCH(L15,WORLDCUP!$AI$6:$AI$97,0))&amp;"-"&amp;INDEX(WORLDCUP!$AS$6:$AS$97,MATCH(L15,WORLDCUP!$AI$6:$AI$97,0))</f>
        <v>1-1</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Uru</v>
      </c>
      <c r="U15" s="465">
        <f ca="1">+INDEX(WORLDCUP!$AM$6:$AM$97,MATCH(X15,WORLDCUP!$AI$6:$AI$97,0))</f>
        <v>0</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t="str">
        <f>IF(ISBLANK(INDEX(WORLDCUP!$AC$4:$AC$147,MATCH(M19,WORLDCUP!$AH$4:$AH$147,0))),"",INDEX(WORLDCUP!$AC$4:$AC$147,MATCH(M19,WORLDCUP!$AH$4:$AH$147,0)))</f>
        <v/>
      </c>
      <c r="Q19" s="406" t="str">
        <f>IF(ISBLANK(INDEX(WORLDCUP!$AD$4:$AD$147,MATCH(M19,WORLDCUP!$AH$4:$AH$147,0))),"",INDEX(WORLDCUP!$AD$4:$AD$147,MATCH(M19,WORLDCUP!$AH$4:$AH$147,0)))</f>
        <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Esc</v>
      </c>
      <c r="I20" s="437">
        <f ca="1">+INDEX(WORLDCUP!$AM$6:$AM$97,MATCH(L20,WORLDCUP!$AI$6:$AI$97,0))</f>
        <v>3</v>
      </c>
      <c r="J20" s="438">
        <f ca="1">+INDEX(WORLDCUP!$AT$6:$AT$97,MATCH(L20,WORLDCUP!$AI$6:$AI$97,0))</f>
        <v>1</v>
      </c>
      <c r="K20" s="439" t="str">
        <f ca="1">+INDEX(WORLDCUP!$AR$6:$AR$97,MATCH(L20,WORLDCUP!$AI$6:$AI$97,0))&amp;"-"&amp;INDEX(WORLDCUP!$AS$6:$AS$97,MATCH(L20,WORLDCUP!$AI$6:$AI$97,0))</f>
        <v>1-0</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0</v>
      </c>
      <c r="V20" s="438">
        <f ca="1">+INDEX(WORLDCUP!$AT$6:$AT$97,MATCH(X20,WORLDCUP!$AI$6:$AI$97,0))</f>
        <v>0</v>
      </c>
      <c r="W20" s="439" t="str">
        <f ca="1">+INDEX(WORLDCUP!$AR$6:$AR$97,MATCH(X20,WORLDCUP!$AI$6:$AI$97,0))&amp;"-"&amp;INDEX(WORLDCUP!$AS$6:$AS$97,MATCH(X20,WORLDCUP!$AI$6:$AI$97,0))</f>
        <v>0-0</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Nor</v>
      </c>
      <c r="U23" s="465">
        <f ca="1">+INDEX(WORLDCUP!$AM$6:$AM$97,MATCH(X23,WORLDCUP!$AI$6:$AI$97,0))</f>
        <v>0</v>
      </c>
      <c r="V23" s="466">
        <f ca="1">+INDEX(WORLDCUP!$AT$6:$AT$97,MATCH(X23,WORLDCUP!$AI$6:$AI$97,0))</f>
        <v>0</v>
      </c>
      <c r="W23" s="467" t="str">
        <f ca="1">+INDEX(WORLDCUP!$AR$6:$AR$97,MATCH(X23,WORLDCUP!$AI$6:$AI$97,0))&amp;"-"&amp;INDEX(WORLDCUP!$AS$6:$AS$97,MATCH(X23,WORLDCUP!$AI$6:$AI$97,0))</f>
        <v>0-0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Sue</v>
      </c>
      <c r="I44" s="437">
        <f ca="1">+INDEX(WORLDCUP!$AM$6:$AM$97,MATCH(L44,WORLDCUP!$AI$6:$AI$97,0))</f>
        <v>3</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Austria</v>
      </c>
      <c r="E2" s="9" t="str">
        <f ca="1">+WORLDCUP!BD66</f>
        <v>Irak</v>
      </c>
      <c r="F2" s="9" t="str">
        <f ca="1">+WORLDCUP!BD63</f>
        <v>Japón</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Irak</v>
      </c>
      <c r="F3" s="9" t="str">
        <f ca="1">+WORLDCUP!BD61</f>
        <v>Turquía</v>
      </c>
      <c r="G3" s="9" t="str">
        <f ca="1">+WORLDCUP!BD67</f>
        <v>Austria</v>
      </c>
      <c r="H3" s="9" t="str">
        <f ca="1">+WORLDCUP!BD63</f>
        <v>Japón</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Austria</v>
      </c>
      <c r="E4" s="9" t="str">
        <f ca="1">+WORLDCUP!BD66</f>
        <v>Irak</v>
      </c>
      <c r="F4" s="9" t="str">
        <f ca="1">+WORLDCUP!BD61</f>
        <v>Turquía</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Austria</v>
      </c>
      <c r="E5" s="9" t="str">
        <f ca="1">+WORLDCUP!BD66</f>
        <v>Irak</v>
      </c>
      <c r="F5" s="9" t="str">
        <f ca="1">+WORLDCUP!BD61</f>
        <v>Turquía</v>
      </c>
      <c r="G5" s="9" t="str">
        <f ca="1">+WORLDCUP!BD65</f>
        <v>Arabia Saudita</v>
      </c>
      <c r="H5" s="9" t="str">
        <f ca="1">+WORLDCUP!BD63</f>
        <v>Japón</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Irak</v>
      </c>
      <c r="F6" s="9" t="str">
        <f ca="1">+WORLDCUP!BD61</f>
        <v>Turquía</v>
      </c>
      <c r="G6" s="9" t="str">
        <f ca="1">+WORLDCUP!BD67</f>
        <v>Austria</v>
      </c>
      <c r="H6" s="9" t="str">
        <f ca="1">+WORLDCUP!BD63</f>
        <v>Japón</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Austria</v>
      </c>
      <c r="F7" s="9" t="str">
        <f ca="1">+WORLDCUP!BD61</f>
        <v>Turquía</v>
      </c>
      <c r="G7" s="9" t="str">
        <f ca="1">+WORLDCUP!BD65</f>
        <v>Arabia Saudita</v>
      </c>
      <c r="H7" s="9" t="str">
        <f ca="1">+WORLDCUP!BD63</f>
        <v>Japón</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Irak</v>
      </c>
      <c r="F8" s="9" t="str">
        <f ca="1">+WORLDCUP!BD61</f>
        <v>Turquía</v>
      </c>
      <c r="G8" s="9" t="str">
        <f ca="1">+WORLDCUP!BD65</f>
        <v>Arabia Saudita</v>
      </c>
      <c r="H8" s="9" t="str">
        <f ca="1">+WORLDCUP!BD63</f>
        <v>Japón</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Austria</v>
      </c>
      <c r="F9" s="9" t="str">
        <f ca="1">+WORLDCUP!BD61</f>
        <v>Turquía</v>
      </c>
      <c r="G9" s="9" t="str">
        <f ca="1">+WORLDCUP!BD65</f>
        <v>Arabia Saudita</v>
      </c>
      <c r="H9" s="9" t="str">
        <f ca="1">+WORLDCUP!BD63</f>
        <v>Japón</v>
      </c>
      <c r="I9" s="9" t="str">
        <f ca="1">+WORLDCUP!BD69</f>
        <v>Ghana</v>
      </c>
      <c r="J9" s="9" t="str">
        <f ca="1">+WORLDCUP!BD66</f>
        <v>Irak</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Austria</v>
      </c>
      <c r="F10" s="9" t="str">
        <f ca="1">+WORLDCUP!BD61</f>
        <v>Turquía</v>
      </c>
      <c r="G10" s="9" t="str">
        <f ca="1">+WORLDCUP!BD65</f>
        <v>Arabia Saudita</v>
      </c>
      <c r="H10" s="9" t="str">
        <f ca="1">+WORLDCUP!BD63</f>
        <v>Japón</v>
      </c>
      <c r="I10" s="9" t="str">
        <f ca="1">+WORLDCUP!BD66</f>
        <v>Irak</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Irak</v>
      </c>
      <c r="F11" s="9" t="str">
        <f ca="1">+WORLDCUP!BD60</f>
        <v>Marruecos</v>
      </c>
      <c r="G11" s="9" t="str">
        <f ca="1">+WORLDCUP!BD67</f>
        <v>Austria</v>
      </c>
      <c r="H11" s="9" t="str">
        <f ca="1">+WORLDCUP!BD63</f>
        <v>Japón</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Austria</v>
      </c>
      <c r="E12" s="9" t="str">
        <f ca="1">+WORLDCUP!BD66</f>
        <v>Irak</v>
      </c>
      <c r="F12" s="9" t="str">
        <f ca="1">+WORLDCUP!BD60</f>
        <v>Marruecos</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Austria</v>
      </c>
      <c r="E13" s="9" t="str">
        <f ca="1">+WORLDCUP!BD66</f>
        <v>Irak</v>
      </c>
      <c r="F13" s="9" t="str">
        <f ca="1">+WORLDCUP!BD60</f>
        <v>Marruecos</v>
      </c>
      <c r="G13" s="9" t="str">
        <f ca="1">+WORLDCUP!BD65</f>
        <v>Arabia Saudita</v>
      </c>
      <c r="H13" s="9" t="str">
        <f ca="1">+WORLDCUP!BD63</f>
        <v>Japón</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Irak</v>
      </c>
      <c r="F14" s="9" t="str">
        <f ca="1">+WORLDCUP!BD60</f>
        <v>Marruecos</v>
      </c>
      <c r="G14" s="9" t="str">
        <f ca="1">+WORLDCUP!BD67</f>
        <v>Austria</v>
      </c>
      <c r="H14" s="9" t="str">
        <f ca="1">+WORLDCUP!BD63</f>
        <v>Japón</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Austria</v>
      </c>
      <c r="F15" s="9" t="str">
        <f ca="1">+WORLDCUP!BD60</f>
        <v>Marruecos</v>
      </c>
      <c r="G15" s="9" t="str">
        <f ca="1">+WORLDCUP!BD65</f>
        <v>Arabia Saudita</v>
      </c>
      <c r="H15" s="9" t="str">
        <f ca="1">+WORLDCUP!BD63</f>
        <v>Japón</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Irak</v>
      </c>
      <c r="F16" s="9" t="str">
        <f ca="1">+WORLDCUP!BD60</f>
        <v>Marruecos</v>
      </c>
      <c r="G16" s="9" t="str">
        <f ca="1">+WORLDCUP!BD65</f>
        <v>Arabia Saudita</v>
      </c>
      <c r="H16" s="9" t="str">
        <f ca="1">+WORLDCUP!BD63</f>
        <v>Japón</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Austria</v>
      </c>
      <c r="F17" s="9" t="str">
        <f ca="1">+WORLDCUP!BD60</f>
        <v>Marruecos</v>
      </c>
      <c r="G17" s="9" t="str">
        <f ca="1">+WORLDCUP!BD65</f>
        <v>Arabia Saudita</v>
      </c>
      <c r="H17" s="9" t="str">
        <f ca="1">+WORLDCUP!BD63</f>
        <v>Japón</v>
      </c>
      <c r="I17" s="9" t="str">
        <f ca="1">+WORLDCUP!BD69</f>
        <v>Ghana</v>
      </c>
      <c r="J17" s="9" t="str">
        <f ca="1">+WORLDCUP!BD66</f>
        <v>Irak</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Austria</v>
      </c>
      <c r="F18" s="9" t="str">
        <f ca="1">+WORLDCUP!BD60</f>
        <v>Marruecos</v>
      </c>
      <c r="G18" s="9" t="str">
        <f ca="1">+WORLDCUP!BD65</f>
        <v>Arabia Saudita</v>
      </c>
      <c r="H18" s="9" t="str">
        <f ca="1">+WORLDCUP!BD63</f>
        <v>Japón</v>
      </c>
      <c r="I18" s="9" t="str">
        <f ca="1">+WORLDCUP!BD66</f>
        <v>Irak</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Irak</v>
      </c>
      <c r="F19" s="9" t="str">
        <f ca="1">+WORLDCUP!BD60</f>
        <v>Marruecos</v>
      </c>
      <c r="G19" s="9" t="str">
        <f ca="1">+WORLDCUP!BD67</f>
        <v>Austria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Austria</v>
      </c>
      <c r="E20" s="9" t="str">
        <f ca="1">+WORLDCUP!BD66</f>
        <v>Irak</v>
      </c>
      <c r="F20" s="9" t="str">
        <f ca="1">+WORLDCUP!BD61</f>
        <v>Turquía</v>
      </c>
      <c r="G20" s="9" t="str">
        <f ca="1">+WORLDCUP!BD65</f>
        <v>Arabia Saudita</v>
      </c>
      <c r="H20" s="9" t="str">
        <f ca="1">+WORLDCUP!BD63</f>
        <v>Japón</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Irán</v>
      </c>
      <c r="E21" s="9" t="str">
        <f ca="1">+WORLDCUP!BD66</f>
        <v>Irak</v>
      </c>
      <c r="F21" s="9" t="str">
        <f ca="1">+WORLDCUP!BD61</f>
        <v>Turquía</v>
      </c>
      <c r="G21" s="9" t="str">
        <f ca="1">+WORLDCUP!BD67</f>
        <v>Austria</v>
      </c>
      <c r="H21" s="9" t="str">
        <f ca="1">+WORLDCUP!BD63</f>
        <v>Japón</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Irán</v>
      </c>
      <c r="E22" s="9" t="str">
        <f ca="1">+WORLDCUP!BD67</f>
        <v>Austria</v>
      </c>
      <c r="F22" s="9" t="str">
        <f ca="1">+WORLDCUP!BD61</f>
        <v>Turquía</v>
      </c>
      <c r="G22" s="9" t="str">
        <f ca="1">+WORLDCUP!BD65</f>
        <v>Arabia Saudita</v>
      </c>
      <c r="H22" s="9" t="str">
        <f ca="1">+WORLDCUP!BD63</f>
        <v>Japón</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Irán</v>
      </c>
      <c r="E23" s="9" t="str">
        <f ca="1">+WORLDCUP!BD66</f>
        <v>Irak</v>
      </c>
      <c r="F23" s="9" t="str">
        <f ca="1">+WORLDCUP!BD61</f>
        <v>Turquía</v>
      </c>
      <c r="G23" s="9" t="str">
        <f ca="1">+WORLDCUP!BD65</f>
        <v>Arabia Saudita</v>
      </c>
      <c r="H23" s="9" t="str">
        <f ca="1">+WORLDCUP!BD63</f>
        <v>Japón</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Irán</v>
      </c>
      <c r="E24" s="9" t="str">
        <f ca="1">+WORLDCUP!BD67</f>
        <v>Austria</v>
      </c>
      <c r="F24" s="9" t="str">
        <f ca="1">+WORLDCUP!BD61</f>
        <v>Turquía</v>
      </c>
      <c r="G24" s="9" t="str">
        <f ca="1">+WORLDCUP!BD65</f>
        <v>Arabia Saudita</v>
      </c>
      <c r="H24" s="9" t="str">
        <f ca="1">+WORLDCUP!BD63</f>
        <v>Japón</v>
      </c>
      <c r="I24" s="9" t="str">
        <f ca="1">+WORLDCUP!BD69</f>
        <v>Ghana</v>
      </c>
      <c r="J24" s="9" t="str">
        <f ca="1">+WORLDCUP!BD66</f>
        <v>Irak</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Irán</v>
      </c>
      <c r="E25" s="9" t="str">
        <f ca="1">+WORLDCUP!BD67</f>
        <v>Austria</v>
      </c>
      <c r="F25" s="9" t="str">
        <f ca="1">+WORLDCUP!BD61</f>
        <v>Turquía</v>
      </c>
      <c r="G25" s="9" t="str">
        <f ca="1">+WORLDCUP!BD65</f>
        <v>Arabia Saudita</v>
      </c>
      <c r="H25" s="9" t="str">
        <f ca="1">+WORLDCUP!BD63</f>
        <v>Japón</v>
      </c>
      <c r="I25" s="9" t="str">
        <f ca="1">+WORLDCUP!BD66</f>
        <v>Irak</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Austria</v>
      </c>
      <c r="E26" s="9" t="str">
        <f ca="1">+WORLDCUP!BD66</f>
        <v>Irak</v>
      </c>
      <c r="F26" s="9" t="str">
        <f ca="1">+WORLDCUP!BD60</f>
        <v>Marruecos</v>
      </c>
      <c r="G26" s="9" t="str">
        <f ca="1">+WORLDCUP!BD65</f>
        <v>Arabia Saudita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Irak</v>
      </c>
      <c r="F27" s="9" t="str">
        <f ca="1">+WORLDCUP!BD60</f>
        <v>Marruecos</v>
      </c>
      <c r="G27" s="9" t="str">
        <f ca="1">+WORLDCUP!BD67</f>
        <v>Austria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Austria</v>
      </c>
      <c r="F28" s="9" t="str">
        <f ca="1">+WORLDCUP!BD60</f>
        <v>Marruecos</v>
      </c>
      <c r="G28" s="9" t="str">
        <f ca="1">+WORLDCUP!BD65</f>
        <v>Arabia Saudita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Irak</v>
      </c>
      <c r="F29" s="9" t="str">
        <f ca="1">+WORLDCUP!BD60</f>
        <v>Marruecos</v>
      </c>
      <c r="G29" s="9" t="str">
        <f ca="1">+WORLDCUP!BD65</f>
        <v>Arabia Saudita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Austria</v>
      </c>
      <c r="F30" s="9" t="str">
        <f ca="1">+WORLDCUP!BD60</f>
        <v>Marruecos</v>
      </c>
      <c r="G30" s="9" t="str">
        <f ca="1">+WORLDCUP!BD65</f>
        <v>Arabia Saudita</v>
      </c>
      <c r="H30" s="9" t="str">
        <f ca="1">+WORLDCUP!BD61</f>
        <v>Turquía</v>
      </c>
      <c r="I30" s="9" t="str">
        <f ca="1">+WORLDCUP!BD69</f>
        <v>Ghana</v>
      </c>
      <c r="J30" s="9" t="str">
        <f ca="1">+WORLDCUP!BD66</f>
        <v>Irak</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Austria</v>
      </c>
      <c r="F31" s="9" t="str">
        <f ca="1">+WORLDCUP!BD60</f>
        <v>Marruecos</v>
      </c>
      <c r="G31" s="9" t="str">
        <f ca="1">+WORLDCUP!BD65</f>
        <v>Arabia Saudita</v>
      </c>
      <c r="H31" s="9" t="str">
        <f ca="1">+WORLDCUP!BD61</f>
        <v>Turquía</v>
      </c>
      <c r="I31" s="9" t="str">
        <f ca="1">+WORLDCUP!BD66</f>
        <v>Irak</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Austria</v>
      </c>
      <c r="E32" s="9" t="str">
        <f ca="1">+WORLDCUP!BD62</f>
        <v>Ecuador</v>
      </c>
      <c r="F32" s="9" t="str">
        <f ca="1">+WORLDCUP!BD61</f>
        <v>Turquía</v>
      </c>
      <c r="G32" s="9" t="str">
        <f ca="1">+WORLDCUP!BD66</f>
        <v>Irak</v>
      </c>
      <c r="H32" s="9" t="str">
        <f ca="1">+WORLDCUP!BD63</f>
        <v>Japón</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Austria</v>
      </c>
      <c r="E33" s="9" t="str">
        <f ca="1">+WORLDCUP!BD62</f>
        <v>Ecuador</v>
      </c>
      <c r="F33" s="9" t="str">
        <f ca="1">+WORLDCUP!BD61</f>
        <v>Turquía</v>
      </c>
      <c r="G33" s="9" t="str">
        <f ca="1">+WORLDCUP!BD65</f>
        <v>Arabia Saudita</v>
      </c>
      <c r="H33" s="9" t="str">
        <f ca="1">+WORLDCUP!BD63</f>
        <v>Japón</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Irak</v>
      </c>
      <c r="F34" s="9" t="str">
        <f ca="1">+WORLDCUP!BD61</f>
        <v>Turquía</v>
      </c>
      <c r="G34" s="9" t="str">
        <f ca="1">+WORLDCUP!BD65</f>
        <v>Arabia Saudita</v>
      </c>
      <c r="H34" s="9" t="str">
        <f ca="1">+WORLDCUP!BD63</f>
        <v>Japón</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Austria</v>
      </c>
      <c r="E35" s="9" t="str">
        <f ca="1">+WORLDCUP!BD62</f>
        <v>Ecuador</v>
      </c>
      <c r="F35" s="9" t="str">
        <f ca="1">+WORLDCUP!BD61</f>
        <v>Turquía</v>
      </c>
      <c r="G35" s="9" t="str">
        <f ca="1">+WORLDCUP!BD65</f>
        <v>Arabia Saudita</v>
      </c>
      <c r="H35" s="9" t="str">
        <f ca="1">+WORLDCUP!BD63</f>
        <v>Japón</v>
      </c>
      <c r="I35" s="9" t="str">
        <f ca="1">+WORLDCUP!BD69</f>
        <v>Ghana</v>
      </c>
      <c r="J35" s="9" t="str">
        <f ca="1">+WORLDCUP!BD66</f>
        <v>Irak</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Austria</v>
      </c>
      <c r="E36" s="9" t="str">
        <f ca="1">+WORLDCUP!BD62</f>
        <v>Ecuador</v>
      </c>
      <c r="F36" s="9" t="str">
        <f ca="1">+WORLDCUP!BD61</f>
        <v>Turquía</v>
      </c>
      <c r="G36" s="9" t="str">
        <f ca="1">+WORLDCUP!BD65</f>
        <v>Arabia Saudita</v>
      </c>
      <c r="H36" s="9" t="str">
        <f ca="1">+WORLDCUP!BD63</f>
        <v>Japón</v>
      </c>
      <c r="I36" s="9" t="str">
        <f ca="1">+WORLDCUP!BD66</f>
        <v>Irak</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Irán</v>
      </c>
      <c r="E37" s="9" t="str">
        <f ca="1">+WORLDCUP!BD62</f>
        <v>Ecuador</v>
      </c>
      <c r="F37" s="9" t="str">
        <f ca="1">+WORLDCUP!BD61</f>
        <v>Turquía</v>
      </c>
      <c r="G37" s="9" t="str">
        <f ca="1">+WORLDCUP!BD67</f>
        <v>Austria</v>
      </c>
      <c r="H37" s="9" t="str">
        <f ca="1">+WORLDCUP!BD63</f>
        <v>Japón</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Irán</v>
      </c>
      <c r="E38" s="9" t="str">
        <f ca="1">+WORLDCUP!BD62</f>
        <v>Ecuador</v>
      </c>
      <c r="F38" s="9" t="str">
        <f ca="1">+WORLDCUP!BD61</f>
        <v>Turquía</v>
      </c>
      <c r="G38" s="9" t="str">
        <f ca="1">+WORLDCUP!BD66</f>
        <v>Irak</v>
      </c>
      <c r="H38" s="9" t="str">
        <f ca="1">+WORLDCUP!BD63</f>
        <v>Japón</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Irán</v>
      </c>
      <c r="E39" s="9" t="str">
        <f ca="1">+WORLDCUP!BD62</f>
        <v>Ecuador</v>
      </c>
      <c r="F39" s="9" t="str">
        <f ca="1">+WORLDCUP!BD61</f>
        <v>Turquía</v>
      </c>
      <c r="G39" s="9" t="str">
        <f ca="1">+WORLDCUP!BD67</f>
        <v>Austria</v>
      </c>
      <c r="H39" s="9" t="str">
        <f ca="1">+WORLDCUP!BD63</f>
        <v>Japón</v>
      </c>
      <c r="I39" s="9" t="str">
        <f ca="1">+WORLDCUP!BD69</f>
        <v>Ghana</v>
      </c>
      <c r="J39" s="9" t="str">
        <f ca="1">+WORLDCUP!BD66</f>
        <v>Irak</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Irán</v>
      </c>
      <c r="E40" s="9" t="str">
        <f ca="1">+WORLDCUP!BD62</f>
        <v>Ecuador</v>
      </c>
      <c r="F40" s="9" t="str">
        <f ca="1">+WORLDCUP!BD61</f>
        <v>Turquía</v>
      </c>
      <c r="G40" s="9" t="str">
        <f ca="1">+WORLDCUP!BD67</f>
        <v>Austria</v>
      </c>
      <c r="H40" s="9" t="str">
        <f ca="1">+WORLDCUP!BD63</f>
        <v>Japón</v>
      </c>
      <c r="I40" s="9" t="str">
        <f ca="1">+WORLDCUP!BD66</f>
        <v>Irak</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Irán</v>
      </c>
      <c r="E41" s="9" t="str">
        <f ca="1">+WORLDCUP!BD62</f>
        <v>Ecuador</v>
      </c>
      <c r="F41" s="9" t="str">
        <f ca="1">+WORLDCUP!BD61</f>
        <v>Turquía</v>
      </c>
      <c r="G41" s="9" t="str">
        <f ca="1">+WORLDCUP!BD65</f>
        <v>Arabia Saudita</v>
      </c>
      <c r="H41" s="9" t="str">
        <f ca="1">+WORLDCUP!BD63</f>
        <v>Japón</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Irán</v>
      </c>
      <c r="E42" s="9" t="str">
        <f ca="1">+WORLDCUP!BD67</f>
        <v>Austria</v>
      </c>
      <c r="F42" s="9" t="str">
        <f ca="1">+WORLDCUP!BD61</f>
        <v>Turquía</v>
      </c>
      <c r="G42" s="9" t="str">
        <f ca="1">+WORLDCUP!BD65</f>
        <v>Arabia Saudita</v>
      </c>
      <c r="H42" s="9" t="str">
        <f ca="1">+WORLDCUP!BD63</f>
        <v>Japón</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Irán</v>
      </c>
      <c r="E43" s="9" t="str">
        <f ca="1">+WORLDCUP!BD67</f>
        <v>Austria</v>
      </c>
      <c r="F43" s="9" t="str">
        <f ca="1">+WORLDCUP!BD61</f>
        <v>Turquía</v>
      </c>
      <c r="G43" s="9" t="str">
        <f ca="1">+WORLDCUP!BD65</f>
        <v>Arabia Saudita</v>
      </c>
      <c r="H43" s="9" t="str">
        <f ca="1">+WORLDCUP!BD63</f>
        <v>Japón</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Irán</v>
      </c>
      <c r="E44" s="9" t="str">
        <f ca="1">+WORLDCUP!BD62</f>
        <v>Ecuador</v>
      </c>
      <c r="F44" s="9" t="str">
        <f ca="1">+WORLDCUP!BD61</f>
        <v>Turquía</v>
      </c>
      <c r="G44" s="9" t="str">
        <f ca="1">+WORLDCUP!BD65</f>
        <v>Arabia Saudita</v>
      </c>
      <c r="H44" s="9" t="str">
        <f ca="1">+WORLDCUP!BD63</f>
        <v>Japón</v>
      </c>
      <c r="I44" s="9" t="str">
        <f ca="1">+WORLDCUP!BD69</f>
        <v>Ghana</v>
      </c>
      <c r="J44" s="9" t="str">
        <f ca="1">+WORLDCUP!BD66</f>
        <v>Irak</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Irán</v>
      </c>
      <c r="E45" s="9" t="str">
        <f ca="1">+WORLDCUP!BD62</f>
        <v>Ecuador</v>
      </c>
      <c r="F45" s="9" t="str">
        <f ca="1">+WORLDCUP!BD61</f>
        <v>Turquía</v>
      </c>
      <c r="G45" s="9" t="str">
        <f ca="1">+WORLDCUP!BD65</f>
        <v>Arabia Saudita</v>
      </c>
      <c r="H45" s="9" t="str">
        <f ca="1">+WORLDCUP!BD63</f>
        <v>Japón</v>
      </c>
      <c r="I45" s="9" t="str">
        <f ca="1">+WORLDCUP!BD66</f>
        <v>Irak</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Irán</v>
      </c>
      <c r="E46" s="9" t="str">
        <f ca="1">+WORLDCUP!BD67</f>
        <v>Austria</v>
      </c>
      <c r="F46" s="9" t="str">
        <f ca="1">+WORLDCUP!BD61</f>
        <v>Turquía</v>
      </c>
      <c r="G46" s="9" t="str">
        <f ca="1">+WORLDCUP!BD65</f>
        <v>Arabia Saudita</v>
      </c>
      <c r="H46" s="9" t="str">
        <f ca="1">+WORLDCUP!BD63</f>
        <v>Japón</v>
      </c>
      <c r="I46" s="9" t="str">
        <f ca="1">+WORLDCUP!BD62</f>
        <v>Ecuador</v>
      </c>
      <c r="J46" s="9" t="str">
        <f ca="1">+WORLDCUP!BD66</f>
        <v>Irak</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Catar</v>
      </c>
      <c r="F47" s="9" t="str">
        <f ca="1">+WORLDCUP!BD63</f>
        <v>Japón</v>
      </c>
      <c r="G47" s="9" t="str">
        <f ca="1">+WORLDCUP!BD66</f>
        <v>Irak</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Austria</v>
      </c>
      <c r="E49" s="9" t="str">
        <f ca="1">+WORLDCUP!BD59</f>
        <v>Catar</v>
      </c>
      <c r="F49" s="9" t="str">
        <f ca="1">+WORLDCUP!BD63</f>
        <v>Japón</v>
      </c>
      <c r="G49" s="9" t="str">
        <f ca="1">+WORLDCUP!BD66</f>
        <v>Irak</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Austria</v>
      </c>
      <c r="E50" s="9" t="str">
        <f ca="1">+WORLDCUP!BD59</f>
        <v>Catar</v>
      </c>
      <c r="F50" s="9" t="str">
        <f ca="1">+WORLDCUP!BD63</f>
        <v>Japón</v>
      </c>
      <c r="G50" s="9" t="str">
        <f ca="1">+WORLDCUP!BD66</f>
        <v>Irak</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Austria</v>
      </c>
      <c r="E51" s="9" t="str">
        <f ca="1">+WORLDCUP!BD59</f>
        <v>Catar</v>
      </c>
      <c r="F51" s="9" t="str">
        <f ca="1">+WORLDCUP!BD63</f>
        <v>Japón</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Catar</v>
      </c>
      <c r="F52" s="9" t="str">
        <f ca="1">+WORLDCUP!BD63</f>
        <v>Japón</v>
      </c>
      <c r="G52" s="9" t="str">
        <f ca="1">+WORLDCUP!BD66</f>
        <v>Irak</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Austria</v>
      </c>
      <c r="E53" s="9" t="str">
        <f ca="1">+WORLDCUP!BD59</f>
        <v>Catar</v>
      </c>
      <c r="F53" s="9" t="str">
        <f ca="1">+WORLDCUP!BD63</f>
        <v>Japón</v>
      </c>
      <c r="G53" s="9" t="str">
        <f ca="1">+WORLDCUP!BD65</f>
        <v>Arabia Saudita</v>
      </c>
      <c r="H53" s="9" t="str">
        <f ca="1">+WORLDCUP!BD64</f>
        <v>Irán</v>
      </c>
      <c r="I53" s="9" t="str">
        <f ca="1">+WORLDCUP!BD69</f>
        <v>Ghana</v>
      </c>
      <c r="J53" s="9" t="str">
        <f ca="1">+WORLDCUP!BD66</f>
        <v>Irak</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Austria</v>
      </c>
      <c r="E54" s="9" t="str">
        <f ca="1">+WORLDCUP!BD59</f>
        <v>Catar</v>
      </c>
      <c r="F54" s="9" t="str">
        <f ca="1">+WORLDCUP!BD63</f>
        <v>Japón</v>
      </c>
      <c r="G54" s="9" t="str">
        <f ca="1">+WORLDCUP!BD65</f>
        <v>Arabia Saudita</v>
      </c>
      <c r="H54" s="9" t="str">
        <f ca="1">+WORLDCUP!BD64</f>
        <v>Irán</v>
      </c>
      <c r="I54" s="9" t="str">
        <f ca="1">+WORLDCUP!BD66</f>
        <v>Irak</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Catar</v>
      </c>
      <c r="F55" s="9" t="str">
        <f ca="1">+WORLDCUP!BD61</f>
        <v>Turquía</v>
      </c>
      <c r="G55" s="9" t="str">
        <f ca="1">+WORLDCUP!BD66</f>
        <v>Irak</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Catar</v>
      </c>
      <c r="F56" s="9" t="str">
        <f ca="1">+WORLDCUP!BD61</f>
        <v>Turquía</v>
      </c>
      <c r="G56" s="9" t="str">
        <f ca="1">+WORLDCUP!BD66</f>
        <v>Irak</v>
      </c>
      <c r="H56" s="9" t="str">
        <f ca="1">+WORLDCUP!BD63</f>
        <v>Japón</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Irak</v>
      </c>
      <c r="D57" s="9" t="str">
        <f ca="1">+WORLDCUP!BD64</f>
        <v>Irán</v>
      </c>
      <c r="E57" s="9" t="str">
        <f ca="1">+WORLDCUP!BD59</f>
        <v>Catar</v>
      </c>
      <c r="F57" s="9" t="str">
        <f ca="1">+WORLDCUP!BD61</f>
        <v>Turquía</v>
      </c>
      <c r="G57" s="9" t="str">
        <f ca="1">+WORLDCUP!BD67</f>
        <v>Austria</v>
      </c>
      <c r="H57" s="9" t="str">
        <f ca="1">+WORLDCUP!BD63</f>
        <v>Japón</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Turquía</v>
      </c>
      <c r="G58" s="9" t="str">
        <f ca="1">+WORLDCUP!BD67</f>
        <v>Austria</v>
      </c>
      <c r="H58" s="9" t="str">
        <f ca="1">+WORLDCUP!BD63</f>
        <v>Japón</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Turquía</v>
      </c>
      <c r="G59" s="9" t="str">
        <f ca="1">+WORLDCUP!BD66</f>
        <v>Irak</v>
      </c>
      <c r="H59" s="9" t="str">
        <f ca="1">+WORLDCUP!BD63</f>
        <v>Japón</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Turquía</v>
      </c>
      <c r="G60" s="9" t="str">
        <f ca="1">+WORLDCUP!BD67</f>
        <v>Austria</v>
      </c>
      <c r="H60" s="9" t="str">
        <f ca="1">+WORLDCUP!BD63</f>
        <v>Japón</v>
      </c>
      <c r="I60" s="9" t="str">
        <f ca="1">+WORLDCUP!BD69</f>
        <v>Ghana</v>
      </c>
      <c r="J60" s="9" t="str">
        <f ca="1">+WORLDCUP!BD66</f>
        <v>Irak</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Turquía</v>
      </c>
      <c r="G61" s="9" t="str">
        <f ca="1">+WORLDCUP!BD67</f>
        <v>Austria</v>
      </c>
      <c r="H61" s="9" t="str">
        <f ca="1">+WORLDCUP!BD63</f>
        <v>Japón</v>
      </c>
      <c r="I61" s="9" t="str">
        <f ca="1">+WORLDCUP!BD66</f>
        <v>Irak</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Austria</v>
      </c>
      <c r="E62" s="9" t="str">
        <f ca="1">+WORLDCUP!BD59</f>
        <v>Catar</v>
      </c>
      <c r="F62" s="9" t="str">
        <f ca="1">+WORLDCUP!BD61</f>
        <v>Turquía</v>
      </c>
      <c r="G62" s="9" t="str">
        <f ca="1">+WORLDCUP!BD66</f>
        <v>Irak</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Austria</v>
      </c>
      <c r="E63" s="9" t="str">
        <f ca="1">+WORLDCUP!BD59</f>
        <v>Catar</v>
      </c>
      <c r="F63" s="9" t="str">
        <f ca="1">+WORLDCUP!BD61</f>
        <v>Turquía</v>
      </c>
      <c r="G63" s="9" t="str">
        <f ca="1">+WORLDCUP!BD66</f>
        <v>Irak</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Austria</v>
      </c>
      <c r="E64" s="9" t="str">
        <f ca="1">+WORLDCUP!BD59</f>
        <v>Catar</v>
      </c>
      <c r="F64" s="9" t="str">
        <f ca="1">+WORLDCUP!BD61</f>
        <v>Turquía</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Catar</v>
      </c>
      <c r="F65" s="9" t="str">
        <f ca="1">+WORLDCUP!BD61</f>
        <v>Turquía</v>
      </c>
      <c r="G65" s="9" t="str">
        <f ca="1">+WORLDCUP!BD66</f>
        <v>Irak</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Austria</v>
      </c>
      <c r="E66" s="9" t="str">
        <f ca="1">+WORLDCUP!BD59</f>
        <v>Catar</v>
      </c>
      <c r="F66" s="9" t="str">
        <f ca="1">+WORLDCUP!BD61</f>
        <v>Turquía</v>
      </c>
      <c r="G66" s="9" t="str">
        <f ca="1">+WORLDCUP!BD65</f>
        <v>Arabia Saudita</v>
      </c>
      <c r="H66" s="9" t="str">
        <f ca="1">+WORLDCUP!BD64</f>
        <v>Irán</v>
      </c>
      <c r="I66" s="9" t="str">
        <f ca="1">+WORLDCUP!BD69</f>
        <v>Ghana</v>
      </c>
      <c r="J66" s="9" t="str">
        <f ca="1">+WORLDCUP!BD66</f>
        <v>Irak</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Austria</v>
      </c>
      <c r="E67" s="9" t="str">
        <f ca="1">+WORLDCUP!BD59</f>
        <v>Catar</v>
      </c>
      <c r="F67" s="9" t="str">
        <f ca="1">+WORLDCUP!BD61</f>
        <v>Turquía</v>
      </c>
      <c r="G67" s="9" t="str">
        <f ca="1">+WORLDCUP!BD65</f>
        <v>Arabia Saudita</v>
      </c>
      <c r="H67" s="9" t="str">
        <f ca="1">+WORLDCUP!BD64</f>
        <v>Irán</v>
      </c>
      <c r="I67" s="9" t="str">
        <f ca="1">+WORLDCUP!BD66</f>
        <v>Irak</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Austria</v>
      </c>
      <c r="E68" s="9" t="str">
        <f ca="1">+WORLDCUP!BD59</f>
        <v>Catar</v>
      </c>
      <c r="F68" s="9" t="str">
        <f ca="1">+WORLDCUP!BD61</f>
        <v>Turquía</v>
      </c>
      <c r="G68" s="9" t="str">
        <f ca="1">+WORLDCUP!BD66</f>
        <v>Irak</v>
      </c>
      <c r="H68" s="9" t="str">
        <f ca="1">+WORLDCUP!BD63</f>
        <v>Japón</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Austria</v>
      </c>
      <c r="E69" s="9" t="str">
        <f ca="1">+WORLDCUP!BD59</f>
        <v>Catar</v>
      </c>
      <c r="F69" s="9" t="str">
        <f ca="1">+WORLDCUP!BD61</f>
        <v>Turquía</v>
      </c>
      <c r="G69" s="9" t="str">
        <f ca="1">+WORLDCUP!BD65</f>
        <v>Arabia Saudita</v>
      </c>
      <c r="H69" s="9" t="str">
        <f ca="1">+WORLDCUP!BD63</f>
        <v>Japón</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Irak</v>
      </c>
      <c r="E70" s="9" t="str">
        <f ca="1">+WORLDCUP!BD59</f>
        <v>Catar</v>
      </c>
      <c r="F70" s="9" t="str">
        <f ca="1">+WORLDCUP!BD61</f>
        <v>Turquía</v>
      </c>
      <c r="G70" s="9" t="str">
        <f ca="1">+WORLDCUP!BD65</f>
        <v>Arabia Saudita</v>
      </c>
      <c r="H70" s="9" t="str">
        <f ca="1">+WORLDCUP!BD63</f>
        <v>Japón</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Austria</v>
      </c>
      <c r="E71" s="9" t="str">
        <f ca="1">+WORLDCUP!BD59</f>
        <v>Catar</v>
      </c>
      <c r="F71" s="9" t="str">
        <f ca="1">+WORLDCUP!BD61</f>
        <v>Turquía</v>
      </c>
      <c r="G71" s="9" t="str">
        <f ca="1">+WORLDCUP!BD65</f>
        <v>Arabia Saudita</v>
      </c>
      <c r="H71" s="9" t="str">
        <f ca="1">+WORLDCUP!BD63</f>
        <v>Japón</v>
      </c>
      <c r="I71" s="9" t="str">
        <f ca="1">+WORLDCUP!BD69</f>
        <v>Ghana</v>
      </c>
      <c r="J71" s="9" t="str">
        <f ca="1">+WORLDCUP!BD66</f>
        <v>Irak</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Austria</v>
      </c>
      <c r="E72" s="9" t="str">
        <f ca="1">+WORLDCUP!BD59</f>
        <v>Catar</v>
      </c>
      <c r="F72" s="9" t="str">
        <f ca="1">+WORLDCUP!BD61</f>
        <v>Turquía</v>
      </c>
      <c r="G72" s="9" t="str">
        <f ca="1">+WORLDCUP!BD65</f>
        <v>Arabia Saudita</v>
      </c>
      <c r="H72" s="9" t="str">
        <f ca="1">+WORLDCUP!BD63</f>
        <v>Japón</v>
      </c>
      <c r="I72" s="9" t="str">
        <f ca="1">+WORLDCUP!BD66</f>
        <v>Irak</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Catar</v>
      </c>
      <c r="F73" s="9" t="str">
        <f ca="1">+WORLDCUP!BD61</f>
        <v>Turquía</v>
      </c>
      <c r="G73" s="9" t="str">
        <f ca="1">+WORLDCUP!BD67</f>
        <v>Austria</v>
      </c>
      <c r="H73" s="9" t="str">
        <f ca="1">+WORLDCUP!BD63</f>
        <v>Japón</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Catar</v>
      </c>
      <c r="F74" s="9" t="str">
        <f ca="1">+WORLDCUP!BD61</f>
        <v>Turquía</v>
      </c>
      <c r="G74" s="9" t="str">
        <f ca="1">+WORLDCUP!BD66</f>
        <v>Irak</v>
      </c>
      <c r="H74" s="9" t="str">
        <f ca="1">+WORLDCUP!BD63</f>
        <v>Japón</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Catar</v>
      </c>
      <c r="F75" s="9" t="str">
        <f ca="1">+WORLDCUP!BD61</f>
        <v>Turquía</v>
      </c>
      <c r="G75" s="9" t="str">
        <f ca="1">+WORLDCUP!BD67</f>
        <v>Austria</v>
      </c>
      <c r="H75" s="9" t="str">
        <f ca="1">+WORLDCUP!BD63</f>
        <v>Japón</v>
      </c>
      <c r="I75" s="9" t="str">
        <f ca="1">+WORLDCUP!BD69</f>
        <v>Ghana</v>
      </c>
      <c r="J75" s="9" t="str">
        <f ca="1">+WORLDCUP!BD66</f>
        <v>Irak</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Catar</v>
      </c>
      <c r="F76" s="9" t="str">
        <f ca="1">+WORLDCUP!BD61</f>
        <v>Turquía</v>
      </c>
      <c r="G76" s="9" t="str">
        <f ca="1">+WORLDCUP!BD67</f>
        <v>Austria</v>
      </c>
      <c r="H76" s="9" t="str">
        <f ca="1">+WORLDCUP!BD63</f>
        <v>Japón</v>
      </c>
      <c r="I76" s="9" t="str">
        <f ca="1">+WORLDCUP!BD66</f>
        <v>Irak</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Catar</v>
      </c>
      <c r="F77" s="9" t="str">
        <f ca="1">+WORLDCUP!BD61</f>
        <v>Turquía</v>
      </c>
      <c r="G77" s="9" t="str">
        <f ca="1">+WORLDCUP!BD65</f>
        <v>Arabia Saudita</v>
      </c>
      <c r="H77" s="9" t="str">
        <f ca="1">+WORLDCUP!BD63</f>
        <v>Japón</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Turquía</v>
      </c>
      <c r="G78" s="9" t="str">
        <f ca="1">+WORLDCUP!BD67</f>
        <v>Austria</v>
      </c>
      <c r="H78" s="9" t="str">
        <f ca="1">+WORLDCUP!BD63</f>
        <v>Japón</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Turquía</v>
      </c>
      <c r="G79" s="9" t="str">
        <f ca="1">+WORLDCUP!BD67</f>
        <v>Austria</v>
      </c>
      <c r="H79" s="9" t="str">
        <f ca="1">+WORLDCUP!BD63</f>
        <v>Japón</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Catar</v>
      </c>
      <c r="F80" s="9" t="str">
        <f ca="1">+WORLDCUP!BD61</f>
        <v>Turquía</v>
      </c>
      <c r="G80" s="9" t="str">
        <f ca="1">+WORLDCUP!BD65</f>
        <v>Arabia Saudita</v>
      </c>
      <c r="H80" s="9" t="str">
        <f ca="1">+WORLDCUP!BD63</f>
        <v>Japón</v>
      </c>
      <c r="I80" s="9" t="str">
        <f ca="1">+WORLDCUP!BD69</f>
        <v>Ghana</v>
      </c>
      <c r="J80" s="9" t="str">
        <f ca="1">+WORLDCUP!BD66</f>
        <v>Irak</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Catar</v>
      </c>
      <c r="F81" s="9" t="str">
        <f ca="1">+WORLDCUP!BD61</f>
        <v>Turquía</v>
      </c>
      <c r="G81" s="9" t="str">
        <f ca="1">+WORLDCUP!BD65</f>
        <v>Arabia Saudita</v>
      </c>
      <c r="H81" s="9" t="str">
        <f ca="1">+WORLDCUP!BD63</f>
        <v>Japón</v>
      </c>
      <c r="I81" s="9" t="str">
        <f ca="1">+WORLDCUP!BD66</f>
        <v>Irak</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Turquía</v>
      </c>
      <c r="G82" s="9" t="str">
        <f ca="1">+WORLDCUP!BD67</f>
        <v>Austria</v>
      </c>
      <c r="H82" s="9" t="str">
        <f ca="1">+WORLDCUP!BD63</f>
        <v>Japón</v>
      </c>
      <c r="I82" s="9" t="str">
        <f ca="1">+WORLDCUP!BD62</f>
        <v>Ecuador</v>
      </c>
      <c r="J82" s="9" t="str">
        <f ca="1">+WORLDCUP!BD66</f>
        <v>Irak</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Catar</v>
      </c>
      <c r="F83" s="9" t="str">
        <f ca="1">+WORLDCUP!BD60</f>
        <v>Marruecos</v>
      </c>
      <c r="G83" s="9" t="str">
        <f ca="1">+WORLDCUP!BD66</f>
        <v>Irak</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Catar</v>
      </c>
      <c r="F84" s="9" t="str">
        <f ca="1">+WORLDCUP!BD60</f>
        <v>Marruecos</v>
      </c>
      <c r="G84" s="9" t="str">
        <f ca="1">+WORLDCUP!BD66</f>
        <v>Irak</v>
      </c>
      <c r="H84" s="9" t="str">
        <f ca="1">+WORLDCUP!BD63</f>
        <v>Japón</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Irak</v>
      </c>
      <c r="D85" s="9" t="str">
        <f ca="1">+WORLDCUP!BD64</f>
        <v>Irán</v>
      </c>
      <c r="E85" s="9" t="str">
        <f ca="1">+WORLDCUP!BD59</f>
        <v>Catar</v>
      </c>
      <c r="F85" s="9" t="str">
        <f ca="1">+WORLDCUP!BD60</f>
        <v>Marruecos</v>
      </c>
      <c r="G85" s="9" t="str">
        <f ca="1">+WORLDCUP!BD67</f>
        <v>Austria</v>
      </c>
      <c r="H85" s="9" t="str">
        <f ca="1">+WORLDCUP!BD63</f>
        <v>Japón</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Marruecos</v>
      </c>
      <c r="G86" s="9" t="str">
        <f ca="1">+WORLDCUP!BD67</f>
        <v>Austria</v>
      </c>
      <c r="H86" s="9" t="str">
        <f ca="1">+WORLDCUP!BD63</f>
        <v>Japón</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Marruecos</v>
      </c>
      <c r="G87" s="9" t="str">
        <f ca="1">+WORLDCUP!BD66</f>
        <v>Irak</v>
      </c>
      <c r="H87" s="9" t="str">
        <f ca="1">+WORLDCUP!BD63</f>
        <v>Japón</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Marruecos</v>
      </c>
      <c r="G88" s="9" t="str">
        <f ca="1">+WORLDCUP!BD67</f>
        <v>Austria</v>
      </c>
      <c r="H88" s="9" t="str">
        <f ca="1">+WORLDCUP!BD63</f>
        <v>Japón</v>
      </c>
      <c r="I88" s="9" t="str">
        <f ca="1">+WORLDCUP!BD69</f>
        <v>Ghana</v>
      </c>
      <c r="J88" s="9" t="str">
        <f ca="1">+WORLDCUP!BD66</f>
        <v>Irak</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Marruecos</v>
      </c>
      <c r="G89" s="9" t="str">
        <f ca="1">+WORLDCUP!BD67</f>
        <v>Austria</v>
      </c>
      <c r="H89" s="9" t="str">
        <f ca="1">+WORLDCUP!BD63</f>
        <v>Japón</v>
      </c>
      <c r="I89" s="9" t="str">
        <f ca="1">+WORLDCUP!BD66</f>
        <v>Irak</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Austria</v>
      </c>
      <c r="E90" s="9" t="str">
        <f ca="1">+WORLDCUP!BD59</f>
        <v>Catar</v>
      </c>
      <c r="F90" s="9" t="str">
        <f ca="1">+WORLDCUP!BD60</f>
        <v>Marruecos</v>
      </c>
      <c r="G90" s="9" t="str">
        <f ca="1">+WORLDCUP!BD66</f>
        <v>Irak</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Austria</v>
      </c>
      <c r="E91" s="9" t="str">
        <f ca="1">+WORLDCUP!BD59</f>
        <v>Catar</v>
      </c>
      <c r="F91" s="9" t="str">
        <f ca="1">+WORLDCUP!BD60</f>
        <v>Marruecos</v>
      </c>
      <c r="G91" s="9" t="str">
        <f ca="1">+WORLDCUP!BD66</f>
        <v>Irak</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Austria</v>
      </c>
      <c r="E92" s="9" t="str">
        <f ca="1">+WORLDCUP!BD59</f>
        <v>Catar</v>
      </c>
      <c r="F92" s="9" t="str">
        <f ca="1">+WORLDCUP!BD60</f>
        <v>Marruecos</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Catar</v>
      </c>
      <c r="F93" s="9" t="str">
        <f ca="1">+WORLDCUP!BD60</f>
        <v>Marruecos</v>
      </c>
      <c r="G93" s="9" t="str">
        <f ca="1">+WORLDCUP!BD66</f>
        <v>Irak</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Austria</v>
      </c>
      <c r="E94" s="9" t="str">
        <f ca="1">+WORLDCUP!BD59</f>
        <v>Catar</v>
      </c>
      <c r="F94" s="9" t="str">
        <f ca="1">+WORLDCUP!BD60</f>
        <v>Marruecos</v>
      </c>
      <c r="G94" s="9" t="str">
        <f ca="1">+WORLDCUP!BD65</f>
        <v>Arabia Saudita</v>
      </c>
      <c r="H94" s="9" t="str">
        <f ca="1">+WORLDCUP!BD64</f>
        <v>Irán</v>
      </c>
      <c r="I94" s="9" t="str">
        <f ca="1">+WORLDCUP!BD69</f>
        <v>Ghana</v>
      </c>
      <c r="J94" s="9" t="str">
        <f ca="1">+WORLDCUP!BD66</f>
        <v>Irak</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Austria</v>
      </c>
      <c r="E95" s="9" t="str">
        <f ca="1">+WORLDCUP!BD59</f>
        <v>Catar</v>
      </c>
      <c r="F95" s="9" t="str">
        <f ca="1">+WORLDCUP!BD60</f>
        <v>Marruecos</v>
      </c>
      <c r="G95" s="9" t="str">
        <f ca="1">+WORLDCUP!BD65</f>
        <v>Arabia Saudita</v>
      </c>
      <c r="H95" s="9" t="str">
        <f ca="1">+WORLDCUP!BD64</f>
        <v>Irán</v>
      </c>
      <c r="I95" s="9" t="str">
        <f ca="1">+WORLDCUP!BD66</f>
        <v>Irak</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Austria</v>
      </c>
      <c r="E96" s="9" t="str">
        <f ca="1">+WORLDCUP!BD59</f>
        <v>Catar</v>
      </c>
      <c r="F96" s="9" t="str">
        <f ca="1">+WORLDCUP!BD60</f>
        <v>Marruecos</v>
      </c>
      <c r="G96" s="9" t="str">
        <f ca="1">+WORLDCUP!BD66</f>
        <v>Irak</v>
      </c>
      <c r="H96" s="9" t="str">
        <f ca="1">+WORLDCUP!BD63</f>
        <v>Japón</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Austria</v>
      </c>
      <c r="E97" s="9" t="str">
        <f ca="1">+WORLDCUP!BD59</f>
        <v>Catar</v>
      </c>
      <c r="F97" s="9" t="str">
        <f ca="1">+WORLDCUP!BD60</f>
        <v>Marruecos</v>
      </c>
      <c r="G97" s="9" t="str">
        <f ca="1">+WORLDCUP!BD65</f>
        <v>Arabia Saudita</v>
      </c>
      <c r="H97" s="9" t="str">
        <f ca="1">+WORLDCUP!BD63</f>
        <v>Japón</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Irak</v>
      </c>
      <c r="E98" s="9" t="str">
        <f ca="1">+WORLDCUP!BD59</f>
        <v>Catar</v>
      </c>
      <c r="F98" s="9" t="str">
        <f ca="1">+WORLDCUP!BD60</f>
        <v>Marruecos</v>
      </c>
      <c r="G98" s="9" t="str">
        <f ca="1">+WORLDCUP!BD65</f>
        <v>Arabia Saudita</v>
      </c>
      <c r="H98" s="9" t="str">
        <f ca="1">+WORLDCUP!BD63</f>
        <v>Japón</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Austria</v>
      </c>
      <c r="E99" s="9" t="str">
        <f ca="1">+WORLDCUP!BD59</f>
        <v>Catar</v>
      </c>
      <c r="F99" s="9" t="str">
        <f ca="1">+WORLDCUP!BD60</f>
        <v>Marruecos</v>
      </c>
      <c r="G99" s="9" t="str">
        <f ca="1">+WORLDCUP!BD65</f>
        <v>Arabia Saudita</v>
      </c>
      <c r="H99" s="9" t="str">
        <f ca="1">+WORLDCUP!BD63</f>
        <v>Japón</v>
      </c>
      <c r="I99" s="9" t="str">
        <f ca="1">+WORLDCUP!BD69</f>
        <v>Ghana</v>
      </c>
      <c r="J99" s="9" t="str">
        <f ca="1">+WORLDCUP!BD66</f>
        <v>Irak</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Austria</v>
      </c>
      <c r="E100" s="9" t="str">
        <f ca="1">+WORLDCUP!BD59</f>
        <v>Catar</v>
      </c>
      <c r="F100" s="9" t="str">
        <f ca="1">+WORLDCUP!BD60</f>
        <v>Marruecos</v>
      </c>
      <c r="G100" s="9" t="str">
        <f ca="1">+WORLDCUP!BD65</f>
        <v>Arabia Saudita</v>
      </c>
      <c r="H100" s="9" t="str">
        <f ca="1">+WORLDCUP!BD63</f>
        <v>Japón</v>
      </c>
      <c r="I100" s="9" t="str">
        <f ca="1">+WORLDCUP!BD66</f>
        <v>Irak</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Catar</v>
      </c>
      <c r="F101" s="9" t="str">
        <f ca="1">+WORLDCUP!BD60</f>
        <v>Marruecos</v>
      </c>
      <c r="G101" s="9" t="str">
        <f ca="1">+WORLDCUP!BD67</f>
        <v>Austria</v>
      </c>
      <c r="H101" s="9" t="str">
        <f ca="1">+WORLDCUP!BD63</f>
        <v>Japón</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Catar</v>
      </c>
      <c r="F102" s="9" t="str">
        <f ca="1">+WORLDCUP!BD60</f>
        <v>Marruecos</v>
      </c>
      <c r="G102" s="9" t="str">
        <f ca="1">+WORLDCUP!BD66</f>
        <v>Irak</v>
      </c>
      <c r="H102" s="9" t="str">
        <f ca="1">+WORLDCUP!BD63</f>
        <v>Japón</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Catar</v>
      </c>
      <c r="F103" s="9" t="str">
        <f ca="1">+WORLDCUP!BD60</f>
        <v>Marruecos</v>
      </c>
      <c r="G103" s="9" t="str">
        <f ca="1">+WORLDCUP!BD67</f>
        <v>Austria</v>
      </c>
      <c r="H103" s="9" t="str">
        <f ca="1">+WORLDCUP!BD63</f>
        <v>Japón</v>
      </c>
      <c r="I103" s="9" t="str">
        <f ca="1">+WORLDCUP!BD69</f>
        <v>Ghana</v>
      </c>
      <c r="J103" s="9" t="str">
        <f ca="1">+WORLDCUP!BD66</f>
        <v>Irak</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Catar</v>
      </c>
      <c r="F104" s="9" t="str">
        <f ca="1">+WORLDCUP!BD60</f>
        <v>Marruecos</v>
      </c>
      <c r="G104" s="9" t="str">
        <f ca="1">+WORLDCUP!BD67</f>
        <v>Austria</v>
      </c>
      <c r="H104" s="9" t="str">
        <f ca="1">+WORLDCUP!BD63</f>
        <v>Japón</v>
      </c>
      <c r="I104" s="9" t="str">
        <f ca="1">+WORLDCUP!BD66</f>
        <v>Irak</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Catar</v>
      </c>
      <c r="F105" s="9" t="str">
        <f ca="1">+WORLDCUP!BD60</f>
        <v>Marruecos</v>
      </c>
      <c r="G105" s="9" t="str">
        <f ca="1">+WORLDCUP!BD65</f>
        <v>Arabia Saudita</v>
      </c>
      <c r="H105" s="9" t="str">
        <f ca="1">+WORLDCUP!BD63</f>
        <v>Japón</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Marruecos</v>
      </c>
      <c r="G106" s="9" t="str">
        <f ca="1">+WORLDCUP!BD67</f>
        <v>Austria</v>
      </c>
      <c r="H106" s="9" t="str">
        <f ca="1">+WORLDCUP!BD63</f>
        <v>Japón</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Marruecos</v>
      </c>
      <c r="G107" s="9" t="str">
        <f ca="1">+WORLDCUP!BD67</f>
        <v>Austria</v>
      </c>
      <c r="H107" s="9" t="str">
        <f ca="1">+WORLDCUP!BD63</f>
        <v>Japón</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Catar</v>
      </c>
      <c r="F108" s="9" t="str">
        <f ca="1">+WORLDCUP!BD60</f>
        <v>Marruecos</v>
      </c>
      <c r="G108" s="9" t="str">
        <f ca="1">+WORLDCUP!BD65</f>
        <v>Arabia Saudita</v>
      </c>
      <c r="H108" s="9" t="str">
        <f ca="1">+WORLDCUP!BD63</f>
        <v>Japón</v>
      </c>
      <c r="I108" s="9" t="str">
        <f ca="1">+WORLDCUP!BD69</f>
        <v>Ghana</v>
      </c>
      <c r="J108" s="9" t="str">
        <f ca="1">+WORLDCUP!BD66</f>
        <v>Irak</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Catar</v>
      </c>
      <c r="F109" s="9" t="str">
        <f ca="1">+WORLDCUP!BD60</f>
        <v>Marruecos</v>
      </c>
      <c r="G109" s="9" t="str">
        <f ca="1">+WORLDCUP!BD65</f>
        <v>Arabia Saudita</v>
      </c>
      <c r="H109" s="9" t="str">
        <f ca="1">+WORLDCUP!BD63</f>
        <v>Japón</v>
      </c>
      <c r="I109" s="9" t="str">
        <f ca="1">+WORLDCUP!BD66</f>
        <v>Irak</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Marruecos</v>
      </c>
      <c r="G110" s="9" t="str">
        <f ca="1">+WORLDCUP!BD67</f>
        <v>Austria</v>
      </c>
      <c r="H110" s="9" t="str">
        <f ca="1">+WORLDCUP!BD63</f>
        <v>Japón</v>
      </c>
      <c r="I110" s="9" t="str">
        <f ca="1">+WORLDCUP!BD62</f>
        <v>Ecuador</v>
      </c>
      <c r="J110" s="9" t="str">
        <f ca="1">+WORLDCUP!BD66</f>
        <v>Irak</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Catar</v>
      </c>
      <c r="F111" s="9" t="str">
        <f ca="1">+WORLDCUP!BD60</f>
        <v>Marruecos</v>
      </c>
      <c r="G111" s="9" t="str">
        <f ca="1">+WORLDCUP!BD66</f>
        <v>Irak</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Irak</v>
      </c>
      <c r="D112" s="9" t="str">
        <f ca="1">+WORLDCUP!BD64</f>
        <v>Irán</v>
      </c>
      <c r="E112" s="9" t="str">
        <f ca="1">+WORLDCUP!BD59</f>
        <v>Catar</v>
      </c>
      <c r="F112" s="9" t="str">
        <f ca="1">+WORLDCUP!BD60</f>
        <v>Marruecos</v>
      </c>
      <c r="G112" s="9" t="str">
        <f ca="1">+WORLDCUP!BD67</f>
        <v>Austria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Marruecos</v>
      </c>
      <c r="G113" s="9" t="str">
        <f ca="1">+WORLDCUP!BD67</f>
        <v>Austria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Marruecos</v>
      </c>
      <c r="G114" s="9" t="str">
        <f ca="1">+WORLDCUP!BD66</f>
        <v>Irak</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Marruecos</v>
      </c>
      <c r="G115" s="9" t="str">
        <f ca="1">+WORLDCUP!BD67</f>
        <v>Austria</v>
      </c>
      <c r="H115" s="9" t="str">
        <f ca="1">+WORLDCUP!BD61</f>
        <v>Turquía</v>
      </c>
      <c r="I115" s="9" t="str">
        <f ca="1">+WORLDCUP!BD69</f>
        <v>Ghana</v>
      </c>
      <c r="J115" s="9" t="str">
        <f ca="1">+WORLDCUP!BD66</f>
        <v>Irak</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Marruecos</v>
      </c>
      <c r="G116" s="9" t="str">
        <f ca="1">+WORLDCUP!BD67</f>
        <v>Austria</v>
      </c>
      <c r="H116" s="9" t="str">
        <f ca="1">+WORLDCUP!BD61</f>
        <v>Turquía</v>
      </c>
      <c r="I116" s="9" t="str">
        <f ca="1">+WORLDCUP!BD66</f>
        <v>Irak</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Austria</v>
      </c>
      <c r="E117" s="9" t="str">
        <f ca="1">+WORLDCUP!BD59</f>
        <v>Catar</v>
      </c>
      <c r="F117" s="9" t="str">
        <f ca="1">+WORLDCUP!BD61</f>
        <v>Turquía</v>
      </c>
      <c r="G117" s="9" t="str">
        <f ca="1">+WORLDCUP!BD66</f>
        <v>Irak</v>
      </c>
      <c r="H117" s="9" t="str">
        <f ca="1">+WORLDCUP!BD63</f>
        <v>Japón</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Austria</v>
      </c>
      <c r="E118" s="9" t="str">
        <f ca="1">+WORLDCUP!BD59</f>
        <v>Catar</v>
      </c>
      <c r="F118" s="9" t="str">
        <f ca="1">+WORLDCUP!BD61</f>
        <v>Turquía</v>
      </c>
      <c r="G118" s="9" t="str">
        <f ca="1">+WORLDCUP!BD65</f>
        <v>Arabia Saudita</v>
      </c>
      <c r="H118" s="9" t="str">
        <f ca="1">+WORLDCUP!BD63</f>
        <v>Japón</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Irak</v>
      </c>
      <c r="E119" s="9" t="str">
        <f ca="1">+WORLDCUP!BD59</f>
        <v>Catar</v>
      </c>
      <c r="F119" s="9" t="str">
        <f ca="1">+WORLDCUP!BD61</f>
        <v>Turquía</v>
      </c>
      <c r="G119" s="9" t="str">
        <f ca="1">+WORLDCUP!BD65</f>
        <v>Arabia Saudita</v>
      </c>
      <c r="H119" s="9" t="str">
        <f ca="1">+WORLDCUP!BD63</f>
        <v>Japón</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Austria</v>
      </c>
      <c r="E120" s="9" t="str">
        <f ca="1">+WORLDCUP!BD59</f>
        <v>Catar</v>
      </c>
      <c r="F120" s="9" t="str">
        <f ca="1">+WORLDCUP!BD61</f>
        <v>Turquía</v>
      </c>
      <c r="G120" s="9" t="str">
        <f ca="1">+WORLDCUP!BD65</f>
        <v>Arabia Saudita</v>
      </c>
      <c r="H120" s="9" t="str">
        <f ca="1">+WORLDCUP!BD63</f>
        <v>Japón</v>
      </c>
      <c r="I120" s="9" t="str">
        <f ca="1">+WORLDCUP!BD69</f>
        <v>Ghana</v>
      </c>
      <c r="J120" s="9" t="str">
        <f ca="1">+WORLDCUP!BD66</f>
        <v>Irak</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Austria</v>
      </c>
      <c r="E121" s="9" t="str">
        <f ca="1">+WORLDCUP!BD59</f>
        <v>Catar</v>
      </c>
      <c r="F121" s="9" t="str">
        <f ca="1">+WORLDCUP!BD61</f>
        <v>Turquía</v>
      </c>
      <c r="G121" s="9" t="str">
        <f ca="1">+WORLDCUP!BD65</f>
        <v>Arabia Saudita</v>
      </c>
      <c r="H121" s="9" t="str">
        <f ca="1">+WORLDCUP!BD63</f>
        <v>Japón</v>
      </c>
      <c r="I121" s="9" t="str">
        <f ca="1">+WORLDCUP!BD66</f>
        <v>Irak</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Irán</v>
      </c>
      <c r="E122" s="9" t="str">
        <f ca="1">+WORLDCUP!BD59</f>
        <v>Catar</v>
      </c>
      <c r="F122" s="9" t="str">
        <f ca="1">+WORLDCUP!BD61</f>
        <v>Turquía</v>
      </c>
      <c r="G122" s="9" t="str">
        <f ca="1">+WORLDCUP!BD67</f>
        <v>Austria</v>
      </c>
      <c r="H122" s="9" t="str">
        <f ca="1">+WORLDCUP!BD63</f>
        <v>Japón</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Irán</v>
      </c>
      <c r="E123" s="9" t="str">
        <f ca="1">+WORLDCUP!BD59</f>
        <v>Catar</v>
      </c>
      <c r="F123" s="9" t="str">
        <f ca="1">+WORLDCUP!BD61</f>
        <v>Turquía</v>
      </c>
      <c r="G123" s="9" t="str">
        <f ca="1">+WORLDCUP!BD66</f>
        <v>Irak</v>
      </c>
      <c r="H123" s="9" t="str">
        <f ca="1">+WORLDCUP!BD63</f>
        <v>Japón</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Irán</v>
      </c>
      <c r="E124" s="9" t="str">
        <f ca="1">+WORLDCUP!BD59</f>
        <v>Catar</v>
      </c>
      <c r="F124" s="9" t="str">
        <f ca="1">+WORLDCUP!BD61</f>
        <v>Turquía</v>
      </c>
      <c r="G124" s="9" t="str">
        <f ca="1">+WORLDCUP!BD67</f>
        <v>Austria</v>
      </c>
      <c r="H124" s="9" t="str">
        <f ca="1">+WORLDCUP!BD63</f>
        <v>Japón</v>
      </c>
      <c r="I124" s="9" t="str">
        <f ca="1">+WORLDCUP!BD69</f>
        <v>Ghana</v>
      </c>
      <c r="J124" s="9" t="str">
        <f ca="1">+WORLDCUP!BD66</f>
        <v>Irak</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Irán</v>
      </c>
      <c r="E125" s="9" t="str">
        <f ca="1">+WORLDCUP!BD59</f>
        <v>Catar</v>
      </c>
      <c r="F125" s="9" t="str">
        <f ca="1">+WORLDCUP!BD61</f>
        <v>Turquía</v>
      </c>
      <c r="G125" s="9" t="str">
        <f ca="1">+WORLDCUP!BD67</f>
        <v>Austria</v>
      </c>
      <c r="H125" s="9" t="str">
        <f ca="1">+WORLDCUP!BD63</f>
        <v>Japón</v>
      </c>
      <c r="I125" s="9" t="str">
        <f ca="1">+WORLDCUP!BD66</f>
        <v>Irak</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Irán</v>
      </c>
      <c r="E126" s="9" t="str">
        <f ca="1">+WORLDCUP!BD59</f>
        <v>Catar</v>
      </c>
      <c r="F126" s="9" t="str">
        <f ca="1">+WORLDCUP!BD61</f>
        <v>Turquía</v>
      </c>
      <c r="G126" s="9" t="str">
        <f ca="1">+WORLDCUP!BD65</f>
        <v>Arabia Saudita</v>
      </c>
      <c r="H126" s="9" t="str">
        <f ca="1">+WORLDCUP!BD63</f>
        <v>Japón</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Irán</v>
      </c>
      <c r="E127" s="9" t="str">
        <f ca="1">+WORLDCUP!BD59</f>
        <v>Catar</v>
      </c>
      <c r="F127" s="9" t="str">
        <f ca="1">+WORLDCUP!BD61</f>
        <v>Turquía</v>
      </c>
      <c r="G127" s="9" t="str">
        <f ca="1">+WORLDCUP!BD65</f>
        <v>Arabia Saudita</v>
      </c>
      <c r="H127" s="9" t="str">
        <f ca="1">+WORLDCUP!BD63</f>
        <v>Japón</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Marruecos</v>
      </c>
      <c r="G128" s="9" t="str">
        <f ca="1">+WORLDCUP!BD67</f>
        <v>Austria</v>
      </c>
      <c r="H128" s="9" t="str">
        <f ca="1">+WORLDCUP!BD63</f>
        <v>Japón</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Irán</v>
      </c>
      <c r="E129" s="9" t="str">
        <f ca="1">+WORLDCUP!BD59</f>
        <v>Catar</v>
      </c>
      <c r="F129" s="9" t="str">
        <f ca="1">+WORLDCUP!BD61</f>
        <v>Turquía</v>
      </c>
      <c r="G129" s="9" t="str">
        <f ca="1">+WORLDCUP!BD65</f>
        <v>Arabia Saudita</v>
      </c>
      <c r="H129" s="9" t="str">
        <f ca="1">+WORLDCUP!BD63</f>
        <v>Japón</v>
      </c>
      <c r="I129" s="9" t="str">
        <f ca="1">+WORLDCUP!BD69</f>
        <v>Ghana</v>
      </c>
      <c r="J129" s="9" t="str">
        <f ca="1">+WORLDCUP!BD66</f>
        <v>Irak</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Irán</v>
      </c>
      <c r="E130" s="9" t="str">
        <f ca="1">+WORLDCUP!BD59</f>
        <v>Catar</v>
      </c>
      <c r="F130" s="9" t="str">
        <f ca="1">+WORLDCUP!BD61</f>
        <v>Turquía</v>
      </c>
      <c r="G130" s="9" t="str">
        <f ca="1">+WORLDCUP!BD65</f>
        <v>Arabia Saudita</v>
      </c>
      <c r="H130" s="9" t="str">
        <f ca="1">+WORLDCUP!BD63</f>
        <v>Japón</v>
      </c>
      <c r="I130" s="9" t="str">
        <f ca="1">+WORLDCUP!BD66</f>
        <v>Irak</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Marruecos</v>
      </c>
      <c r="G131" s="9" t="str">
        <f ca="1">+WORLDCUP!BD67</f>
        <v>Austria</v>
      </c>
      <c r="H131" s="9" t="str">
        <f ca="1">+WORLDCUP!BD63</f>
        <v>Japón</v>
      </c>
      <c r="I131" s="9" t="str">
        <f ca="1">+WORLDCUP!BD61</f>
        <v>Turquía</v>
      </c>
      <c r="J131" s="9" t="str">
        <f ca="1">+WORLDCUP!BD66</f>
        <v>Irak</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Austria</v>
      </c>
      <c r="E132" s="9" t="str">
        <f ca="1">+WORLDCUP!BD59</f>
        <v>Catar</v>
      </c>
      <c r="F132" s="9" t="str">
        <f ca="1">+WORLDCUP!BD60</f>
        <v>Marruecos</v>
      </c>
      <c r="G132" s="9" t="str">
        <f ca="1">+WORLDCUP!BD66</f>
        <v>Irak</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Austria</v>
      </c>
      <c r="E133" s="9" t="str">
        <f ca="1">+WORLDCUP!BD59</f>
        <v>Catar</v>
      </c>
      <c r="F133" s="9" t="str">
        <f ca="1">+WORLDCUP!BD60</f>
        <v>Marruecos</v>
      </c>
      <c r="G133" s="9" t="str">
        <f ca="1">+WORLDCUP!BD65</f>
        <v>Arabia Saudita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Irak</v>
      </c>
      <c r="E134" s="9" t="str">
        <f ca="1">+WORLDCUP!BD59</f>
        <v>Catar</v>
      </c>
      <c r="F134" s="9" t="str">
        <f ca="1">+WORLDCUP!BD60</f>
        <v>Marruecos</v>
      </c>
      <c r="G134" s="9" t="str">
        <f ca="1">+WORLDCUP!BD65</f>
        <v>Arabia Saudita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Austria</v>
      </c>
      <c r="E135" s="9" t="str">
        <f ca="1">+WORLDCUP!BD59</f>
        <v>Catar</v>
      </c>
      <c r="F135" s="9" t="str">
        <f ca="1">+WORLDCUP!BD60</f>
        <v>Marruecos</v>
      </c>
      <c r="G135" s="9" t="str">
        <f ca="1">+WORLDCUP!BD65</f>
        <v>Arabia Saudita</v>
      </c>
      <c r="H135" s="9" t="str">
        <f ca="1">+WORLDCUP!BD61</f>
        <v>Turquía</v>
      </c>
      <c r="I135" s="9" t="str">
        <f ca="1">+WORLDCUP!BD69</f>
        <v>Ghana</v>
      </c>
      <c r="J135" s="9" t="str">
        <f ca="1">+WORLDCUP!BD66</f>
        <v>Irak</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Austria</v>
      </c>
      <c r="E136" s="9" t="str">
        <f ca="1">+WORLDCUP!BD59</f>
        <v>Catar</v>
      </c>
      <c r="F136" s="9" t="str">
        <f ca="1">+WORLDCUP!BD60</f>
        <v>Marruecos</v>
      </c>
      <c r="G136" s="9" t="str">
        <f ca="1">+WORLDCUP!BD65</f>
        <v>Arabia Saudita</v>
      </c>
      <c r="H136" s="9" t="str">
        <f ca="1">+WORLDCUP!BD61</f>
        <v>Turquía</v>
      </c>
      <c r="I136" s="9" t="str">
        <f ca="1">+WORLDCUP!BD66</f>
        <v>Irak</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Catar</v>
      </c>
      <c r="F137" s="9" t="str">
        <f ca="1">+WORLDCUP!BD60</f>
        <v>Marruecos</v>
      </c>
      <c r="G137" s="9" t="str">
        <f ca="1">+WORLDCUP!BD67</f>
        <v>Austria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Catar</v>
      </c>
      <c r="F138" s="9" t="str">
        <f ca="1">+WORLDCUP!BD60</f>
        <v>Marruecos</v>
      </c>
      <c r="G138" s="9" t="str">
        <f ca="1">+WORLDCUP!BD66</f>
        <v>Irak</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Catar</v>
      </c>
      <c r="F139" s="9" t="str">
        <f ca="1">+WORLDCUP!BD60</f>
        <v>Marruecos</v>
      </c>
      <c r="G139" s="9" t="str">
        <f ca="1">+WORLDCUP!BD67</f>
        <v>Austria</v>
      </c>
      <c r="H139" s="9" t="str">
        <f ca="1">+WORLDCUP!BD61</f>
        <v>Turquía</v>
      </c>
      <c r="I139" s="9" t="str">
        <f ca="1">+WORLDCUP!BD69</f>
        <v>Ghana</v>
      </c>
      <c r="J139" s="9" t="str">
        <f ca="1">+WORLDCUP!BD66</f>
        <v>Irak</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Catar</v>
      </c>
      <c r="F140" s="9" t="str">
        <f ca="1">+WORLDCUP!BD60</f>
        <v>Marruecos</v>
      </c>
      <c r="G140" s="9" t="str">
        <f ca="1">+WORLDCUP!BD67</f>
        <v>Austria</v>
      </c>
      <c r="H140" s="9" t="str">
        <f ca="1">+WORLDCUP!BD61</f>
        <v>Turquía</v>
      </c>
      <c r="I140" s="9" t="str">
        <f ca="1">+WORLDCUP!BD66</f>
        <v>Irak</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Catar</v>
      </c>
      <c r="F141" s="9" t="str">
        <f ca="1">+WORLDCUP!BD60</f>
        <v>Marruecos</v>
      </c>
      <c r="G141" s="9" t="str">
        <f ca="1">+WORLDCUP!BD65</f>
        <v>Arabia Saudita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Marruecos</v>
      </c>
      <c r="G142" s="9" t="str">
        <f ca="1">+WORLDCUP!BD67</f>
        <v>Austria</v>
      </c>
      <c r="H142" s="9" t="str">
        <f ca="1">+WORLDCUP!BD61</f>
        <v>Turquía</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Marruecos</v>
      </c>
      <c r="G143" s="9" t="str">
        <f ca="1">+WORLDCUP!BD67</f>
        <v>Austria</v>
      </c>
      <c r="H143" s="9" t="str">
        <f ca="1">+WORLDCUP!BD61</f>
        <v>Turquía</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Catar</v>
      </c>
      <c r="F144" s="9" t="str">
        <f ca="1">+WORLDCUP!BD60</f>
        <v>Marruecos</v>
      </c>
      <c r="G144" s="9" t="str">
        <f ca="1">+WORLDCUP!BD65</f>
        <v>Arabia Saudita</v>
      </c>
      <c r="H144" s="9" t="str">
        <f ca="1">+WORLDCUP!BD61</f>
        <v>Turquía</v>
      </c>
      <c r="I144" s="9" t="str">
        <f ca="1">+WORLDCUP!BD69</f>
        <v>Ghana</v>
      </c>
      <c r="J144" s="9" t="str">
        <f ca="1">+WORLDCUP!BD66</f>
        <v>Irak</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Catar</v>
      </c>
      <c r="F145" s="9" t="str">
        <f ca="1">+WORLDCUP!BD60</f>
        <v>Marruecos</v>
      </c>
      <c r="G145" s="9" t="str">
        <f ca="1">+WORLDCUP!BD65</f>
        <v>Arabia Saudita</v>
      </c>
      <c r="H145" s="9" t="str">
        <f ca="1">+WORLDCUP!BD61</f>
        <v>Turquía</v>
      </c>
      <c r="I145" s="9" t="str">
        <f ca="1">+WORLDCUP!BD66</f>
        <v>Irak</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Marruecos</v>
      </c>
      <c r="G146" s="9" t="str">
        <f ca="1">+WORLDCUP!BD67</f>
        <v>Austria</v>
      </c>
      <c r="H146" s="9" t="str">
        <f ca="1">+WORLDCUP!BD61</f>
        <v>Turquía</v>
      </c>
      <c r="I146" s="9" t="str">
        <f ca="1">+WORLDCUP!BD62</f>
        <v>Ecuador</v>
      </c>
      <c r="J146" s="9" t="str">
        <f ca="1">+WORLDCUP!BD66</f>
        <v>Irak</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Austria</v>
      </c>
      <c r="E147" s="9" t="str">
        <f ca="1">+WORLDCUP!BD59</f>
        <v>Catar</v>
      </c>
      <c r="F147" s="9" t="str">
        <f ca="1">+WORLDCUP!BD61</f>
        <v>Turquía</v>
      </c>
      <c r="G147" s="9" t="str">
        <f ca="1">+WORLDCUP!BD62</f>
        <v>Ecuador</v>
      </c>
      <c r="H147" s="9" t="str">
        <f ca="1">+WORLDCUP!BD63</f>
        <v>Japón</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Catar</v>
      </c>
      <c r="F148" s="9" t="str">
        <f ca="1">+WORLDCUP!BD61</f>
        <v>Turquía</v>
      </c>
      <c r="G148" s="9" t="str">
        <f ca="1">+WORLDCUP!BD66</f>
        <v>Irak</v>
      </c>
      <c r="H148" s="9" t="str">
        <f ca="1">+WORLDCUP!BD63</f>
        <v>Japón</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Austria</v>
      </c>
      <c r="E149" s="9" t="str">
        <f ca="1">+WORLDCUP!BD59</f>
        <v>Catar</v>
      </c>
      <c r="F149" s="9" t="str">
        <f ca="1">+WORLDCUP!BD61</f>
        <v>Turquía</v>
      </c>
      <c r="G149" s="9" t="str">
        <f ca="1">+WORLDCUP!BD62</f>
        <v>Ecuador</v>
      </c>
      <c r="H149" s="9" t="str">
        <f ca="1">+WORLDCUP!BD63</f>
        <v>Japón</v>
      </c>
      <c r="I149" s="9" t="str">
        <f ca="1">+WORLDCUP!BD69</f>
        <v>Ghana</v>
      </c>
      <c r="J149" s="9" t="str">
        <f ca="1">+WORLDCUP!BD66</f>
        <v>Irak</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Austria</v>
      </c>
      <c r="E150" s="9" t="str">
        <f ca="1">+WORLDCUP!BD59</f>
        <v>Catar</v>
      </c>
      <c r="F150" s="9" t="str">
        <f ca="1">+WORLDCUP!BD61</f>
        <v>Turquía</v>
      </c>
      <c r="G150" s="9" t="str">
        <f ca="1">+WORLDCUP!BD62</f>
        <v>Ecuador</v>
      </c>
      <c r="H150" s="9" t="str">
        <f ca="1">+WORLDCUP!BD63</f>
        <v>Japón</v>
      </c>
      <c r="I150" s="9" t="str">
        <f ca="1">+WORLDCUP!BD66</f>
        <v>Irak</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Catar</v>
      </c>
      <c r="F151" s="9" t="str">
        <f ca="1">+WORLDCUP!BD61</f>
        <v>Turquía</v>
      </c>
      <c r="G151" s="9" t="str">
        <f ca="1">+WORLDCUP!BD65</f>
        <v>Arabia Saudita</v>
      </c>
      <c r="H151" s="9" t="str">
        <f ca="1">+WORLDCUP!BD63</f>
        <v>Japón</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Austria</v>
      </c>
      <c r="E152" s="9" t="str">
        <f ca="1">+WORLDCUP!BD59</f>
        <v>Catar</v>
      </c>
      <c r="F152" s="9" t="str">
        <f ca="1">+WORLDCUP!BD61</f>
        <v>Turquía</v>
      </c>
      <c r="G152" s="9" t="str">
        <f ca="1">+WORLDCUP!BD65</f>
        <v>Arabia Saudita</v>
      </c>
      <c r="H152" s="9" t="str">
        <f ca="1">+WORLDCUP!BD63</f>
        <v>Japón</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Austria</v>
      </c>
      <c r="E153" s="9" t="str">
        <f ca="1">+WORLDCUP!BD59</f>
        <v>Catar</v>
      </c>
      <c r="F153" s="9" t="str">
        <f ca="1">+WORLDCUP!BD61</f>
        <v>Turquía</v>
      </c>
      <c r="G153" s="9" t="str">
        <f ca="1">+WORLDCUP!BD65</f>
        <v>Arabia Saudita</v>
      </c>
      <c r="H153" s="9" t="str">
        <f ca="1">+WORLDCUP!BD63</f>
        <v>Japón</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Catar</v>
      </c>
      <c r="F154" s="9" t="str">
        <f ca="1">+WORLDCUP!BD61</f>
        <v>Turquía</v>
      </c>
      <c r="G154" s="9" t="str">
        <f ca="1">+WORLDCUP!BD65</f>
        <v>Arabia Saudita</v>
      </c>
      <c r="H154" s="9" t="str">
        <f ca="1">+WORLDCUP!BD63</f>
        <v>Japón</v>
      </c>
      <c r="I154" s="9" t="str">
        <f ca="1">+WORLDCUP!BD69</f>
        <v>Ghana</v>
      </c>
      <c r="J154" s="9" t="str">
        <f ca="1">+WORLDCUP!BD66</f>
        <v>Irak</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Catar</v>
      </c>
      <c r="F155" s="9" t="str">
        <f ca="1">+WORLDCUP!BD61</f>
        <v>Turquía</v>
      </c>
      <c r="G155" s="9" t="str">
        <f ca="1">+WORLDCUP!BD65</f>
        <v>Arabia Saudita</v>
      </c>
      <c r="H155" s="9" t="str">
        <f ca="1">+WORLDCUP!BD63</f>
        <v>Japón</v>
      </c>
      <c r="I155" s="9" t="str">
        <f ca="1">+WORLDCUP!BD66</f>
        <v>Irak</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Austria</v>
      </c>
      <c r="E156" s="9" t="str">
        <f ca="1">+WORLDCUP!BD59</f>
        <v>Catar</v>
      </c>
      <c r="F156" s="9" t="str">
        <f ca="1">+WORLDCUP!BD61</f>
        <v>Turquía</v>
      </c>
      <c r="G156" s="9" t="str">
        <f ca="1">+WORLDCUP!BD65</f>
        <v>Arabia Saudita</v>
      </c>
      <c r="H156" s="9" t="str">
        <f ca="1">+WORLDCUP!BD63</f>
        <v>Japón</v>
      </c>
      <c r="I156" s="9" t="str">
        <f ca="1">+WORLDCUP!BD62</f>
        <v>Ecuador</v>
      </c>
      <c r="J156" s="9" t="str">
        <f ca="1">+WORLDCUP!BD66</f>
        <v>Irak</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Irán</v>
      </c>
      <c r="E157" s="9" t="str">
        <f ca="1">+WORLDCUP!BD59</f>
        <v>Catar</v>
      </c>
      <c r="F157" s="9" t="str">
        <f ca="1">+WORLDCUP!BD61</f>
        <v>Turquía</v>
      </c>
      <c r="G157" s="9" t="str">
        <f ca="1">+WORLDCUP!BD62</f>
        <v>Ecuador</v>
      </c>
      <c r="H157" s="9" t="str">
        <f ca="1">+WORLDCUP!BD63</f>
        <v>Japón</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Irán</v>
      </c>
      <c r="E158" s="9" t="str">
        <f ca="1">+WORLDCUP!BD59</f>
        <v>Catar</v>
      </c>
      <c r="F158" s="9" t="str">
        <f ca="1">+WORLDCUP!BD61</f>
        <v>Turquía</v>
      </c>
      <c r="G158" s="9" t="str">
        <f ca="1">+WORLDCUP!BD67</f>
        <v>Austria</v>
      </c>
      <c r="H158" s="9" t="str">
        <f ca="1">+WORLDCUP!BD63</f>
        <v>Japón</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Irán</v>
      </c>
      <c r="E159" s="9" t="str">
        <f ca="1">+WORLDCUP!BD59</f>
        <v>Catar</v>
      </c>
      <c r="F159" s="9" t="str">
        <f ca="1">+WORLDCUP!BD61</f>
        <v>Turquía</v>
      </c>
      <c r="G159" s="9" t="str">
        <f ca="1">+WORLDCUP!BD67</f>
        <v>Austria</v>
      </c>
      <c r="H159" s="9" t="str">
        <f ca="1">+WORLDCUP!BD63</f>
        <v>Japón</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Irán</v>
      </c>
      <c r="E160" s="9" t="str">
        <f ca="1">+WORLDCUP!BD59</f>
        <v>Catar</v>
      </c>
      <c r="F160" s="9" t="str">
        <f ca="1">+WORLDCUP!BD61</f>
        <v>Turquía</v>
      </c>
      <c r="G160" s="9" t="str">
        <f ca="1">+WORLDCUP!BD62</f>
        <v>Ecuador</v>
      </c>
      <c r="H160" s="9" t="str">
        <f ca="1">+WORLDCUP!BD63</f>
        <v>Japón</v>
      </c>
      <c r="I160" s="9" t="str">
        <f ca="1">+WORLDCUP!BD69</f>
        <v>Ghana</v>
      </c>
      <c r="J160" s="9" t="str">
        <f ca="1">+WORLDCUP!BD66</f>
        <v>Irak</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Irán</v>
      </c>
      <c r="E161" s="9" t="str">
        <f ca="1">+WORLDCUP!BD59</f>
        <v>Catar</v>
      </c>
      <c r="F161" s="9" t="str">
        <f ca="1">+WORLDCUP!BD61</f>
        <v>Turquía</v>
      </c>
      <c r="G161" s="9" t="str">
        <f ca="1">+WORLDCUP!BD62</f>
        <v>Ecuador</v>
      </c>
      <c r="H161" s="9" t="str">
        <f ca="1">+WORLDCUP!BD63</f>
        <v>Japón</v>
      </c>
      <c r="I161" s="9" t="str">
        <f ca="1">+WORLDCUP!BD66</f>
        <v>Irak</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Irán</v>
      </c>
      <c r="E162" s="9" t="str">
        <f ca="1">+WORLDCUP!BD59</f>
        <v>Catar</v>
      </c>
      <c r="F162" s="9" t="str">
        <f ca="1">+WORLDCUP!BD61</f>
        <v>Turquía</v>
      </c>
      <c r="G162" s="9" t="str">
        <f ca="1">+WORLDCUP!BD67</f>
        <v>Austria</v>
      </c>
      <c r="H162" s="9" t="str">
        <f ca="1">+WORLDCUP!BD63</f>
        <v>Japón</v>
      </c>
      <c r="I162" s="9" t="str">
        <f ca="1">+WORLDCUP!BD62</f>
        <v>Ecuador</v>
      </c>
      <c r="J162" s="9" t="str">
        <f ca="1">+WORLDCUP!BD66</f>
        <v>Irak</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Irán</v>
      </c>
      <c r="E163" s="9" t="str">
        <f ca="1">+WORLDCUP!BD59</f>
        <v>Catar</v>
      </c>
      <c r="F163" s="9" t="str">
        <f ca="1">+WORLDCUP!BD61</f>
        <v>Turquía</v>
      </c>
      <c r="G163" s="9" t="str">
        <f ca="1">+WORLDCUP!BD65</f>
        <v>Arabia Saudita</v>
      </c>
      <c r="H163" s="9" t="str">
        <f ca="1">+WORLDCUP!BD63</f>
        <v>Japón</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Irán</v>
      </c>
      <c r="E164" s="9" t="str">
        <f ca="1">+WORLDCUP!BD59</f>
        <v>Catar</v>
      </c>
      <c r="F164" s="9" t="str">
        <f ca="1">+WORLDCUP!BD61</f>
        <v>Turquía</v>
      </c>
      <c r="G164" s="9" t="str">
        <f ca="1">+WORLDCUP!BD65</f>
        <v>Arabia Saudita</v>
      </c>
      <c r="H164" s="9" t="str">
        <f ca="1">+WORLDCUP!BD63</f>
        <v>Japón</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Marruecos</v>
      </c>
      <c r="G165" s="9" t="str">
        <f ca="1">+WORLDCUP!BD67</f>
        <v>Austria</v>
      </c>
      <c r="H165" s="9" t="str">
        <f ca="1">+WORLDCUP!BD63</f>
        <v>Japón</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Irán</v>
      </c>
      <c r="E166" s="9" t="str">
        <f ca="1">+WORLDCUP!BD59</f>
        <v>Catar</v>
      </c>
      <c r="F166" s="9" t="str">
        <f ca="1">+WORLDCUP!BD61</f>
        <v>Turquía</v>
      </c>
      <c r="G166" s="9" t="str">
        <f ca="1">+WORLDCUP!BD65</f>
        <v>Arabia Saudita</v>
      </c>
      <c r="H166" s="9" t="str">
        <f ca="1">+WORLDCUP!BD63</f>
        <v>Japón</v>
      </c>
      <c r="I166" s="9" t="str">
        <f ca="1">+WORLDCUP!BD62</f>
        <v>Ecuador</v>
      </c>
      <c r="J166" s="9" t="str">
        <f ca="1">+WORLDCUP!BD66</f>
        <v>Irak</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Irak</v>
      </c>
      <c r="F167" s="9" t="str">
        <f ca="1">+WORLDCUP!BD63</f>
        <v>Japón</v>
      </c>
      <c r="G167" s="9" t="str">
        <f ca="1">+WORLDCUP!BD58</f>
        <v>República Checa</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Austria</v>
      </c>
      <c r="E169" s="9" t="str">
        <f ca="1">+WORLDCUP!BD66</f>
        <v>Irak</v>
      </c>
      <c r="F169" s="9" t="str">
        <f ca="1">+WORLDCUP!BD63</f>
        <v>Japón</v>
      </c>
      <c r="G169" s="9" t="str">
        <f ca="1">+WORLDCUP!BD58</f>
        <v>República Checa</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Austria</v>
      </c>
      <c r="E170" s="9" t="str">
        <f ca="1">+WORLDCUP!BD66</f>
        <v>Irak</v>
      </c>
      <c r="F170" s="9" t="str">
        <f ca="1">+WORLDCUP!BD63</f>
        <v>Japón</v>
      </c>
      <c r="G170" s="9" t="str">
        <f ca="1">+WORLDCUP!BD58</f>
        <v>República Checa</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Austria</v>
      </c>
      <c r="F171" s="9" t="str">
        <f ca="1">+WORLDCUP!BD63</f>
        <v>Japón</v>
      </c>
      <c r="G171" s="9" t="str">
        <f ca="1">+WORLDCUP!BD58</f>
        <v>República Checa</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Irak</v>
      </c>
      <c r="F172" s="9" t="str">
        <f ca="1">+WORLDCUP!BD63</f>
        <v>Japón</v>
      </c>
      <c r="G172" s="9" t="str">
        <f ca="1">+WORLDCUP!BD58</f>
        <v>República Checa</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Austria</v>
      </c>
      <c r="F173" s="9" t="str">
        <f ca="1">+WORLDCUP!BD63</f>
        <v>Japón</v>
      </c>
      <c r="G173" s="9" t="str">
        <f ca="1">+WORLDCUP!BD58</f>
        <v>República Checa</v>
      </c>
      <c r="H173" s="9" t="str">
        <f ca="1">+WORLDCUP!BD65</f>
        <v>Arabia Saudita</v>
      </c>
      <c r="I173" s="9" t="str">
        <f ca="1">+WORLDCUP!BD69</f>
        <v>Ghana</v>
      </c>
      <c r="J173" s="9" t="str">
        <f ca="1">+WORLDCUP!BD66</f>
        <v>Irak</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Austria</v>
      </c>
      <c r="F174" s="9" t="str">
        <f ca="1">+WORLDCUP!BD63</f>
        <v>Japón</v>
      </c>
      <c r="G174" s="9" t="str">
        <f ca="1">+WORLDCUP!BD58</f>
        <v>República Checa</v>
      </c>
      <c r="H174" s="9" t="str">
        <f ca="1">+WORLDCUP!BD65</f>
        <v>Arabia Saudita</v>
      </c>
      <c r="I174" s="9" t="str">
        <f ca="1">+WORLDCUP!BD66</f>
        <v>Irak</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Irak</v>
      </c>
      <c r="F175" s="9" t="str">
        <f ca="1">+WORLDCUP!BD61</f>
        <v>Turquía</v>
      </c>
      <c r="G175" s="9" t="str">
        <f ca="1">+WORLDCUP!BD58</f>
        <v>República Checa</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Irak</v>
      </c>
      <c r="F176" s="9" t="str">
        <f ca="1">+WORLDCUP!BD61</f>
        <v>Turquía</v>
      </c>
      <c r="G176" s="9" t="str">
        <f ca="1">+WORLDCUP!BD58</f>
        <v>República Checa</v>
      </c>
      <c r="H176" s="9" t="str">
        <f ca="1">+WORLDCUP!BD63</f>
        <v>Japón</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Irak</v>
      </c>
      <c r="D177" s="9" t="str">
        <f ca="1">+WORLDCUP!BD64</f>
        <v>Irán</v>
      </c>
      <c r="E177" s="9" t="str">
        <f ca="1">+WORLDCUP!BD67</f>
        <v>Austria</v>
      </c>
      <c r="F177" s="9" t="str">
        <f ca="1">+WORLDCUP!BD61</f>
        <v>Turquía</v>
      </c>
      <c r="G177" s="9" t="str">
        <f ca="1">+WORLDCUP!BD58</f>
        <v>República Checa</v>
      </c>
      <c r="H177" s="9" t="str">
        <f ca="1">+WORLDCUP!BD63</f>
        <v>Japón</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Turquía</v>
      </c>
      <c r="G178" s="9" t="str">
        <f ca="1">+WORLDCUP!BD58</f>
        <v>República Checa</v>
      </c>
      <c r="H178" s="9" t="str">
        <f ca="1">+WORLDCUP!BD63</f>
        <v>Japón</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Irak</v>
      </c>
      <c r="F179" s="9" t="str">
        <f ca="1">+WORLDCUP!BD61</f>
        <v>Turquía</v>
      </c>
      <c r="G179" s="9" t="str">
        <f ca="1">+WORLDCUP!BD58</f>
        <v>República Checa</v>
      </c>
      <c r="H179" s="9" t="str">
        <f ca="1">+WORLDCUP!BD63</f>
        <v>Japón</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Turquía</v>
      </c>
      <c r="G180" s="9" t="str">
        <f ca="1">+WORLDCUP!BD58</f>
        <v>República Checa</v>
      </c>
      <c r="H180" s="9" t="str">
        <f ca="1">+WORLDCUP!BD63</f>
        <v>Japón</v>
      </c>
      <c r="I180" s="9" t="str">
        <f ca="1">+WORLDCUP!BD69</f>
        <v>Ghana</v>
      </c>
      <c r="J180" s="9" t="str">
        <f ca="1">+WORLDCUP!BD66</f>
        <v>Irak</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Turquía</v>
      </c>
      <c r="G181" s="9" t="str">
        <f ca="1">+WORLDCUP!BD58</f>
        <v>República Checa</v>
      </c>
      <c r="H181" s="9" t="str">
        <f ca="1">+WORLDCUP!BD63</f>
        <v>Japón</v>
      </c>
      <c r="I181" s="9" t="str">
        <f ca="1">+WORLDCUP!BD66</f>
        <v>Irak</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Austria</v>
      </c>
      <c r="E182" s="9" t="str">
        <f ca="1">+WORLDCUP!BD66</f>
        <v>Irak</v>
      </c>
      <c r="F182" s="9" t="str">
        <f ca="1">+WORLDCUP!BD61</f>
        <v>Turquía</v>
      </c>
      <c r="G182" s="9" t="str">
        <f ca="1">+WORLDCUP!BD58</f>
        <v>República Checa</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Austria</v>
      </c>
      <c r="E183" s="9" t="str">
        <f ca="1">+WORLDCUP!BD66</f>
        <v>Irak</v>
      </c>
      <c r="F183" s="9" t="str">
        <f ca="1">+WORLDCUP!BD61</f>
        <v>Turquía</v>
      </c>
      <c r="G183" s="9" t="str">
        <f ca="1">+WORLDCUP!BD58</f>
        <v>República Checa</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Austria</v>
      </c>
      <c r="F184" s="9" t="str">
        <f ca="1">+WORLDCUP!BD61</f>
        <v>Turquía</v>
      </c>
      <c r="G184" s="9" t="str">
        <f ca="1">+WORLDCUP!BD58</f>
        <v>República Checa</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Irak</v>
      </c>
      <c r="F185" s="9" t="str">
        <f ca="1">+WORLDCUP!BD61</f>
        <v>Turquía</v>
      </c>
      <c r="G185" s="9" t="str">
        <f ca="1">+WORLDCUP!BD58</f>
        <v>República Checa</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Austria</v>
      </c>
      <c r="F186" s="9" t="str">
        <f ca="1">+WORLDCUP!BD61</f>
        <v>Turquía</v>
      </c>
      <c r="G186" s="9" t="str">
        <f ca="1">+WORLDCUP!BD58</f>
        <v>República Checa</v>
      </c>
      <c r="H186" s="9" t="str">
        <f ca="1">+WORLDCUP!BD65</f>
        <v>Arabia Saudita</v>
      </c>
      <c r="I186" s="9" t="str">
        <f ca="1">+WORLDCUP!BD69</f>
        <v>Ghana</v>
      </c>
      <c r="J186" s="9" t="str">
        <f ca="1">+WORLDCUP!BD66</f>
        <v>Irak</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Austria</v>
      </c>
      <c r="F187" s="9" t="str">
        <f ca="1">+WORLDCUP!BD61</f>
        <v>Turquía</v>
      </c>
      <c r="G187" s="9" t="str">
        <f ca="1">+WORLDCUP!BD58</f>
        <v>República Checa</v>
      </c>
      <c r="H187" s="9" t="str">
        <f ca="1">+WORLDCUP!BD65</f>
        <v>Arabia Saudita</v>
      </c>
      <c r="I187" s="9" t="str">
        <f ca="1">+WORLDCUP!BD66</f>
        <v>Irak</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Austria</v>
      </c>
      <c r="E188" s="9" t="str">
        <f ca="1">+WORLDCUP!BD66</f>
        <v>Irak</v>
      </c>
      <c r="F188" s="9" t="str">
        <f ca="1">+WORLDCUP!BD61</f>
        <v>Turquía</v>
      </c>
      <c r="G188" s="9" t="str">
        <f ca="1">+WORLDCUP!BD58</f>
        <v>República Checa</v>
      </c>
      <c r="H188" s="9" t="str">
        <f ca="1">+WORLDCUP!BD63</f>
        <v>Japón</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Ecuador</v>
      </c>
      <c r="F189" s="9" t="str">
        <f ca="1">+WORLDCUP!BD61</f>
        <v>Turquía</v>
      </c>
      <c r="G189" s="9" t="str">
        <f ca="1">+WORLDCUP!BD58</f>
        <v>República Checa</v>
      </c>
      <c r="H189" s="9" t="str">
        <f ca="1">+WORLDCUP!BD63</f>
        <v>Japón</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Ecuador</v>
      </c>
      <c r="E190" s="9" t="str">
        <f ca="1">+WORLDCUP!BD66</f>
        <v>Irak</v>
      </c>
      <c r="F190" s="9" t="str">
        <f ca="1">+WORLDCUP!BD61</f>
        <v>Turquía</v>
      </c>
      <c r="G190" s="9" t="str">
        <f ca="1">+WORLDCUP!BD58</f>
        <v>República Checa</v>
      </c>
      <c r="H190" s="9" t="str">
        <f ca="1">+WORLDCUP!BD63</f>
        <v>Japón</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Ecuador</v>
      </c>
      <c r="F191" s="9" t="str">
        <f ca="1">+WORLDCUP!BD61</f>
        <v>Turquía</v>
      </c>
      <c r="G191" s="9" t="str">
        <f ca="1">+WORLDCUP!BD58</f>
        <v>República Checa</v>
      </c>
      <c r="H191" s="9" t="str">
        <f ca="1">+WORLDCUP!BD63</f>
        <v>Japón</v>
      </c>
      <c r="I191" s="9" t="str">
        <f ca="1">+WORLDCUP!BD69</f>
        <v>Ghana</v>
      </c>
      <c r="J191" s="9" t="str">
        <f ca="1">+WORLDCUP!BD66</f>
        <v>Irak</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Ecuador</v>
      </c>
      <c r="F192" s="9" t="str">
        <f ca="1">+WORLDCUP!BD61</f>
        <v>Turquía</v>
      </c>
      <c r="G192" s="9" t="str">
        <f ca="1">+WORLDCUP!BD58</f>
        <v>República Checa</v>
      </c>
      <c r="H192" s="9" t="str">
        <f ca="1">+WORLDCUP!BD63</f>
        <v>Japón</v>
      </c>
      <c r="I192" s="9" t="str">
        <f ca="1">+WORLDCUP!BD66</f>
        <v>Irak</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Austria</v>
      </c>
      <c r="F193" s="9" t="str">
        <f ca="1">+WORLDCUP!BD61</f>
        <v>Turquía</v>
      </c>
      <c r="G193" s="9" t="str">
        <f ca="1">+WORLDCUP!BD58</f>
        <v>República Checa</v>
      </c>
      <c r="H193" s="9" t="str">
        <f ca="1">+WORLDCUP!BD63</f>
        <v>Japón</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Irak</v>
      </c>
      <c r="F194" s="9" t="str">
        <f ca="1">+WORLDCUP!BD61</f>
        <v>Turquía</v>
      </c>
      <c r="G194" s="9" t="str">
        <f ca="1">+WORLDCUP!BD58</f>
        <v>República Checa</v>
      </c>
      <c r="H194" s="9" t="str">
        <f ca="1">+WORLDCUP!BD63</f>
        <v>Japón</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Austria</v>
      </c>
      <c r="F195" s="9" t="str">
        <f ca="1">+WORLDCUP!BD61</f>
        <v>Turquía</v>
      </c>
      <c r="G195" s="9" t="str">
        <f ca="1">+WORLDCUP!BD58</f>
        <v>República Checa</v>
      </c>
      <c r="H195" s="9" t="str">
        <f ca="1">+WORLDCUP!BD63</f>
        <v>Japón</v>
      </c>
      <c r="I195" s="9" t="str">
        <f ca="1">+WORLDCUP!BD69</f>
        <v>Ghana</v>
      </c>
      <c r="J195" s="9" t="str">
        <f ca="1">+WORLDCUP!BD66</f>
        <v>Irak</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Austria</v>
      </c>
      <c r="F196" s="9" t="str">
        <f ca="1">+WORLDCUP!BD61</f>
        <v>Turquía</v>
      </c>
      <c r="G196" s="9" t="str">
        <f ca="1">+WORLDCUP!BD58</f>
        <v>República Checa</v>
      </c>
      <c r="H196" s="9" t="str">
        <f ca="1">+WORLDCUP!BD63</f>
        <v>Japón</v>
      </c>
      <c r="I196" s="9" t="str">
        <f ca="1">+WORLDCUP!BD66</f>
        <v>Irak</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Ecuador</v>
      </c>
      <c r="F197" s="9" t="str">
        <f ca="1">+WORLDCUP!BD61</f>
        <v>Turquía</v>
      </c>
      <c r="G197" s="9" t="str">
        <f ca="1">+WORLDCUP!BD58</f>
        <v>República Checa</v>
      </c>
      <c r="H197" s="9" t="str">
        <f ca="1">+WORLDCUP!BD63</f>
        <v>Japón</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Turquía</v>
      </c>
      <c r="G198" s="9" t="str">
        <f ca="1">+WORLDCUP!BD58</f>
        <v>República Checa</v>
      </c>
      <c r="H198" s="9" t="str">
        <f ca="1">+WORLDCUP!BD63</f>
        <v>Japón</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Turquía</v>
      </c>
      <c r="G199" s="9" t="str">
        <f ca="1">+WORLDCUP!BD58</f>
        <v>República Checa</v>
      </c>
      <c r="H199" s="9" t="str">
        <f ca="1">+WORLDCUP!BD63</f>
        <v>Japón</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Ecuador</v>
      </c>
      <c r="F200" s="9" t="str">
        <f ca="1">+WORLDCUP!BD61</f>
        <v>Turquía</v>
      </c>
      <c r="G200" s="9" t="str">
        <f ca="1">+WORLDCUP!BD58</f>
        <v>República Checa</v>
      </c>
      <c r="H200" s="9" t="str">
        <f ca="1">+WORLDCUP!BD63</f>
        <v>Japón</v>
      </c>
      <c r="I200" s="9" t="str">
        <f ca="1">+WORLDCUP!BD69</f>
        <v>Ghana</v>
      </c>
      <c r="J200" s="9" t="str">
        <f ca="1">+WORLDCUP!BD66</f>
        <v>Irak</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Ecuador</v>
      </c>
      <c r="F201" s="9" t="str">
        <f ca="1">+WORLDCUP!BD61</f>
        <v>Turquía</v>
      </c>
      <c r="G201" s="9" t="str">
        <f ca="1">+WORLDCUP!BD58</f>
        <v>República Checa</v>
      </c>
      <c r="H201" s="9" t="str">
        <f ca="1">+WORLDCUP!BD63</f>
        <v>Japón</v>
      </c>
      <c r="I201" s="9" t="str">
        <f ca="1">+WORLDCUP!BD66</f>
        <v>Irak</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Turquía</v>
      </c>
      <c r="G202" s="9" t="str">
        <f ca="1">+WORLDCUP!BD58</f>
        <v>República Checa</v>
      </c>
      <c r="H202" s="9" t="str">
        <f ca="1">+WORLDCUP!BD63</f>
        <v>Japón</v>
      </c>
      <c r="I202" s="9" t="str">
        <f ca="1">+WORLDCUP!BD62</f>
        <v>Ecuador</v>
      </c>
      <c r="J202" s="9" t="str">
        <f ca="1">+WORLDCUP!BD66</f>
        <v>Irak</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Irak</v>
      </c>
      <c r="F203" s="9" t="str">
        <f ca="1">+WORLDCUP!BD60</f>
        <v>Marruecos</v>
      </c>
      <c r="G203" s="9" t="str">
        <f ca="1">+WORLDCUP!BD58</f>
        <v>República Checa</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Irak</v>
      </c>
      <c r="F204" s="9" t="str">
        <f ca="1">+WORLDCUP!BD60</f>
        <v>Marruecos</v>
      </c>
      <c r="G204" s="9" t="str">
        <f ca="1">+WORLDCUP!BD58</f>
        <v>República Checa</v>
      </c>
      <c r="H204" s="9" t="str">
        <f ca="1">+WORLDCUP!BD63</f>
        <v>Japón</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Irak</v>
      </c>
      <c r="D205" s="9" t="str">
        <f ca="1">+WORLDCUP!BD64</f>
        <v>Irán</v>
      </c>
      <c r="E205" s="9" t="str">
        <f ca="1">+WORLDCUP!BD67</f>
        <v>Austria</v>
      </c>
      <c r="F205" s="9" t="str">
        <f ca="1">+WORLDCUP!BD60</f>
        <v>Marruecos</v>
      </c>
      <c r="G205" s="9" t="str">
        <f ca="1">+WORLDCUP!BD58</f>
        <v>República Checa</v>
      </c>
      <c r="H205" s="9" t="str">
        <f ca="1">+WORLDCUP!BD63</f>
        <v>Japón</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Marruecos</v>
      </c>
      <c r="G206" s="9" t="str">
        <f ca="1">+WORLDCUP!BD58</f>
        <v>República Checa</v>
      </c>
      <c r="H206" s="9" t="str">
        <f ca="1">+WORLDCUP!BD63</f>
        <v>Japón</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Irak</v>
      </c>
      <c r="F207" s="9" t="str">
        <f ca="1">+WORLDCUP!BD60</f>
        <v>Marruecos</v>
      </c>
      <c r="G207" s="9" t="str">
        <f ca="1">+WORLDCUP!BD58</f>
        <v>República Checa</v>
      </c>
      <c r="H207" s="9" t="str">
        <f ca="1">+WORLDCUP!BD63</f>
        <v>Japón</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Marruecos</v>
      </c>
      <c r="G208" s="9" t="str">
        <f ca="1">+WORLDCUP!BD58</f>
        <v>República Checa</v>
      </c>
      <c r="H208" s="9" t="str">
        <f ca="1">+WORLDCUP!BD63</f>
        <v>Japón</v>
      </c>
      <c r="I208" s="9" t="str">
        <f ca="1">+WORLDCUP!BD69</f>
        <v>Ghana</v>
      </c>
      <c r="J208" s="9" t="str">
        <f ca="1">+WORLDCUP!BD66</f>
        <v>Irak</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Marruecos</v>
      </c>
      <c r="G209" s="9" t="str">
        <f ca="1">+WORLDCUP!BD58</f>
        <v>República Checa</v>
      </c>
      <c r="H209" s="9" t="str">
        <f ca="1">+WORLDCUP!BD63</f>
        <v>Japón</v>
      </c>
      <c r="I209" s="9" t="str">
        <f ca="1">+WORLDCUP!BD66</f>
        <v>Irak</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Austria</v>
      </c>
      <c r="E210" s="9" t="str">
        <f ca="1">+WORLDCUP!BD66</f>
        <v>Irak</v>
      </c>
      <c r="F210" s="9" t="str">
        <f ca="1">+WORLDCUP!BD60</f>
        <v>Marruecos</v>
      </c>
      <c r="G210" s="9" t="str">
        <f ca="1">+WORLDCUP!BD58</f>
        <v>República Checa</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Austria</v>
      </c>
      <c r="E211" s="9" t="str">
        <f ca="1">+WORLDCUP!BD66</f>
        <v>Irak</v>
      </c>
      <c r="F211" s="9" t="str">
        <f ca="1">+WORLDCUP!BD60</f>
        <v>Marruecos</v>
      </c>
      <c r="G211" s="9" t="str">
        <f ca="1">+WORLDCUP!BD58</f>
        <v>República Checa</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Austria</v>
      </c>
      <c r="F212" s="9" t="str">
        <f ca="1">+WORLDCUP!BD60</f>
        <v>Marruecos</v>
      </c>
      <c r="G212" s="9" t="str">
        <f ca="1">+WORLDCUP!BD58</f>
        <v>República Checa</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Irak</v>
      </c>
      <c r="F213" s="9" t="str">
        <f ca="1">+WORLDCUP!BD60</f>
        <v>Marruecos</v>
      </c>
      <c r="G213" s="9" t="str">
        <f ca="1">+WORLDCUP!BD58</f>
        <v>República Checa</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Austria</v>
      </c>
      <c r="F214" s="9" t="str">
        <f ca="1">+WORLDCUP!BD60</f>
        <v>Marruecos</v>
      </c>
      <c r="G214" s="9" t="str">
        <f ca="1">+WORLDCUP!BD58</f>
        <v>República Checa</v>
      </c>
      <c r="H214" s="9" t="str">
        <f ca="1">+WORLDCUP!BD65</f>
        <v>Arabia Saudita</v>
      </c>
      <c r="I214" s="9" t="str">
        <f ca="1">+WORLDCUP!BD69</f>
        <v>Ghana</v>
      </c>
      <c r="J214" s="9" t="str">
        <f ca="1">+WORLDCUP!BD66</f>
        <v>Irak</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Austria</v>
      </c>
      <c r="F215" s="9" t="str">
        <f ca="1">+WORLDCUP!BD60</f>
        <v>Marruecos</v>
      </c>
      <c r="G215" s="9" t="str">
        <f ca="1">+WORLDCUP!BD58</f>
        <v>República Checa</v>
      </c>
      <c r="H215" s="9" t="str">
        <f ca="1">+WORLDCUP!BD65</f>
        <v>Arabia Saudita</v>
      </c>
      <c r="I215" s="9" t="str">
        <f ca="1">+WORLDCUP!BD66</f>
        <v>Irak</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Austria</v>
      </c>
      <c r="E216" s="9" t="str">
        <f ca="1">+WORLDCUP!BD66</f>
        <v>Irak</v>
      </c>
      <c r="F216" s="9" t="str">
        <f ca="1">+WORLDCUP!BD60</f>
        <v>Marruecos</v>
      </c>
      <c r="G216" s="9" t="str">
        <f ca="1">+WORLDCUP!BD58</f>
        <v>República Checa</v>
      </c>
      <c r="H216" s="9" t="str">
        <f ca="1">+WORLDCUP!BD63</f>
        <v>Japón</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Ecuador</v>
      </c>
      <c r="F217" s="9" t="str">
        <f ca="1">+WORLDCUP!BD60</f>
        <v>Marruecos</v>
      </c>
      <c r="G217" s="9" t="str">
        <f ca="1">+WORLDCUP!BD58</f>
        <v>República Checa</v>
      </c>
      <c r="H217" s="9" t="str">
        <f ca="1">+WORLDCUP!BD63</f>
        <v>Japón</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Ecuador</v>
      </c>
      <c r="E218" s="9" t="str">
        <f ca="1">+WORLDCUP!BD66</f>
        <v>Irak</v>
      </c>
      <c r="F218" s="9" t="str">
        <f ca="1">+WORLDCUP!BD60</f>
        <v>Marruecos</v>
      </c>
      <c r="G218" s="9" t="str">
        <f ca="1">+WORLDCUP!BD58</f>
        <v>República Checa</v>
      </c>
      <c r="H218" s="9" t="str">
        <f ca="1">+WORLDCUP!BD63</f>
        <v>Japón</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Ecuador</v>
      </c>
      <c r="F219" s="9" t="str">
        <f ca="1">+WORLDCUP!BD60</f>
        <v>Marruecos</v>
      </c>
      <c r="G219" s="9" t="str">
        <f ca="1">+WORLDCUP!BD58</f>
        <v>República Checa</v>
      </c>
      <c r="H219" s="9" t="str">
        <f ca="1">+WORLDCUP!BD63</f>
        <v>Japón</v>
      </c>
      <c r="I219" s="9" t="str">
        <f ca="1">+WORLDCUP!BD69</f>
        <v>Ghana</v>
      </c>
      <c r="J219" s="9" t="str">
        <f ca="1">+WORLDCUP!BD66</f>
        <v>Irak</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Ecuador</v>
      </c>
      <c r="F220" s="9" t="str">
        <f ca="1">+WORLDCUP!BD60</f>
        <v>Marruecos</v>
      </c>
      <c r="G220" s="9" t="str">
        <f ca="1">+WORLDCUP!BD58</f>
        <v>República Checa</v>
      </c>
      <c r="H220" s="9" t="str">
        <f ca="1">+WORLDCUP!BD63</f>
        <v>Japón</v>
      </c>
      <c r="I220" s="9" t="str">
        <f ca="1">+WORLDCUP!BD66</f>
        <v>Irak</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Austria</v>
      </c>
      <c r="F221" s="9" t="str">
        <f ca="1">+WORLDCUP!BD60</f>
        <v>Marruecos</v>
      </c>
      <c r="G221" s="9" t="str">
        <f ca="1">+WORLDCUP!BD58</f>
        <v>República Checa</v>
      </c>
      <c r="H221" s="9" t="str">
        <f ca="1">+WORLDCUP!BD63</f>
        <v>Japón</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Irak</v>
      </c>
      <c r="F222" s="9" t="str">
        <f ca="1">+WORLDCUP!BD60</f>
        <v>Marruecos</v>
      </c>
      <c r="G222" s="9" t="str">
        <f ca="1">+WORLDCUP!BD58</f>
        <v>República Checa</v>
      </c>
      <c r="H222" s="9" t="str">
        <f ca="1">+WORLDCUP!BD63</f>
        <v>Japón</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Austria</v>
      </c>
      <c r="F223" s="9" t="str">
        <f ca="1">+WORLDCUP!BD60</f>
        <v>Marruecos</v>
      </c>
      <c r="G223" s="9" t="str">
        <f ca="1">+WORLDCUP!BD58</f>
        <v>República Checa</v>
      </c>
      <c r="H223" s="9" t="str">
        <f ca="1">+WORLDCUP!BD63</f>
        <v>Japón</v>
      </c>
      <c r="I223" s="9" t="str">
        <f ca="1">+WORLDCUP!BD69</f>
        <v>Ghana</v>
      </c>
      <c r="J223" s="9" t="str">
        <f ca="1">+WORLDCUP!BD66</f>
        <v>Irak</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Austria</v>
      </c>
      <c r="F224" s="9" t="str">
        <f ca="1">+WORLDCUP!BD60</f>
        <v>Marruecos</v>
      </c>
      <c r="G224" s="9" t="str">
        <f ca="1">+WORLDCUP!BD58</f>
        <v>República Checa</v>
      </c>
      <c r="H224" s="9" t="str">
        <f ca="1">+WORLDCUP!BD63</f>
        <v>Japón</v>
      </c>
      <c r="I224" s="9" t="str">
        <f ca="1">+WORLDCUP!BD66</f>
        <v>Irak</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Ecuador</v>
      </c>
      <c r="F225" s="9" t="str">
        <f ca="1">+WORLDCUP!BD60</f>
        <v>Marruecos</v>
      </c>
      <c r="G225" s="9" t="str">
        <f ca="1">+WORLDCUP!BD58</f>
        <v>República Checa</v>
      </c>
      <c r="H225" s="9" t="str">
        <f ca="1">+WORLDCUP!BD63</f>
        <v>Japón</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Marruecos</v>
      </c>
      <c r="G226" s="9" t="str">
        <f ca="1">+WORLDCUP!BD58</f>
        <v>República Checa</v>
      </c>
      <c r="H226" s="9" t="str">
        <f ca="1">+WORLDCUP!BD63</f>
        <v>Japón</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Marruecos</v>
      </c>
      <c r="G227" s="9" t="str">
        <f ca="1">+WORLDCUP!BD58</f>
        <v>República Checa</v>
      </c>
      <c r="H227" s="9" t="str">
        <f ca="1">+WORLDCUP!BD63</f>
        <v>Japón</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Ecuador</v>
      </c>
      <c r="F228" s="9" t="str">
        <f ca="1">+WORLDCUP!BD60</f>
        <v>Marruecos</v>
      </c>
      <c r="G228" s="9" t="str">
        <f ca="1">+WORLDCUP!BD58</f>
        <v>República Checa</v>
      </c>
      <c r="H228" s="9" t="str">
        <f ca="1">+WORLDCUP!BD63</f>
        <v>Japón</v>
      </c>
      <c r="I228" s="9" t="str">
        <f ca="1">+WORLDCUP!BD69</f>
        <v>Ghana</v>
      </c>
      <c r="J228" s="9" t="str">
        <f ca="1">+WORLDCUP!BD66</f>
        <v>Irak</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Ecuador</v>
      </c>
      <c r="F229" s="9" t="str">
        <f ca="1">+WORLDCUP!BD60</f>
        <v>Marruecos</v>
      </c>
      <c r="G229" s="9" t="str">
        <f ca="1">+WORLDCUP!BD58</f>
        <v>República Checa</v>
      </c>
      <c r="H229" s="9" t="str">
        <f ca="1">+WORLDCUP!BD63</f>
        <v>Japón</v>
      </c>
      <c r="I229" s="9" t="str">
        <f ca="1">+WORLDCUP!BD66</f>
        <v>Irak</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Marruecos</v>
      </c>
      <c r="G230" s="9" t="str">
        <f ca="1">+WORLDCUP!BD58</f>
        <v>República Checa</v>
      </c>
      <c r="H230" s="9" t="str">
        <f ca="1">+WORLDCUP!BD63</f>
        <v>Japón</v>
      </c>
      <c r="I230" s="9" t="str">
        <f ca="1">+WORLDCUP!BD62</f>
        <v>Ecuador</v>
      </c>
      <c r="J230" s="9" t="str">
        <f ca="1">+WORLDCUP!BD66</f>
        <v>Irak</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Irak</v>
      </c>
      <c r="F231" s="9" t="str">
        <f ca="1">+WORLDCUP!BD60</f>
        <v>Marruecos</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Irak</v>
      </c>
      <c r="D232" s="9" t="str">
        <f ca="1">+WORLDCUP!BD64</f>
        <v>Irán</v>
      </c>
      <c r="E232" s="9" t="str">
        <f ca="1">+WORLDCUP!BD67</f>
        <v>Austria</v>
      </c>
      <c r="F232" s="9" t="str">
        <f ca="1">+WORLDCUP!BD60</f>
        <v>Marruecos</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Marruecos</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Irak</v>
      </c>
      <c r="F234" s="9" t="str">
        <f ca="1">+WORLDCUP!BD60</f>
        <v>Marruecos</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Marruecos</v>
      </c>
      <c r="G235" s="9" t="str">
        <f ca="1">+WORLDCUP!BD58</f>
        <v>República Checa</v>
      </c>
      <c r="H235" s="9" t="str">
        <f ca="1">+WORLDCUP!BD61</f>
        <v>Turquía</v>
      </c>
      <c r="I235" s="9" t="str">
        <f ca="1">+WORLDCUP!BD69</f>
        <v>Ghana</v>
      </c>
      <c r="J235" s="9" t="str">
        <f ca="1">+WORLDCUP!BD66</f>
        <v>Irak</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Marruecos</v>
      </c>
      <c r="G236" s="9" t="str">
        <f ca="1">+WORLDCUP!BD58</f>
        <v>República Checa</v>
      </c>
      <c r="H236" s="9" t="str">
        <f ca="1">+WORLDCUP!BD61</f>
        <v>Turquía</v>
      </c>
      <c r="I236" s="9" t="str">
        <f ca="1">+WORLDCUP!BD66</f>
        <v>Irak</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Austria</v>
      </c>
      <c r="E237" s="9" t="str">
        <f ca="1">+WORLDCUP!BD66</f>
        <v>Irak</v>
      </c>
      <c r="F237" s="9" t="str">
        <f ca="1">+WORLDCUP!BD61</f>
        <v>Turquía</v>
      </c>
      <c r="G237" s="9" t="str">
        <f ca="1">+WORLDCUP!BD58</f>
        <v>República Checa</v>
      </c>
      <c r="H237" s="9" t="str">
        <f ca="1">+WORLDCUP!BD63</f>
        <v>Japón</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Japón</v>
      </c>
      <c r="F238" s="9" t="str">
        <f ca="1">+WORLDCUP!BD60</f>
        <v>Marruecos</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Japón</v>
      </c>
      <c r="E239" s="9" t="str">
        <f ca="1">+WORLDCUP!BD66</f>
        <v>Irak</v>
      </c>
      <c r="F239" s="9" t="str">
        <f ca="1">+WORLDCUP!BD60</f>
        <v>Marruecos</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Japón</v>
      </c>
      <c r="F240" s="9" t="str">
        <f ca="1">+WORLDCUP!BD60</f>
        <v>Marruecos</v>
      </c>
      <c r="G240" s="9" t="str">
        <f ca="1">+WORLDCUP!BD58</f>
        <v>República Checa</v>
      </c>
      <c r="H240" s="9" t="str">
        <f ca="1">+WORLDCUP!BD61</f>
        <v>Turquía</v>
      </c>
      <c r="I240" s="9" t="str">
        <f ca="1">+WORLDCUP!BD69</f>
        <v>Ghana</v>
      </c>
      <c r="J240" s="9" t="str">
        <f ca="1">+WORLDCUP!BD66</f>
        <v>Irak</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Japón</v>
      </c>
      <c r="F241" s="9" t="str">
        <f ca="1">+WORLDCUP!BD60</f>
        <v>Marruecos</v>
      </c>
      <c r="G241" s="9" t="str">
        <f ca="1">+WORLDCUP!BD58</f>
        <v>República Checa</v>
      </c>
      <c r="H241" s="9" t="str">
        <f ca="1">+WORLDCUP!BD61</f>
        <v>Turquía</v>
      </c>
      <c r="I241" s="9" t="str">
        <f ca="1">+WORLDCUP!BD66</f>
        <v>Irak</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Irán</v>
      </c>
      <c r="E242" s="9" t="str">
        <f ca="1">+WORLDCUP!BD67</f>
        <v>Austria</v>
      </c>
      <c r="F242" s="9" t="str">
        <f ca="1">+WORLDCUP!BD61</f>
        <v>Turquía</v>
      </c>
      <c r="G242" s="9" t="str">
        <f ca="1">+WORLDCUP!BD58</f>
        <v>República Checa</v>
      </c>
      <c r="H242" s="9" t="str">
        <f ca="1">+WORLDCUP!BD63</f>
        <v>Japón</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Irán</v>
      </c>
      <c r="E243" s="9" t="str">
        <f ca="1">+WORLDCUP!BD66</f>
        <v>Irak</v>
      </c>
      <c r="F243" s="9" t="str">
        <f ca="1">+WORLDCUP!BD61</f>
        <v>Turquía</v>
      </c>
      <c r="G243" s="9" t="str">
        <f ca="1">+WORLDCUP!BD58</f>
        <v>República Checa</v>
      </c>
      <c r="H243" s="9" t="str">
        <f ca="1">+WORLDCUP!BD63</f>
        <v>Japón</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Irán</v>
      </c>
      <c r="E244" s="9" t="str">
        <f ca="1">+WORLDCUP!BD67</f>
        <v>Austria</v>
      </c>
      <c r="F244" s="9" t="str">
        <f ca="1">+WORLDCUP!BD61</f>
        <v>Turquía</v>
      </c>
      <c r="G244" s="9" t="str">
        <f ca="1">+WORLDCUP!BD58</f>
        <v>República Checa</v>
      </c>
      <c r="H244" s="9" t="str">
        <f ca="1">+WORLDCUP!BD63</f>
        <v>Japón</v>
      </c>
      <c r="I244" s="9" t="str">
        <f ca="1">+WORLDCUP!BD69</f>
        <v>Ghana</v>
      </c>
      <c r="J244" s="9" t="str">
        <f ca="1">+WORLDCUP!BD66</f>
        <v>Irak</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Irán</v>
      </c>
      <c r="E245" s="9" t="str">
        <f ca="1">+WORLDCUP!BD67</f>
        <v>Austria</v>
      </c>
      <c r="F245" s="9" t="str">
        <f ca="1">+WORLDCUP!BD61</f>
        <v>Turquía</v>
      </c>
      <c r="G245" s="9" t="str">
        <f ca="1">+WORLDCUP!BD58</f>
        <v>República Checa</v>
      </c>
      <c r="H245" s="9" t="str">
        <f ca="1">+WORLDCUP!BD63</f>
        <v>Japón</v>
      </c>
      <c r="I245" s="9" t="str">
        <f ca="1">+WORLDCUP!BD66</f>
        <v>Irak</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Japón</v>
      </c>
      <c r="F246" s="9" t="str">
        <f ca="1">+WORLDCUP!BD60</f>
        <v>Marruecos</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Irán</v>
      </c>
      <c r="E247" s="9" t="str">
        <f ca="1">+WORLDCUP!BD67</f>
        <v>Austria</v>
      </c>
      <c r="F247" s="9" t="str">
        <f ca="1">+WORLDCUP!BD61</f>
        <v>Turquía</v>
      </c>
      <c r="G247" s="9" t="str">
        <f ca="1">+WORLDCUP!BD58</f>
        <v>República Checa</v>
      </c>
      <c r="H247" s="9" t="str">
        <f ca="1">+WORLDCUP!BD63</f>
        <v>Japón</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Marruecos</v>
      </c>
      <c r="G248" s="9" t="str">
        <f ca="1">+WORLDCUP!BD58</f>
        <v>República Checa</v>
      </c>
      <c r="H248" s="9" t="str">
        <f ca="1">+WORLDCUP!BD63</f>
        <v>Japón</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Japón</v>
      </c>
      <c r="F249" s="9" t="str">
        <f ca="1">+WORLDCUP!BD60</f>
        <v>Marruecos</v>
      </c>
      <c r="G249" s="9" t="str">
        <f ca="1">+WORLDCUP!BD58</f>
        <v>República Checa</v>
      </c>
      <c r="H249" s="9" t="str">
        <f ca="1">+WORLDCUP!BD61</f>
        <v>Turquía</v>
      </c>
      <c r="I249" s="9" t="str">
        <f ca="1">+WORLDCUP!BD69</f>
        <v>Ghana</v>
      </c>
      <c r="J249" s="9" t="str">
        <f ca="1">+WORLDCUP!BD66</f>
        <v>Irak</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Japón</v>
      </c>
      <c r="F250" s="9" t="str">
        <f ca="1">+WORLDCUP!BD60</f>
        <v>Marruecos</v>
      </c>
      <c r="G250" s="9" t="str">
        <f ca="1">+WORLDCUP!BD58</f>
        <v>República Checa</v>
      </c>
      <c r="H250" s="9" t="str">
        <f ca="1">+WORLDCUP!BD61</f>
        <v>Turquía</v>
      </c>
      <c r="I250" s="9" t="str">
        <f ca="1">+WORLDCUP!BD66</f>
        <v>Irak</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Marruecos</v>
      </c>
      <c r="G251" s="9" t="str">
        <f ca="1">+WORLDCUP!BD58</f>
        <v>República Checa</v>
      </c>
      <c r="H251" s="9" t="str">
        <f ca="1">+WORLDCUP!BD63</f>
        <v>Japón</v>
      </c>
      <c r="I251" s="9" t="str">
        <f ca="1">+WORLDCUP!BD61</f>
        <v>Turquía</v>
      </c>
      <c r="J251" s="9" t="str">
        <f ca="1">+WORLDCUP!BD66</f>
        <v>Irak</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Austria</v>
      </c>
      <c r="E252" s="9" t="str">
        <f ca="1">+WORLDCUP!BD66</f>
        <v>Irak</v>
      </c>
      <c r="F252" s="9" t="str">
        <f ca="1">+WORLDCUP!BD60</f>
        <v>Marruecos</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Ecuador</v>
      </c>
      <c r="F253" s="9" t="str">
        <f ca="1">+WORLDCUP!BD60</f>
        <v>Marruecos</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Ecuador</v>
      </c>
      <c r="E254" s="9" t="str">
        <f ca="1">+WORLDCUP!BD66</f>
        <v>Irak</v>
      </c>
      <c r="F254" s="9" t="str">
        <f ca="1">+WORLDCUP!BD60</f>
        <v>Marruecos</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Ecuador</v>
      </c>
      <c r="F255" s="9" t="str">
        <f ca="1">+WORLDCUP!BD60</f>
        <v>Marruecos</v>
      </c>
      <c r="G255" s="9" t="str">
        <f ca="1">+WORLDCUP!BD58</f>
        <v>República Checa</v>
      </c>
      <c r="H255" s="9" t="str">
        <f ca="1">+WORLDCUP!BD61</f>
        <v>Turquía</v>
      </c>
      <c r="I255" s="9" t="str">
        <f ca="1">+WORLDCUP!BD69</f>
        <v>Ghana</v>
      </c>
      <c r="J255" s="9" t="str">
        <f ca="1">+WORLDCUP!BD66</f>
        <v>Irak</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Ecuador</v>
      </c>
      <c r="F256" s="9" t="str">
        <f ca="1">+WORLDCUP!BD60</f>
        <v>Marruecos</v>
      </c>
      <c r="G256" s="9" t="str">
        <f ca="1">+WORLDCUP!BD58</f>
        <v>República Checa</v>
      </c>
      <c r="H256" s="9" t="str">
        <f ca="1">+WORLDCUP!BD61</f>
        <v>Turquía</v>
      </c>
      <c r="I256" s="9" t="str">
        <f ca="1">+WORLDCUP!BD66</f>
        <v>Irak</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Austria</v>
      </c>
      <c r="F257" s="9" t="str">
        <f ca="1">+WORLDCUP!BD60</f>
        <v>Marruecos</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Irak</v>
      </c>
      <c r="F258" s="9" t="str">
        <f ca="1">+WORLDCUP!BD60</f>
        <v>Marruecos</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Austria</v>
      </c>
      <c r="F259" s="9" t="str">
        <f ca="1">+WORLDCUP!BD60</f>
        <v>Marruecos</v>
      </c>
      <c r="G259" s="9" t="str">
        <f ca="1">+WORLDCUP!BD58</f>
        <v>República Checa</v>
      </c>
      <c r="H259" s="9" t="str">
        <f ca="1">+WORLDCUP!BD61</f>
        <v>Turquía</v>
      </c>
      <c r="I259" s="9" t="str">
        <f ca="1">+WORLDCUP!BD69</f>
        <v>Ghana</v>
      </c>
      <c r="J259" s="9" t="str">
        <f ca="1">+WORLDCUP!BD66</f>
        <v>Irak</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Austria</v>
      </c>
      <c r="F260" s="9" t="str">
        <f ca="1">+WORLDCUP!BD60</f>
        <v>Marruecos</v>
      </c>
      <c r="G260" s="9" t="str">
        <f ca="1">+WORLDCUP!BD58</f>
        <v>República Checa</v>
      </c>
      <c r="H260" s="9" t="str">
        <f ca="1">+WORLDCUP!BD61</f>
        <v>Turquía</v>
      </c>
      <c r="I260" s="9" t="str">
        <f ca="1">+WORLDCUP!BD66</f>
        <v>Irak</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Ecuador</v>
      </c>
      <c r="F261" s="9" t="str">
        <f ca="1">+WORLDCUP!BD60</f>
        <v>Marruecos</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Marruecos</v>
      </c>
      <c r="G262" s="9" t="str">
        <f ca="1">+WORLDCUP!BD58</f>
        <v>República Checa</v>
      </c>
      <c r="H262" s="9" t="str">
        <f ca="1">+WORLDCUP!BD61</f>
        <v>Turquía</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Marruecos</v>
      </c>
      <c r="G263" s="9" t="str">
        <f ca="1">+WORLDCUP!BD58</f>
        <v>República Checa</v>
      </c>
      <c r="H263" s="9" t="str">
        <f ca="1">+WORLDCUP!BD61</f>
        <v>Turquía</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Ecuador</v>
      </c>
      <c r="F264" s="9" t="str">
        <f ca="1">+WORLDCUP!BD60</f>
        <v>Marruecos</v>
      </c>
      <c r="G264" s="9" t="str">
        <f ca="1">+WORLDCUP!BD58</f>
        <v>República Checa</v>
      </c>
      <c r="H264" s="9" t="str">
        <f ca="1">+WORLDCUP!BD61</f>
        <v>Turquía</v>
      </c>
      <c r="I264" s="9" t="str">
        <f ca="1">+WORLDCUP!BD69</f>
        <v>Ghana</v>
      </c>
      <c r="J264" s="9" t="str">
        <f ca="1">+WORLDCUP!BD66</f>
        <v>Irak</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Ecuador</v>
      </c>
      <c r="F265" s="9" t="str">
        <f ca="1">+WORLDCUP!BD60</f>
        <v>Marruecos</v>
      </c>
      <c r="G265" s="9" t="str">
        <f ca="1">+WORLDCUP!BD58</f>
        <v>República Checa</v>
      </c>
      <c r="H265" s="9" t="str">
        <f ca="1">+WORLDCUP!BD61</f>
        <v>Turquía</v>
      </c>
      <c r="I265" s="9" t="str">
        <f ca="1">+WORLDCUP!BD66</f>
        <v>Irak</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Marruecos</v>
      </c>
      <c r="G266" s="9" t="str">
        <f ca="1">+WORLDCUP!BD58</f>
        <v>República Checa</v>
      </c>
      <c r="H266" s="9" t="str">
        <f ca="1">+WORLDCUP!BD61</f>
        <v>Turquía</v>
      </c>
      <c r="I266" s="9" t="str">
        <f ca="1">+WORLDCUP!BD62</f>
        <v>Ecuador</v>
      </c>
      <c r="J266" s="9" t="str">
        <f ca="1">+WORLDCUP!BD66</f>
        <v>Irak</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Austria</v>
      </c>
      <c r="E267" s="9" t="str">
        <f ca="1">+WORLDCUP!BD62</f>
        <v>Ecuador</v>
      </c>
      <c r="F267" s="9" t="str">
        <f ca="1">+WORLDCUP!BD61</f>
        <v>Turquía</v>
      </c>
      <c r="G267" s="9" t="str">
        <f ca="1">+WORLDCUP!BD58</f>
        <v>República Checa</v>
      </c>
      <c r="H267" s="9" t="str">
        <f ca="1">+WORLDCUP!BD63</f>
        <v>Japón</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Irak</v>
      </c>
      <c r="F268" s="9" t="str">
        <f ca="1">+WORLDCUP!BD61</f>
        <v>Turquía</v>
      </c>
      <c r="G268" s="9" t="str">
        <f ca="1">+WORLDCUP!BD58</f>
        <v>República Checa</v>
      </c>
      <c r="H268" s="9" t="str">
        <f ca="1">+WORLDCUP!BD63</f>
        <v>Japón</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Austria</v>
      </c>
      <c r="E269" s="9" t="str">
        <f ca="1">+WORLDCUP!BD62</f>
        <v>Ecuador</v>
      </c>
      <c r="F269" s="9" t="str">
        <f ca="1">+WORLDCUP!BD61</f>
        <v>Turquía</v>
      </c>
      <c r="G269" s="9" t="str">
        <f ca="1">+WORLDCUP!BD58</f>
        <v>República Checa</v>
      </c>
      <c r="H269" s="9" t="str">
        <f ca="1">+WORLDCUP!BD63</f>
        <v>Japón</v>
      </c>
      <c r="I269" s="9" t="str">
        <f ca="1">+WORLDCUP!BD69</f>
        <v>Ghana</v>
      </c>
      <c r="J269" s="9" t="str">
        <f ca="1">+WORLDCUP!BD66</f>
        <v>Irak</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Austria</v>
      </c>
      <c r="E270" s="9" t="str">
        <f ca="1">+WORLDCUP!BD62</f>
        <v>Ecuador</v>
      </c>
      <c r="F270" s="9" t="str">
        <f ca="1">+WORLDCUP!BD61</f>
        <v>Turquía</v>
      </c>
      <c r="G270" s="9" t="str">
        <f ca="1">+WORLDCUP!BD58</f>
        <v>República Checa</v>
      </c>
      <c r="H270" s="9" t="str">
        <f ca="1">+WORLDCUP!BD63</f>
        <v>Japón</v>
      </c>
      <c r="I270" s="9" t="str">
        <f ca="1">+WORLDCUP!BD66</f>
        <v>Irak</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Japón</v>
      </c>
      <c r="F272" s="9" t="str">
        <f ca="1">+WORLDCUP!BD60</f>
        <v>Marruecos</v>
      </c>
      <c r="G272" s="9" t="str">
        <f ca="1">+WORLDCUP!BD58</f>
        <v>República Checa</v>
      </c>
      <c r="H272" s="9" t="str">
        <f ca="1">+WORLDCUP!BD61</f>
        <v>Turquía</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Ghana</v>
      </c>
      <c r="J274" s="9" t="str">
        <f ca="1">+WORLDCUP!BD66</f>
        <v>Irak</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Irak</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Irak</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Irán</v>
      </c>
      <c r="E277" s="9" t="str">
        <f ca="1">+WORLDCUP!BD62</f>
        <v>Ecuador</v>
      </c>
      <c r="F277" s="9" t="str">
        <f ca="1">+WORLDCUP!BD61</f>
        <v>Turquía</v>
      </c>
      <c r="G277" s="9" t="str">
        <f ca="1">+WORLDCUP!BD58</f>
        <v>República Checa</v>
      </c>
      <c r="H277" s="9" t="str">
        <f ca="1">+WORLDCUP!BD63</f>
        <v>Japón</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Irán</v>
      </c>
      <c r="E278" s="9" t="str">
        <f ca="1">+WORLDCUP!BD67</f>
        <v>Austria</v>
      </c>
      <c r="F278" s="9" t="str">
        <f ca="1">+WORLDCUP!BD61</f>
        <v>Turquía</v>
      </c>
      <c r="G278" s="9" t="str">
        <f ca="1">+WORLDCUP!BD58</f>
        <v>República Checa</v>
      </c>
      <c r="H278" s="9" t="str">
        <f ca="1">+WORLDCUP!BD63</f>
        <v>Japón</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Irán</v>
      </c>
      <c r="E279" s="9" t="str">
        <f ca="1">+WORLDCUP!BD67</f>
        <v>Austria</v>
      </c>
      <c r="F279" s="9" t="str">
        <f ca="1">+WORLDCUP!BD61</f>
        <v>Turquía</v>
      </c>
      <c r="G279" s="9" t="str">
        <f ca="1">+WORLDCUP!BD58</f>
        <v>República Checa</v>
      </c>
      <c r="H279" s="9" t="str">
        <f ca="1">+WORLDCUP!BD63</f>
        <v>Japón</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Irán</v>
      </c>
      <c r="E280" s="9" t="str">
        <f ca="1">+WORLDCUP!BD62</f>
        <v>Ecuador</v>
      </c>
      <c r="F280" s="9" t="str">
        <f ca="1">+WORLDCUP!BD61</f>
        <v>Turquía</v>
      </c>
      <c r="G280" s="9" t="str">
        <f ca="1">+WORLDCUP!BD58</f>
        <v>República Checa</v>
      </c>
      <c r="H280" s="9" t="str">
        <f ca="1">+WORLDCUP!BD63</f>
        <v>Japón</v>
      </c>
      <c r="I280" s="9" t="str">
        <f ca="1">+WORLDCUP!BD69</f>
        <v>Ghana</v>
      </c>
      <c r="J280" s="9" t="str">
        <f ca="1">+WORLDCUP!BD66</f>
        <v>Irak</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Irán</v>
      </c>
      <c r="E281" s="9" t="str">
        <f ca="1">+WORLDCUP!BD62</f>
        <v>Ecuador</v>
      </c>
      <c r="F281" s="9" t="str">
        <f ca="1">+WORLDCUP!BD61</f>
        <v>Turquía</v>
      </c>
      <c r="G281" s="9" t="str">
        <f ca="1">+WORLDCUP!BD58</f>
        <v>República Checa</v>
      </c>
      <c r="H281" s="9" t="str">
        <f ca="1">+WORLDCUP!BD63</f>
        <v>Japón</v>
      </c>
      <c r="I281" s="9" t="str">
        <f ca="1">+WORLDCUP!BD66</f>
        <v>Irak</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Irán</v>
      </c>
      <c r="E282" s="9" t="str">
        <f ca="1">+WORLDCUP!BD67</f>
        <v>Austria</v>
      </c>
      <c r="F282" s="9" t="str">
        <f ca="1">+WORLDCUP!BD61</f>
        <v>Turquía</v>
      </c>
      <c r="G282" s="9" t="str">
        <f ca="1">+WORLDCUP!BD58</f>
        <v>República Checa</v>
      </c>
      <c r="H282" s="9" t="str">
        <f ca="1">+WORLDCUP!BD63</f>
        <v>Japón</v>
      </c>
      <c r="I282" s="9" t="str">
        <f ca="1">+WORLDCUP!BD62</f>
        <v>Ecuador</v>
      </c>
      <c r="J282" s="9" t="str">
        <f ca="1">+WORLDCUP!BD66</f>
        <v>Irak</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Japón</v>
      </c>
      <c r="F283" s="9" t="str">
        <f ca="1">+WORLDCUP!BD60</f>
        <v>Marruecos</v>
      </c>
      <c r="G283" s="9" t="str">
        <f ca="1">+WORLDCUP!BD58</f>
        <v>República Checa</v>
      </c>
      <c r="H283" s="9" t="str">
        <f ca="1">+WORLDCUP!BD61</f>
        <v>Turquía</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Marruecos</v>
      </c>
      <c r="G285" s="9" t="str">
        <f ca="1">+WORLDCUP!BD58</f>
        <v>República Checa</v>
      </c>
      <c r="H285" s="9" t="str">
        <f ca="1">+WORLDCUP!BD63</f>
        <v>Japón</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Irak</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Japón</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Irak</v>
      </c>
      <c r="D289" s="9" t="str">
        <f ca="1">+WORLDCUP!BD67</f>
        <v>Austria</v>
      </c>
      <c r="E289" s="9" t="str">
        <f ca="1">+WORLDCUP!BD59</f>
        <v>Catar</v>
      </c>
      <c r="F289" s="9" t="str">
        <f ca="1">+WORLDCUP!BD63</f>
        <v>Japón</v>
      </c>
      <c r="G289" s="9" t="str">
        <f ca="1">+WORLDCUP!BD58</f>
        <v>República Checa</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Catar</v>
      </c>
      <c r="F290" s="9" t="str">
        <f ca="1">+WORLDCUP!BD63</f>
        <v>Japón</v>
      </c>
      <c r="G290" s="9" t="str">
        <f ca="1">+WORLDCUP!BD58</f>
        <v>República Checa</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Japón</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Catar</v>
      </c>
      <c r="F292" s="9" t="str">
        <f ca="1">+WORLDCUP!BD63</f>
        <v>Japón</v>
      </c>
      <c r="G292" s="9" t="str">
        <f ca="1">+WORLDCUP!BD58</f>
        <v>República Checa</v>
      </c>
      <c r="H292" s="9" t="str">
        <f ca="1">+WORLDCUP!BD64</f>
        <v>Irán</v>
      </c>
      <c r="I292" s="9" t="str">
        <f ca="1">+WORLDCUP!BD69</f>
        <v>Ghana</v>
      </c>
      <c r="J292" s="9" t="str">
        <f ca="1">+WORLDCUP!BD66</f>
        <v>Irak</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Catar</v>
      </c>
      <c r="F293" s="9" t="str">
        <f ca="1">+WORLDCUP!BD63</f>
        <v>Japón</v>
      </c>
      <c r="G293" s="9" t="str">
        <f ca="1">+WORLDCUP!BD58</f>
        <v>República Checa</v>
      </c>
      <c r="H293" s="9" t="str">
        <f ca="1">+WORLDCUP!BD64</f>
        <v>Irán</v>
      </c>
      <c r="I293" s="9" t="str">
        <f ca="1">+WORLDCUP!BD66</f>
        <v>Irak</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Austria</v>
      </c>
      <c r="E300" s="9" t="str">
        <f ca="1">+WORLDCUP!BD59</f>
        <v>Catar</v>
      </c>
      <c r="F300" s="9" t="str">
        <f ca="1">+WORLDCUP!BD58</f>
        <v>República Checa</v>
      </c>
      <c r="G300" s="9" t="str">
        <f ca="1">+WORLDCUP!BD66</f>
        <v>Irak</v>
      </c>
      <c r="H300" s="9" t="str">
        <f ca="1">+WORLDCUP!BD63</f>
        <v>Japón</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Austria</v>
      </c>
      <c r="E301" s="9" t="str">
        <f ca="1">+WORLDCUP!BD59</f>
        <v>Catar</v>
      </c>
      <c r="F301" s="9" t="str">
        <f ca="1">+WORLDCUP!BD63</f>
        <v>Japón</v>
      </c>
      <c r="G301" s="9" t="str">
        <f ca="1">+WORLDCUP!BD58</f>
        <v>República Checa</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Irak</v>
      </c>
      <c r="E302" s="9" t="str">
        <f ca="1">+WORLDCUP!BD59</f>
        <v>Catar</v>
      </c>
      <c r="F302" s="9" t="str">
        <f ca="1">+WORLDCUP!BD63</f>
        <v>Japón</v>
      </c>
      <c r="G302" s="9" t="str">
        <f ca="1">+WORLDCUP!BD58</f>
        <v>República Checa</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Austria</v>
      </c>
      <c r="E303" s="9" t="str">
        <f ca="1">+WORLDCUP!BD59</f>
        <v>Catar</v>
      </c>
      <c r="F303" s="9" t="str">
        <f ca="1">+WORLDCUP!BD63</f>
        <v>Japón</v>
      </c>
      <c r="G303" s="9" t="str">
        <f ca="1">+WORLDCUP!BD58</f>
        <v>República Checa</v>
      </c>
      <c r="H303" s="9" t="str">
        <f ca="1">+WORLDCUP!BD65</f>
        <v>Arabia Saudita</v>
      </c>
      <c r="I303" s="9" t="str">
        <f ca="1">+WORLDCUP!BD69</f>
        <v>Ghana</v>
      </c>
      <c r="J303" s="9" t="str">
        <f ca="1">+WORLDCUP!BD66</f>
        <v>Irak</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Austria</v>
      </c>
      <c r="E304" s="9" t="str">
        <f ca="1">+WORLDCUP!BD59</f>
        <v>Catar</v>
      </c>
      <c r="F304" s="9" t="str">
        <f ca="1">+WORLDCUP!BD63</f>
        <v>Japón</v>
      </c>
      <c r="G304" s="9" t="str">
        <f ca="1">+WORLDCUP!BD58</f>
        <v>República Checa</v>
      </c>
      <c r="H304" s="9" t="str">
        <f ca="1">+WORLDCUP!BD65</f>
        <v>Arabia Saudita</v>
      </c>
      <c r="I304" s="9" t="str">
        <f ca="1">+WORLDCUP!BD66</f>
        <v>Irak</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Austria</v>
      </c>
      <c r="E305" s="9" t="str">
        <f ca="1">+WORLDCUP!BD59</f>
        <v>Catar</v>
      </c>
      <c r="F305" s="9" t="str">
        <f ca="1">+WORLDCUP!BD63</f>
        <v>Japón</v>
      </c>
      <c r="G305" s="9" t="str">
        <f ca="1">+WORLDCUP!BD58</f>
        <v>República Checa</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Catar</v>
      </c>
      <c r="F306" s="9" t="str">
        <f ca="1">+WORLDCUP!BD58</f>
        <v>República Checa</v>
      </c>
      <c r="G306" s="9" t="str">
        <f ca="1">+WORLDCUP!BD66</f>
        <v>Irak</v>
      </c>
      <c r="H306" s="9" t="str">
        <f ca="1">+WORLDCUP!BD63</f>
        <v>Japón</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Austria</v>
      </c>
      <c r="E307" s="9" t="str">
        <f ca="1">+WORLDCUP!BD59</f>
        <v>Catar</v>
      </c>
      <c r="F307" s="9" t="str">
        <f ca="1">+WORLDCUP!BD63</f>
        <v>Japón</v>
      </c>
      <c r="G307" s="9" t="str">
        <f ca="1">+WORLDCUP!BD58</f>
        <v>República Checa</v>
      </c>
      <c r="H307" s="9" t="str">
        <f ca="1">+WORLDCUP!BD64</f>
        <v>Irán</v>
      </c>
      <c r="I307" s="9" t="str">
        <f ca="1">+WORLDCUP!BD69</f>
        <v>Ghana</v>
      </c>
      <c r="J307" s="9" t="str">
        <f ca="1">+WORLDCUP!BD66</f>
        <v>Irak</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Austria</v>
      </c>
      <c r="E308" s="9" t="str">
        <f ca="1">+WORLDCUP!BD59</f>
        <v>Catar</v>
      </c>
      <c r="F308" s="9" t="str">
        <f ca="1">+WORLDCUP!BD63</f>
        <v>Japón</v>
      </c>
      <c r="G308" s="9" t="str">
        <f ca="1">+WORLDCUP!BD58</f>
        <v>República Checa</v>
      </c>
      <c r="H308" s="9" t="str">
        <f ca="1">+WORLDCUP!BD64</f>
        <v>Irán</v>
      </c>
      <c r="I308" s="9" t="str">
        <f ca="1">+WORLDCUP!BD66</f>
        <v>Irak</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Catar</v>
      </c>
      <c r="F309" s="9" t="str">
        <f ca="1">+WORLDCUP!BD63</f>
        <v>Japón</v>
      </c>
      <c r="G309" s="9" t="str">
        <f ca="1">+WORLDCUP!BD58</f>
        <v>República Checa</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Catar</v>
      </c>
      <c r="F310" s="9" t="str">
        <f ca="1">+WORLDCUP!BD63</f>
        <v>Japón</v>
      </c>
      <c r="G310" s="9" t="str">
        <f ca="1">+WORLDCUP!BD58</f>
        <v>República Checa</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Catar</v>
      </c>
      <c r="F311" s="9" t="str">
        <f ca="1">+WORLDCUP!BD63</f>
        <v>Japón</v>
      </c>
      <c r="G311" s="9" t="str">
        <f ca="1">+WORLDCUP!BD58</f>
        <v>República Checa</v>
      </c>
      <c r="H311" s="9" t="str">
        <f ca="1">+WORLDCUP!BD64</f>
        <v>Irán</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Catar</v>
      </c>
      <c r="F312" s="9" t="str">
        <f ca="1">+WORLDCUP!BD63</f>
        <v>Japón</v>
      </c>
      <c r="G312" s="9" t="str">
        <f ca="1">+WORLDCUP!BD58</f>
        <v>República Checa</v>
      </c>
      <c r="H312" s="9" t="str">
        <f ca="1">+WORLDCUP!BD65</f>
        <v>Arabia Saudita</v>
      </c>
      <c r="I312" s="9" t="str">
        <f ca="1">+WORLDCUP!BD69</f>
        <v>Ghana</v>
      </c>
      <c r="J312" s="9" t="str">
        <f ca="1">+WORLDCUP!BD66</f>
        <v>Irak</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Catar</v>
      </c>
      <c r="F313" s="9" t="str">
        <f ca="1">+WORLDCUP!BD63</f>
        <v>Japón</v>
      </c>
      <c r="G313" s="9" t="str">
        <f ca="1">+WORLDCUP!BD58</f>
        <v>República Checa</v>
      </c>
      <c r="H313" s="9" t="str">
        <f ca="1">+WORLDCUP!BD65</f>
        <v>Arabia Saudita</v>
      </c>
      <c r="I313" s="9" t="str">
        <f ca="1">+WORLDCUP!BD66</f>
        <v>Irak</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Catar</v>
      </c>
      <c r="F314" s="9" t="str">
        <f ca="1">+WORLDCUP!BD63</f>
        <v>Japón</v>
      </c>
      <c r="G314" s="9" t="str">
        <f ca="1">+WORLDCUP!BD58</f>
        <v>República Checa</v>
      </c>
      <c r="H314" s="9" t="str">
        <f ca="1">+WORLDCUP!BD64</f>
        <v>Irán</v>
      </c>
      <c r="I314" s="9" t="str">
        <f ca="1">+WORLDCUP!BD62</f>
        <v>Ecuador</v>
      </c>
      <c r="J314" s="9" t="str">
        <f ca="1">+WORLDCUP!BD66</f>
        <v>Irak</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Irak</v>
      </c>
      <c r="D315" s="9" t="str">
        <f ca="1">+WORLDCUP!BD67</f>
        <v>Austria</v>
      </c>
      <c r="E315" s="9" t="str">
        <f ca="1">+WORLDCUP!BD59</f>
        <v>Catar</v>
      </c>
      <c r="F315" s="9" t="str">
        <f ca="1">+WORLDCUP!BD61</f>
        <v>Turquía</v>
      </c>
      <c r="G315" s="9" t="str">
        <f ca="1">+WORLDCUP!BD58</f>
        <v>República Checa</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Irak</v>
      </c>
      <c r="D316" s="9" t="str">
        <f ca="1">+WORLDCUP!BD67</f>
        <v>Austria</v>
      </c>
      <c r="E316" s="9" t="str">
        <f ca="1">+WORLDCUP!BD59</f>
        <v>Catar</v>
      </c>
      <c r="F316" s="9" t="str">
        <f ca="1">+WORLDCUP!BD61</f>
        <v>Turquía</v>
      </c>
      <c r="G316" s="9" t="str">
        <f ca="1">+WORLDCUP!BD58</f>
        <v>República Checa</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Catar</v>
      </c>
      <c r="F317" s="9" t="str">
        <f ca="1">+WORLDCUP!BD61</f>
        <v>Turquía</v>
      </c>
      <c r="G317" s="9" t="str">
        <f ca="1">+WORLDCUP!BD58</f>
        <v>República Checa</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Irak</v>
      </c>
      <c r="D318" s="9" t="str">
        <f ca="1">+WORLDCUP!BD64</f>
        <v>Irán</v>
      </c>
      <c r="E318" s="9" t="str">
        <f ca="1">+WORLDCUP!BD59</f>
        <v>Catar</v>
      </c>
      <c r="F318" s="9" t="str">
        <f ca="1">+WORLDCUP!BD61</f>
        <v>Turquía</v>
      </c>
      <c r="G318" s="9" t="str">
        <f ca="1">+WORLDCUP!BD58</f>
        <v>República Checa</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Catar</v>
      </c>
      <c r="F319" s="9" t="str">
        <f ca="1">+WORLDCUP!BD61</f>
        <v>Turquía</v>
      </c>
      <c r="G319" s="9" t="str">
        <f ca="1">+WORLDCUP!BD58</f>
        <v>República Checa</v>
      </c>
      <c r="H319" s="9" t="str">
        <f ca="1">+WORLDCUP!BD64</f>
        <v>Irán</v>
      </c>
      <c r="I319" s="9" t="str">
        <f ca="1">+WORLDCUP!BD69</f>
        <v>Ghana</v>
      </c>
      <c r="J319" s="9" t="str">
        <f ca="1">+WORLDCUP!BD66</f>
        <v>Irak</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Catar</v>
      </c>
      <c r="F320" s="9" t="str">
        <f ca="1">+WORLDCUP!BD61</f>
        <v>Turquía</v>
      </c>
      <c r="G320" s="9" t="str">
        <f ca="1">+WORLDCUP!BD58</f>
        <v>República Checa</v>
      </c>
      <c r="H320" s="9" t="str">
        <f ca="1">+WORLDCUP!BD64</f>
        <v>Irán</v>
      </c>
      <c r="I320" s="9" t="str">
        <f ca="1">+WORLDCUP!BD66</f>
        <v>Irak</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Irak</v>
      </c>
      <c r="D321" s="9" t="str">
        <f ca="1">+WORLDCUP!BD67</f>
        <v>Austria</v>
      </c>
      <c r="E321" s="9" t="str">
        <f ca="1">+WORLDCUP!BD59</f>
        <v>Catar</v>
      </c>
      <c r="F321" s="9" t="str">
        <f ca="1">+WORLDCUP!BD61</f>
        <v>Turquía</v>
      </c>
      <c r="G321" s="9" t="str">
        <f ca="1">+WORLDCUP!BD58</f>
        <v>República Checa</v>
      </c>
      <c r="H321" s="9" t="str">
        <f ca="1">+WORLDCUP!BD63</f>
        <v>Japón</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Catar</v>
      </c>
      <c r="F322" s="9" t="str">
        <f ca="1">+WORLDCUP!BD61</f>
        <v>Turquía</v>
      </c>
      <c r="G322" s="9" t="str">
        <f ca="1">+WORLDCUP!BD58</f>
        <v>República Checa</v>
      </c>
      <c r="H322" s="9" t="str">
        <f ca="1">+WORLDCUP!BD63</f>
        <v>Japón</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Irak</v>
      </c>
      <c r="E323" s="9" t="str">
        <f ca="1">+WORLDCUP!BD59</f>
        <v>Catar</v>
      </c>
      <c r="F323" s="9" t="str">
        <f ca="1">+WORLDCUP!BD61</f>
        <v>Turquía</v>
      </c>
      <c r="G323" s="9" t="str">
        <f ca="1">+WORLDCUP!BD58</f>
        <v>República Checa</v>
      </c>
      <c r="H323" s="9" t="str">
        <f ca="1">+WORLDCUP!BD63</f>
        <v>Japón</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Catar</v>
      </c>
      <c r="F324" s="9" t="str">
        <f ca="1">+WORLDCUP!BD61</f>
        <v>Turquía</v>
      </c>
      <c r="G324" s="9" t="str">
        <f ca="1">+WORLDCUP!BD58</f>
        <v>República Checa</v>
      </c>
      <c r="H324" s="9" t="str">
        <f ca="1">+WORLDCUP!BD63</f>
        <v>Japón</v>
      </c>
      <c r="I324" s="9" t="str">
        <f ca="1">+WORLDCUP!BD69</f>
        <v>Ghana</v>
      </c>
      <c r="J324" s="9" t="str">
        <f ca="1">+WORLDCUP!BD66</f>
        <v>Irak</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Catar</v>
      </c>
      <c r="F325" s="9" t="str">
        <f ca="1">+WORLDCUP!BD61</f>
        <v>Turquía</v>
      </c>
      <c r="G325" s="9" t="str">
        <f ca="1">+WORLDCUP!BD58</f>
        <v>República Checa</v>
      </c>
      <c r="H325" s="9" t="str">
        <f ca="1">+WORLDCUP!BD63</f>
        <v>Japón</v>
      </c>
      <c r="I325" s="9" t="str">
        <f ca="1">+WORLDCUP!BD66</f>
        <v>Irak</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Austria</v>
      </c>
      <c r="E326" s="9" t="str">
        <f ca="1">+WORLDCUP!BD59</f>
        <v>Catar</v>
      </c>
      <c r="F326" s="9" t="str">
        <f ca="1">+WORLDCUP!BD61</f>
        <v>Turquía</v>
      </c>
      <c r="G326" s="9" t="str">
        <f ca="1">+WORLDCUP!BD58</f>
        <v>República Checa</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Irak</v>
      </c>
      <c r="D327" s="9" t="str">
        <f ca="1">+WORLDCUP!BD64</f>
        <v>Irán</v>
      </c>
      <c r="E327" s="9" t="str">
        <f ca="1">+WORLDCUP!BD59</f>
        <v>Catar</v>
      </c>
      <c r="F327" s="9" t="str">
        <f ca="1">+WORLDCUP!BD61</f>
        <v>Turquía</v>
      </c>
      <c r="G327" s="9" t="str">
        <f ca="1">+WORLDCUP!BD58</f>
        <v>República Checa</v>
      </c>
      <c r="H327" s="9" t="str">
        <f ca="1">+WORLDCUP!BD63</f>
        <v>Japón</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Austria</v>
      </c>
      <c r="E328" s="9" t="str">
        <f ca="1">+WORLDCUP!BD59</f>
        <v>Catar</v>
      </c>
      <c r="F328" s="9" t="str">
        <f ca="1">+WORLDCUP!BD61</f>
        <v>Turquía</v>
      </c>
      <c r="G328" s="9" t="str">
        <f ca="1">+WORLDCUP!BD58</f>
        <v>República Checa</v>
      </c>
      <c r="H328" s="9" t="str">
        <f ca="1">+WORLDCUP!BD64</f>
        <v>Irán</v>
      </c>
      <c r="I328" s="9" t="str">
        <f ca="1">+WORLDCUP!BD69</f>
        <v>Ghana</v>
      </c>
      <c r="J328" s="9" t="str">
        <f ca="1">+WORLDCUP!BD66</f>
        <v>Irak</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Austria</v>
      </c>
      <c r="E329" s="9" t="str">
        <f ca="1">+WORLDCUP!BD59</f>
        <v>Catar</v>
      </c>
      <c r="F329" s="9" t="str">
        <f ca="1">+WORLDCUP!BD61</f>
        <v>Turquía</v>
      </c>
      <c r="G329" s="9" t="str">
        <f ca="1">+WORLDCUP!BD58</f>
        <v>República Checa</v>
      </c>
      <c r="H329" s="9" t="str">
        <f ca="1">+WORLDCUP!BD64</f>
        <v>Irán</v>
      </c>
      <c r="I329" s="9" t="str">
        <f ca="1">+WORLDCUP!BD66</f>
        <v>Irak</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Turquía</v>
      </c>
      <c r="G330" s="9" t="str">
        <f ca="1">+WORLDCUP!BD58</f>
        <v>República Checa</v>
      </c>
      <c r="H330" s="9" t="str">
        <f ca="1">+WORLDCUP!BD63</f>
        <v>Japón</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Turquía</v>
      </c>
      <c r="G331" s="9" t="str">
        <f ca="1">+WORLDCUP!BD58</f>
        <v>República Checa</v>
      </c>
      <c r="H331" s="9" t="str">
        <f ca="1">+WORLDCUP!BD63</f>
        <v>Japón</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Turquía</v>
      </c>
      <c r="G332" s="9" t="str">
        <f ca="1">+WORLDCUP!BD58</f>
        <v>República Checa</v>
      </c>
      <c r="H332" s="9" t="str">
        <f ca="1">+WORLDCUP!BD63</f>
        <v>Japón</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Turquía</v>
      </c>
      <c r="G333" s="9" t="str">
        <f ca="1">+WORLDCUP!BD58</f>
        <v>República Checa</v>
      </c>
      <c r="H333" s="9" t="str">
        <f ca="1">+WORLDCUP!BD63</f>
        <v>Japón</v>
      </c>
      <c r="I333" s="9" t="str">
        <f ca="1">+WORLDCUP!BD69</f>
        <v>Ghana</v>
      </c>
      <c r="J333" s="9" t="str">
        <f ca="1">+WORLDCUP!BD66</f>
        <v>Irak</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Turquía</v>
      </c>
      <c r="G334" s="9" t="str">
        <f ca="1">+WORLDCUP!BD58</f>
        <v>República Checa</v>
      </c>
      <c r="H334" s="9" t="str">
        <f ca="1">+WORLDCUP!BD63</f>
        <v>Japón</v>
      </c>
      <c r="I334" s="9" t="str">
        <f ca="1">+WORLDCUP!BD66</f>
        <v>Irak</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Turquía</v>
      </c>
      <c r="G335" s="9" t="str">
        <f ca="1">+WORLDCUP!BD58</f>
        <v>República Checa</v>
      </c>
      <c r="H335" s="9" t="str">
        <f ca="1">+WORLDCUP!BD63</f>
        <v>Japón</v>
      </c>
      <c r="I335" s="9" t="str">
        <f ca="1">+WORLDCUP!BD66</f>
        <v>Irak</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Austria</v>
      </c>
      <c r="E336" s="9" t="str">
        <f ca="1">+WORLDCUP!BD59</f>
        <v>Catar</v>
      </c>
      <c r="F336" s="9" t="str">
        <f ca="1">+WORLDCUP!BD58</f>
        <v>República Checa</v>
      </c>
      <c r="G336" s="9" t="str">
        <f ca="1">+WORLDCUP!BD66</f>
        <v>Irak</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Austria</v>
      </c>
      <c r="E337" s="9" t="str">
        <f ca="1">+WORLDCUP!BD59</f>
        <v>Catar</v>
      </c>
      <c r="F337" s="9" t="str">
        <f ca="1">+WORLDCUP!BD61</f>
        <v>Turquía</v>
      </c>
      <c r="G337" s="9" t="str">
        <f ca="1">+WORLDCUP!BD58</f>
        <v>República Checa</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Irak</v>
      </c>
      <c r="E338" s="9" t="str">
        <f ca="1">+WORLDCUP!BD59</f>
        <v>Catar</v>
      </c>
      <c r="F338" s="9" t="str">
        <f ca="1">+WORLDCUP!BD61</f>
        <v>Turquía</v>
      </c>
      <c r="G338" s="9" t="str">
        <f ca="1">+WORLDCUP!BD58</f>
        <v>República Checa</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Austria</v>
      </c>
      <c r="E339" s="9" t="str">
        <f ca="1">+WORLDCUP!BD59</f>
        <v>Catar</v>
      </c>
      <c r="F339" s="9" t="str">
        <f ca="1">+WORLDCUP!BD61</f>
        <v>Turquía</v>
      </c>
      <c r="G339" s="9" t="str">
        <f ca="1">+WORLDCUP!BD58</f>
        <v>República Checa</v>
      </c>
      <c r="H339" s="9" t="str">
        <f ca="1">+WORLDCUP!BD65</f>
        <v>Arabia Saudita</v>
      </c>
      <c r="I339" s="9" t="str">
        <f ca="1">+WORLDCUP!BD69</f>
        <v>Ghana</v>
      </c>
      <c r="J339" s="9" t="str">
        <f ca="1">+WORLDCUP!BD66</f>
        <v>Irak</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Austria</v>
      </c>
      <c r="E340" s="9" t="str">
        <f ca="1">+WORLDCUP!BD59</f>
        <v>Catar</v>
      </c>
      <c r="F340" s="9" t="str">
        <f ca="1">+WORLDCUP!BD61</f>
        <v>Turquía</v>
      </c>
      <c r="G340" s="9" t="str">
        <f ca="1">+WORLDCUP!BD58</f>
        <v>República Checa</v>
      </c>
      <c r="H340" s="9" t="str">
        <f ca="1">+WORLDCUP!BD65</f>
        <v>Arabia Saudita</v>
      </c>
      <c r="I340" s="9" t="str">
        <f ca="1">+WORLDCUP!BD66</f>
        <v>Irak</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Austria</v>
      </c>
      <c r="E341" s="9" t="str">
        <f ca="1">+WORLDCUP!BD59</f>
        <v>Catar</v>
      </c>
      <c r="F341" s="9" t="str">
        <f ca="1">+WORLDCUP!BD61</f>
        <v>Turquía</v>
      </c>
      <c r="G341" s="9" t="str">
        <f ca="1">+WORLDCUP!BD58</f>
        <v>República Checa</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Catar</v>
      </c>
      <c r="F342" s="9" t="str">
        <f ca="1">+WORLDCUP!BD58</f>
        <v>República Checa</v>
      </c>
      <c r="G342" s="9" t="str">
        <f ca="1">+WORLDCUP!BD66</f>
        <v>Irak</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Austria</v>
      </c>
      <c r="E343" s="9" t="str">
        <f ca="1">+WORLDCUP!BD59</f>
        <v>Catar</v>
      </c>
      <c r="F343" s="9" t="str">
        <f ca="1">+WORLDCUP!BD61</f>
        <v>Turquía</v>
      </c>
      <c r="G343" s="9" t="str">
        <f ca="1">+WORLDCUP!BD58</f>
        <v>República Checa</v>
      </c>
      <c r="H343" s="9" t="str">
        <f ca="1">+WORLDCUP!BD64</f>
        <v>Irán</v>
      </c>
      <c r="I343" s="9" t="str">
        <f ca="1">+WORLDCUP!BD69</f>
        <v>Ghana</v>
      </c>
      <c r="J343" s="9" t="str">
        <f ca="1">+WORLDCUP!BD66</f>
        <v>Irak</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Austria</v>
      </c>
      <c r="E344" s="9" t="str">
        <f ca="1">+WORLDCUP!BD59</f>
        <v>Catar</v>
      </c>
      <c r="F344" s="9" t="str">
        <f ca="1">+WORLDCUP!BD61</f>
        <v>Turquía</v>
      </c>
      <c r="G344" s="9" t="str">
        <f ca="1">+WORLDCUP!BD58</f>
        <v>República Checa</v>
      </c>
      <c r="H344" s="9" t="str">
        <f ca="1">+WORLDCUP!BD64</f>
        <v>Irán</v>
      </c>
      <c r="I344" s="9" t="str">
        <f ca="1">+WORLDCUP!BD66</f>
        <v>Irak</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Catar</v>
      </c>
      <c r="F345" s="9" t="str">
        <f ca="1">+WORLDCUP!BD61</f>
        <v>Turquía</v>
      </c>
      <c r="G345" s="9" t="str">
        <f ca="1">+WORLDCUP!BD58</f>
        <v>República Checa</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Catar</v>
      </c>
      <c r="F346" s="9" t="str">
        <f ca="1">+WORLDCUP!BD61</f>
        <v>Turquía</v>
      </c>
      <c r="G346" s="9" t="str">
        <f ca="1">+WORLDCUP!BD58</f>
        <v>República Checa</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Catar</v>
      </c>
      <c r="F347" s="9" t="str">
        <f ca="1">+WORLDCUP!BD61</f>
        <v>Turquía</v>
      </c>
      <c r="G347" s="9" t="str">
        <f ca="1">+WORLDCUP!BD58</f>
        <v>República Checa</v>
      </c>
      <c r="H347" s="9" t="str">
        <f ca="1">+WORLDCUP!BD64</f>
        <v>Irán</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Catar</v>
      </c>
      <c r="F348" s="9" t="str">
        <f ca="1">+WORLDCUP!BD61</f>
        <v>Turquía</v>
      </c>
      <c r="G348" s="9" t="str">
        <f ca="1">+WORLDCUP!BD58</f>
        <v>República Checa</v>
      </c>
      <c r="H348" s="9" t="str">
        <f ca="1">+WORLDCUP!BD65</f>
        <v>Arabia Saudita</v>
      </c>
      <c r="I348" s="9" t="str">
        <f ca="1">+WORLDCUP!BD69</f>
        <v>Ghana</v>
      </c>
      <c r="J348" s="9" t="str">
        <f ca="1">+WORLDCUP!BD66</f>
        <v>Irak</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Catar</v>
      </c>
      <c r="F349" s="9" t="str">
        <f ca="1">+WORLDCUP!BD61</f>
        <v>Turquía</v>
      </c>
      <c r="G349" s="9" t="str">
        <f ca="1">+WORLDCUP!BD58</f>
        <v>República Checa</v>
      </c>
      <c r="H349" s="9" t="str">
        <f ca="1">+WORLDCUP!BD65</f>
        <v>Arabia Saudita</v>
      </c>
      <c r="I349" s="9" t="str">
        <f ca="1">+WORLDCUP!BD66</f>
        <v>Irak</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Catar</v>
      </c>
      <c r="F350" s="9" t="str">
        <f ca="1">+WORLDCUP!BD61</f>
        <v>Turquía</v>
      </c>
      <c r="G350" s="9" t="str">
        <f ca="1">+WORLDCUP!BD58</f>
        <v>República Checa</v>
      </c>
      <c r="H350" s="9" t="str">
        <f ca="1">+WORLDCUP!BD64</f>
        <v>Irán</v>
      </c>
      <c r="I350" s="9" t="str">
        <f ca="1">+WORLDCUP!BD62</f>
        <v>Ecuador</v>
      </c>
      <c r="J350" s="9" t="str">
        <f ca="1">+WORLDCUP!BD66</f>
        <v>Irak</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Austria</v>
      </c>
      <c r="E351" s="9" t="str">
        <f ca="1">+WORLDCUP!BD59</f>
        <v>Catar</v>
      </c>
      <c r="F351" s="9" t="str">
        <f ca="1">+WORLDCUP!BD61</f>
        <v>Turquía</v>
      </c>
      <c r="G351" s="9" t="str">
        <f ca="1">+WORLDCUP!BD58</f>
        <v>República Checa</v>
      </c>
      <c r="H351" s="9" t="str">
        <f ca="1">+WORLDCUP!BD63</f>
        <v>Japón</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Irak</v>
      </c>
      <c r="E352" s="9" t="str">
        <f ca="1">+WORLDCUP!BD59</f>
        <v>Catar</v>
      </c>
      <c r="F352" s="9" t="str">
        <f ca="1">+WORLDCUP!BD61</f>
        <v>Turquía</v>
      </c>
      <c r="G352" s="9" t="str">
        <f ca="1">+WORLDCUP!BD58</f>
        <v>República Checa</v>
      </c>
      <c r="H352" s="9" t="str">
        <f ca="1">+WORLDCUP!BD63</f>
        <v>Japón</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Austria</v>
      </c>
      <c r="E353" s="9" t="str">
        <f ca="1">+WORLDCUP!BD59</f>
        <v>Catar</v>
      </c>
      <c r="F353" s="9" t="str">
        <f ca="1">+WORLDCUP!BD61</f>
        <v>Turquía</v>
      </c>
      <c r="G353" s="9" t="str">
        <f ca="1">+WORLDCUP!BD58</f>
        <v>República Checa</v>
      </c>
      <c r="H353" s="9" t="str">
        <f ca="1">+WORLDCUP!BD63</f>
        <v>Japón</v>
      </c>
      <c r="I353" s="9" t="str">
        <f ca="1">+WORLDCUP!BD69</f>
        <v>Ghana</v>
      </c>
      <c r="J353" s="9" t="str">
        <f ca="1">+WORLDCUP!BD66</f>
        <v>Irak</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Austria</v>
      </c>
      <c r="E354" s="9" t="str">
        <f ca="1">+WORLDCUP!BD59</f>
        <v>Catar</v>
      </c>
      <c r="F354" s="9" t="str">
        <f ca="1">+WORLDCUP!BD61</f>
        <v>Turquía</v>
      </c>
      <c r="G354" s="9" t="str">
        <f ca="1">+WORLDCUP!BD58</f>
        <v>República Checa</v>
      </c>
      <c r="H354" s="9" t="str">
        <f ca="1">+WORLDCUP!BD63</f>
        <v>Japón</v>
      </c>
      <c r="I354" s="9" t="str">
        <f ca="1">+WORLDCUP!BD66</f>
        <v>Irak</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Ecuador</v>
      </c>
      <c r="E355" s="9" t="str">
        <f ca="1">+WORLDCUP!BD59</f>
        <v>Catar</v>
      </c>
      <c r="F355" s="9" t="str">
        <f ca="1">+WORLDCUP!BD61</f>
        <v>Turquía</v>
      </c>
      <c r="G355" s="9" t="str">
        <f ca="1">+WORLDCUP!BD58</f>
        <v>República Checa</v>
      </c>
      <c r="H355" s="9" t="str">
        <f ca="1">+WORLDCUP!BD63</f>
        <v>Japón</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Catar</v>
      </c>
      <c r="F356" s="9" t="str">
        <f ca="1">+WORLDCUP!BD61</f>
        <v>Turquía</v>
      </c>
      <c r="G356" s="9" t="str">
        <f ca="1">+WORLDCUP!BD58</f>
        <v>República Checa</v>
      </c>
      <c r="H356" s="9" t="str">
        <f ca="1">+WORLDCUP!BD63</f>
        <v>Japón</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Catar</v>
      </c>
      <c r="F357" s="9" t="str">
        <f ca="1">+WORLDCUP!BD61</f>
        <v>Turquía</v>
      </c>
      <c r="G357" s="9" t="str">
        <f ca="1">+WORLDCUP!BD58</f>
        <v>República Checa</v>
      </c>
      <c r="H357" s="9" t="str">
        <f ca="1">+WORLDCUP!BD63</f>
        <v>Japón</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Ecuador</v>
      </c>
      <c r="E358" s="9" t="str">
        <f ca="1">+WORLDCUP!BD59</f>
        <v>Catar</v>
      </c>
      <c r="F358" s="9" t="str">
        <f ca="1">+WORLDCUP!BD61</f>
        <v>Turquía</v>
      </c>
      <c r="G358" s="9" t="str">
        <f ca="1">+WORLDCUP!BD58</f>
        <v>República Checa</v>
      </c>
      <c r="H358" s="9" t="str">
        <f ca="1">+WORLDCUP!BD63</f>
        <v>Japón</v>
      </c>
      <c r="I358" s="9" t="str">
        <f ca="1">+WORLDCUP!BD69</f>
        <v>Ghana</v>
      </c>
      <c r="J358" s="9" t="str">
        <f ca="1">+WORLDCUP!BD66</f>
        <v>Irak</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Ecuador</v>
      </c>
      <c r="E359" s="9" t="str">
        <f ca="1">+WORLDCUP!BD59</f>
        <v>Catar</v>
      </c>
      <c r="F359" s="9" t="str">
        <f ca="1">+WORLDCUP!BD61</f>
        <v>Turquía</v>
      </c>
      <c r="G359" s="9" t="str">
        <f ca="1">+WORLDCUP!BD58</f>
        <v>República Checa</v>
      </c>
      <c r="H359" s="9" t="str">
        <f ca="1">+WORLDCUP!BD63</f>
        <v>Japón</v>
      </c>
      <c r="I359" s="9" t="str">
        <f ca="1">+WORLDCUP!BD66</f>
        <v>Irak</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Catar</v>
      </c>
      <c r="F360" s="9" t="str">
        <f ca="1">+WORLDCUP!BD61</f>
        <v>Turquía</v>
      </c>
      <c r="G360" s="9" t="str">
        <f ca="1">+WORLDCUP!BD58</f>
        <v>República Checa</v>
      </c>
      <c r="H360" s="9" t="str">
        <f ca="1">+WORLDCUP!BD63</f>
        <v>Japón</v>
      </c>
      <c r="I360" s="9" t="str">
        <f ca="1">+WORLDCUP!BD62</f>
        <v>Ecuador</v>
      </c>
      <c r="J360" s="9" t="str">
        <f ca="1">+WORLDCUP!BD66</f>
        <v>Irak</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Catar</v>
      </c>
      <c r="F361" s="9" t="str">
        <f ca="1">+WORLDCUP!BD61</f>
        <v>Turquía</v>
      </c>
      <c r="G361" s="9" t="str">
        <f ca="1">+WORLDCUP!BD58</f>
        <v>República Checa</v>
      </c>
      <c r="H361" s="9" t="str">
        <f ca="1">+WORLDCUP!BD63</f>
        <v>Japón</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Catar</v>
      </c>
      <c r="F362" s="9" t="str">
        <f ca="1">+WORLDCUP!BD61</f>
        <v>Turquía</v>
      </c>
      <c r="G362" s="9" t="str">
        <f ca="1">+WORLDCUP!BD58</f>
        <v>República Checa</v>
      </c>
      <c r="H362" s="9" t="str">
        <f ca="1">+WORLDCUP!BD63</f>
        <v>Japón</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Catar</v>
      </c>
      <c r="F363" s="9" t="str">
        <f ca="1">+WORLDCUP!BD61</f>
        <v>Turquía</v>
      </c>
      <c r="G363" s="9" t="str">
        <f ca="1">+WORLDCUP!BD58</f>
        <v>República Checa</v>
      </c>
      <c r="H363" s="9" t="str">
        <f ca="1">+WORLDCUP!BD63</f>
        <v>Japón</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Catar</v>
      </c>
      <c r="F364" s="9" t="str">
        <f ca="1">+WORLDCUP!BD61</f>
        <v>Turquía</v>
      </c>
      <c r="G364" s="9" t="str">
        <f ca="1">+WORLDCUP!BD58</f>
        <v>República Checa</v>
      </c>
      <c r="H364" s="9" t="str">
        <f ca="1">+WORLDCUP!BD63</f>
        <v>Japón</v>
      </c>
      <c r="I364" s="9" t="str">
        <f ca="1">+WORLDCUP!BD69</f>
        <v>Ghana</v>
      </c>
      <c r="J364" s="9" t="str">
        <f ca="1">+WORLDCUP!BD66</f>
        <v>Irak</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Catar</v>
      </c>
      <c r="F365" s="9" t="str">
        <f ca="1">+WORLDCUP!BD61</f>
        <v>Turquía</v>
      </c>
      <c r="G365" s="9" t="str">
        <f ca="1">+WORLDCUP!BD58</f>
        <v>República Checa</v>
      </c>
      <c r="H365" s="9" t="str">
        <f ca="1">+WORLDCUP!BD63</f>
        <v>Japón</v>
      </c>
      <c r="I365" s="9" t="str">
        <f ca="1">+WORLDCUP!BD66</f>
        <v>Irak</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Catar</v>
      </c>
      <c r="F366" s="9" t="str">
        <f ca="1">+WORLDCUP!BD61</f>
        <v>Turquía</v>
      </c>
      <c r="G366" s="9" t="str">
        <f ca="1">+WORLDCUP!BD58</f>
        <v>República Checa</v>
      </c>
      <c r="H366" s="9" t="str">
        <f ca="1">+WORLDCUP!BD63</f>
        <v>Japón</v>
      </c>
      <c r="I366" s="9" t="str">
        <f ca="1">+WORLDCUP!BD66</f>
        <v>Irak</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Turquía</v>
      </c>
      <c r="G367" s="9" t="str">
        <f ca="1">+WORLDCUP!BD58</f>
        <v>República Checa</v>
      </c>
      <c r="H367" s="9" t="str">
        <f ca="1">+WORLDCUP!BD63</f>
        <v>Japón</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Turquía</v>
      </c>
      <c r="G368" s="9" t="str">
        <f ca="1">+WORLDCUP!BD58</f>
        <v>República Checa</v>
      </c>
      <c r="H368" s="9" t="str">
        <f ca="1">+WORLDCUP!BD63</f>
        <v>Japón</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Turquía</v>
      </c>
      <c r="G369" s="9" t="str">
        <f ca="1">+WORLDCUP!BD58</f>
        <v>República Checa</v>
      </c>
      <c r="H369" s="9" t="str">
        <f ca="1">+WORLDCUP!BD63</f>
        <v>Japón</v>
      </c>
      <c r="I369" s="9" t="str">
        <f ca="1">+WORLDCUP!BD62</f>
        <v>Ecuador</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Turquía</v>
      </c>
      <c r="G370" s="9" t="str">
        <f ca="1">+WORLDCUP!BD58</f>
        <v>República Checa</v>
      </c>
      <c r="H370" s="9" t="str">
        <f ca="1">+WORLDCUP!BD63</f>
        <v>Japón</v>
      </c>
      <c r="I370" s="9" t="str">
        <f ca="1">+WORLDCUP!BD62</f>
        <v>Ecuador</v>
      </c>
      <c r="J370" s="9" t="str">
        <f ca="1">+WORLDCUP!BD66</f>
        <v>Irak</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Irak</v>
      </c>
      <c r="D371" s="9" t="str">
        <f ca="1">+WORLDCUP!BD67</f>
        <v>Austria</v>
      </c>
      <c r="E371" s="9" t="str">
        <f ca="1">+WORLDCUP!BD59</f>
        <v>Catar</v>
      </c>
      <c r="F371" s="9" t="str">
        <f ca="1">+WORLDCUP!BD60</f>
        <v>Marruecos</v>
      </c>
      <c r="G371" s="9" t="str">
        <f ca="1">+WORLDCUP!BD58</f>
        <v>República Checa</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Irak</v>
      </c>
      <c r="D372" s="9" t="str">
        <f ca="1">+WORLDCUP!BD67</f>
        <v>Austria</v>
      </c>
      <c r="E372" s="9" t="str">
        <f ca="1">+WORLDCUP!BD59</f>
        <v>Catar</v>
      </c>
      <c r="F372" s="9" t="str">
        <f ca="1">+WORLDCUP!BD60</f>
        <v>Marruecos</v>
      </c>
      <c r="G372" s="9" t="str">
        <f ca="1">+WORLDCUP!BD58</f>
        <v>República Checa</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Catar</v>
      </c>
      <c r="F373" s="9" t="str">
        <f ca="1">+WORLDCUP!BD60</f>
        <v>Marruecos</v>
      </c>
      <c r="G373" s="9" t="str">
        <f ca="1">+WORLDCUP!BD58</f>
        <v>República Checa</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Irak</v>
      </c>
      <c r="D374" s="9" t="str">
        <f ca="1">+WORLDCUP!BD64</f>
        <v>Irán</v>
      </c>
      <c r="E374" s="9" t="str">
        <f ca="1">+WORLDCUP!BD59</f>
        <v>Catar</v>
      </c>
      <c r="F374" s="9" t="str">
        <f ca="1">+WORLDCUP!BD60</f>
        <v>Marruecos</v>
      </c>
      <c r="G374" s="9" t="str">
        <f ca="1">+WORLDCUP!BD58</f>
        <v>República Checa</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Catar</v>
      </c>
      <c r="F375" s="9" t="str">
        <f ca="1">+WORLDCUP!BD60</f>
        <v>Marruecos</v>
      </c>
      <c r="G375" s="9" t="str">
        <f ca="1">+WORLDCUP!BD58</f>
        <v>República Checa</v>
      </c>
      <c r="H375" s="9" t="str">
        <f ca="1">+WORLDCUP!BD64</f>
        <v>Irán</v>
      </c>
      <c r="I375" s="9" t="str">
        <f ca="1">+WORLDCUP!BD69</f>
        <v>Ghana</v>
      </c>
      <c r="J375" s="9" t="str">
        <f ca="1">+WORLDCUP!BD66</f>
        <v>Irak</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Catar</v>
      </c>
      <c r="F376" s="9" t="str">
        <f ca="1">+WORLDCUP!BD60</f>
        <v>Marruecos</v>
      </c>
      <c r="G376" s="9" t="str">
        <f ca="1">+WORLDCUP!BD58</f>
        <v>República Checa</v>
      </c>
      <c r="H376" s="9" t="str">
        <f ca="1">+WORLDCUP!BD64</f>
        <v>Irán</v>
      </c>
      <c r="I376" s="9" t="str">
        <f ca="1">+WORLDCUP!BD66</f>
        <v>Irak</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Irak</v>
      </c>
      <c r="D377" s="9" t="str">
        <f ca="1">+WORLDCUP!BD67</f>
        <v>Austria</v>
      </c>
      <c r="E377" s="9" t="str">
        <f ca="1">+WORLDCUP!BD59</f>
        <v>Catar</v>
      </c>
      <c r="F377" s="9" t="str">
        <f ca="1">+WORLDCUP!BD60</f>
        <v>Marruecos</v>
      </c>
      <c r="G377" s="9" t="str">
        <f ca="1">+WORLDCUP!BD58</f>
        <v>República Checa</v>
      </c>
      <c r="H377" s="9" t="str">
        <f ca="1">+WORLDCUP!BD63</f>
        <v>Japón</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Catar</v>
      </c>
      <c r="F378" s="9" t="str">
        <f ca="1">+WORLDCUP!BD60</f>
        <v>Marruecos</v>
      </c>
      <c r="G378" s="9" t="str">
        <f ca="1">+WORLDCUP!BD58</f>
        <v>República Checa</v>
      </c>
      <c r="H378" s="9" t="str">
        <f ca="1">+WORLDCUP!BD63</f>
        <v>Japón</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Irak</v>
      </c>
      <c r="E379" s="9" t="str">
        <f ca="1">+WORLDCUP!BD59</f>
        <v>Catar</v>
      </c>
      <c r="F379" s="9" t="str">
        <f ca="1">+WORLDCUP!BD60</f>
        <v>Marruecos</v>
      </c>
      <c r="G379" s="9" t="str">
        <f ca="1">+WORLDCUP!BD58</f>
        <v>República Checa</v>
      </c>
      <c r="H379" s="9" t="str">
        <f ca="1">+WORLDCUP!BD63</f>
        <v>Japón</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Catar</v>
      </c>
      <c r="F380" s="9" t="str">
        <f ca="1">+WORLDCUP!BD60</f>
        <v>Marruecos</v>
      </c>
      <c r="G380" s="9" t="str">
        <f ca="1">+WORLDCUP!BD58</f>
        <v>República Checa</v>
      </c>
      <c r="H380" s="9" t="str">
        <f ca="1">+WORLDCUP!BD63</f>
        <v>Japón</v>
      </c>
      <c r="I380" s="9" t="str">
        <f ca="1">+WORLDCUP!BD69</f>
        <v>Ghana</v>
      </c>
      <c r="J380" s="9" t="str">
        <f ca="1">+WORLDCUP!BD66</f>
        <v>Irak</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Catar</v>
      </c>
      <c r="F381" s="9" t="str">
        <f ca="1">+WORLDCUP!BD60</f>
        <v>Marruecos</v>
      </c>
      <c r="G381" s="9" t="str">
        <f ca="1">+WORLDCUP!BD58</f>
        <v>República Checa</v>
      </c>
      <c r="H381" s="9" t="str">
        <f ca="1">+WORLDCUP!BD63</f>
        <v>Japón</v>
      </c>
      <c r="I381" s="9" t="str">
        <f ca="1">+WORLDCUP!BD66</f>
        <v>Irak</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Austria</v>
      </c>
      <c r="E382" s="9" t="str">
        <f ca="1">+WORLDCUP!BD59</f>
        <v>Catar</v>
      </c>
      <c r="F382" s="9" t="str">
        <f ca="1">+WORLDCUP!BD63</f>
        <v>Japón</v>
      </c>
      <c r="G382" s="9" t="str">
        <f ca="1">+WORLDCUP!BD58</f>
        <v>República Checa</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Irak</v>
      </c>
      <c r="D383" s="9" t="str">
        <f ca="1">+WORLDCUP!BD64</f>
        <v>Irán</v>
      </c>
      <c r="E383" s="9" t="str">
        <f ca="1">+WORLDCUP!BD59</f>
        <v>Catar</v>
      </c>
      <c r="F383" s="9" t="str">
        <f ca="1">+WORLDCUP!BD60</f>
        <v>Marruecos</v>
      </c>
      <c r="G383" s="9" t="str">
        <f ca="1">+WORLDCUP!BD58</f>
        <v>República Checa</v>
      </c>
      <c r="H383" s="9" t="str">
        <f ca="1">+WORLDCUP!BD63</f>
        <v>Japón</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Austria</v>
      </c>
      <c r="E384" s="9" t="str">
        <f ca="1">+WORLDCUP!BD59</f>
        <v>Catar</v>
      </c>
      <c r="F384" s="9" t="str">
        <f ca="1">+WORLDCUP!BD63</f>
        <v>Japón</v>
      </c>
      <c r="G384" s="9" t="str">
        <f ca="1">+WORLDCUP!BD58</f>
        <v>República Checa</v>
      </c>
      <c r="H384" s="9" t="str">
        <f ca="1">+WORLDCUP!BD64</f>
        <v>Irán</v>
      </c>
      <c r="I384" s="9" t="str">
        <f ca="1">+WORLDCUP!BD69</f>
        <v>Ghana</v>
      </c>
      <c r="J384" s="9" t="str">
        <f ca="1">+WORLDCUP!BD66</f>
        <v>Irak</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Austria</v>
      </c>
      <c r="E385" s="9" t="str">
        <f ca="1">+WORLDCUP!BD59</f>
        <v>Catar</v>
      </c>
      <c r="F385" s="9" t="str">
        <f ca="1">+WORLDCUP!BD63</f>
        <v>Japón</v>
      </c>
      <c r="G385" s="9" t="str">
        <f ca="1">+WORLDCUP!BD58</f>
        <v>República Checa</v>
      </c>
      <c r="H385" s="9" t="str">
        <f ca="1">+WORLDCUP!BD64</f>
        <v>Irán</v>
      </c>
      <c r="I385" s="9" t="str">
        <f ca="1">+WORLDCUP!BD66</f>
        <v>Irak</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Marruecos</v>
      </c>
      <c r="G386" s="9" t="str">
        <f ca="1">+WORLDCUP!BD58</f>
        <v>República Checa</v>
      </c>
      <c r="H386" s="9" t="str">
        <f ca="1">+WORLDCUP!BD63</f>
        <v>Japón</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Marruecos</v>
      </c>
      <c r="G387" s="9" t="str">
        <f ca="1">+WORLDCUP!BD58</f>
        <v>República Checa</v>
      </c>
      <c r="H387" s="9" t="str">
        <f ca="1">+WORLDCUP!BD63</f>
        <v>Japón</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Marruecos</v>
      </c>
      <c r="G388" s="9" t="str">
        <f ca="1">+WORLDCUP!BD58</f>
        <v>República Checa</v>
      </c>
      <c r="H388" s="9" t="str">
        <f ca="1">+WORLDCUP!BD63</f>
        <v>Japón</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Marruecos</v>
      </c>
      <c r="G389" s="9" t="str">
        <f ca="1">+WORLDCUP!BD58</f>
        <v>República Checa</v>
      </c>
      <c r="H389" s="9" t="str">
        <f ca="1">+WORLDCUP!BD63</f>
        <v>Japón</v>
      </c>
      <c r="I389" s="9" t="str">
        <f ca="1">+WORLDCUP!BD69</f>
        <v>Ghana</v>
      </c>
      <c r="J389" s="9" t="str">
        <f ca="1">+WORLDCUP!BD66</f>
        <v>Irak</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Marruecos</v>
      </c>
      <c r="G390" s="9" t="str">
        <f ca="1">+WORLDCUP!BD58</f>
        <v>República Checa</v>
      </c>
      <c r="H390" s="9" t="str">
        <f ca="1">+WORLDCUP!BD63</f>
        <v>Japón</v>
      </c>
      <c r="I390" s="9" t="str">
        <f ca="1">+WORLDCUP!BD66</f>
        <v>Irak</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Marruecos</v>
      </c>
      <c r="G391" s="9" t="str">
        <f ca="1">+WORLDCUP!BD58</f>
        <v>República Checa</v>
      </c>
      <c r="H391" s="9" t="str">
        <f ca="1">+WORLDCUP!BD63</f>
        <v>Japón</v>
      </c>
      <c r="I391" s="9" t="str">
        <f ca="1">+WORLDCUP!BD66</f>
        <v>Irak</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Austria</v>
      </c>
      <c r="E392" s="9" t="str">
        <f ca="1">+WORLDCUP!BD59</f>
        <v>Catar</v>
      </c>
      <c r="F392" s="9" t="str">
        <f ca="1">+WORLDCUP!BD58</f>
        <v>República Checa</v>
      </c>
      <c r="G392" s="9" t="str">
        <f ca="1">+WORLDCUP!BD66</f>
        <v>Irak</v>
      </c>
      <c r="H392" s="9" t="str">
        <f ca="1">+WORLDCUP!BD60</f>
        <v>Marruecos</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Austria</v>
      </c>
      <c r="E393" s="9" t="str">
        <f ca="1">+WORLDCUP!BD59</f>
        <v>Catar</v>
      </c>
      <c r="F393" s="9" t="str">
        <f ca="1">+WORLDCUP!BD60</f>
        <v>Marruecos</v>
      </c>
      <c r="G393" s="9" t="str">
        <f ca="1">+WORLDCUP!BD58</f>
        <v>República Checa</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Irak</v>
      </c>
      <c r="E394" s="9" t="str">
        <f ca="1">+WORLDCUP!BD59</f>
        <v>Catar</v>
      </c>
      <c r="F394" s="9" t="str">
        <f ca="1">+WORLDCUP!BD60</f>
        <v>Marruecos</v>
      </c>
      <c r="G394" s="9" t="str">
        <f ca="1">+WORLDCUP!BD58</f>
        <v>República Checa</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Austria</v>
      </c>
      <c r="E395" s="9" t="str">
        <f ca="1">+WORLDCUP!BD59</f>
        <v>Catar</v>
      </c>
      <c r="F395" s="9" t="str">
        <f ca="1">+WORLDCUP!BD60</f>
        <v>Marruecos</v>
      </c>
      <c r="G395" s="9" t="str">
        <f ca="1">+WORLDCUP!BD58</f>
        <v>República Checa</v>
      </c>
      <c r="H395" s="9" t="str">
        <f ca="1">+WORLDCUP!BD65</f>
        <v>Arabia Saudita</v>
      </c>
      <c r="I395" s="9" t="str">
        <f ca="1">+WORLDCUP!BD69</f>
        <v>Ghana</v>
      </c>
      <c r="J395" s="9" t="str">
        <f ca="1">+WORLDCUP!BD66</f>
        <v>Irak</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Austria</v>
      </c>
      <c r="E396" s="9" t="str">
        <f ca="1">+WORLDCUP!BD59</f>
        <v>Catar</v>
      </c>
      <c r="F396" s="9" t="str">
        <f ca="1">+WORLDCUP!BD60</f>
        <v>Marruecos</v>
      </c>
      <c r="G396" s="9" t="str">
        <f ca="1">+WORLDCUP!BD58</f>
        <v>República Checa</v>
      </c>
      <c r="H396" s="9" t="str">
        <f ca="1">+WORLDCUP!BD65</f>
        <v>Arabia Saudita</v>
      </c>
      <c r="I396" s="9" t="str">
        <f ca="1">+WORLDCUP!BD66</f>
        <v>Irak</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Austria</v>
      </c>
      <c r="E397" s="9" t="str">
        <f ca="1">+WORLDCUP!BD59</f>
        <v>Catar</v>
      </c>
      <c r="F397" s="9" t="str">
        <f ca="1">+WORLDCUP!BD60</f>
        <v>Marruecos</v>
      </c>
      <c r="G397" s="9" t="str">
        <f ca="1">+WORLDCUP!BD58</f>
        <v>República Checa</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Catar</v>
      </c>
      <c r="F398" s="9" t="str">
        <f ca="1">+WORLDCUP!BD58</f>
        <v>República Checa</v>
      </c>
      <c r="G398" s="9" t="str">
        <f ca="1">+WORLDCUP!BD66</f>
        <v>Irak</v>
      </c>
      <c r="H398" s="9" t="str">
        <f ca="1">+WORLDCUP!BD60</f>
        <v>Marruecos</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Austria</v>
      </c>
      <c r="E399" s="9" t="str">
        <f ca="1">+WORLDCUP!BD59</f>
        <v>Catar</v>
      </c>
      <c r="F399" s="9" t="str">
        <f ca="1">+WORLDCUP!BD60</f>
        <v>Marruecos</v>
      </c>
      <c r="G399" s="9" t="str">
        <f ca="1">+WORLDCUP!BD58</f>
        <v>República Checa</v>
      </c>
      <c r="H399" s="9" t="str">
        <f ca="1">+WORLDCUP!BD64</f>
        <v>Irán</v>
      </c>
      <c r="I399" s="9" t="str">
        <f ca="1">+WORLDCUP!BD69</f>
        <v>Ghana</v>
      </c>
      <c r="J399" s="9" t="str">
        <f ca="1">+WORLDCUP!BD66</f>
        <v>Irak</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Austria</v>
      </c>
      <c r="E400" s="9" t="str">
        <f ca="1">+WORLDCUP!BD59</f>
        <v>Catar</v>
      </c>
      <c r="F400" s="9" t="str">
        <f ca="1">+WORLDCUP!BD60</f>
        <v>Marruecos</v>
      </c>
      <c r="G400" s="9" t="str">
        <f ca="1">+WORLDCUP!BD58</f>
        <v>República Checa</v>
      </c>
      <c r="H400" s="9" t="str">
        <f ca="1">+WORLDCUP!BD64</f>
        <v>Irán</v>
      </c>
      <c r="I400" s="9" t="str">
        <f ca="1">+WORLDCUP!BD66</f>
        <v>Irak</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Catar</v>
      </c>
      <c r="F401" s="9" t="str">
        <f ca="1">+WORLDCUP!BD60</f>
        <v>Marruecos</v>
      </c>
      <c r="G401" s="9" t="str">
        <f ca="1">+WORLDCUP!BD58</f>
        <v>República Checa</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Catar</v>
      </c>
      <c r="F402" s="9" t="str">
        <f ca="1">+WORLDCUP!BD60</f>
        <v>Marruecos</v>
      </c>
      <c r="G402" s="9" t="str">
        <f ca="1">+WORLDCUP!BD58</f>
        <v>República Checa</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Catar</v>
      </c>
      <c r="F403" s="9" t="str">
        <f ca="1">+WORLDCUP!BD60</f>
        <v>Marruecos</v>
      </c>
      <c r="G403" s="9" t="str">
        <f ca="1">+WORLDCUP!BD58</f>
        <v>República Checa</v>
      </c>
      <c r="H403" s="9" t="str">
        <f ca="1">+WORLDCUP!BD64</f>
        <v>Irán</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Catar</v>
      </c>
      <c r="F404" s="9" t="str">
        <f ca="1">+WORLDCUP!BD60</f>
        <v>Marruecos</v>
      </c>
      <c r="G404" s="9" t="str">
        <f ca="1">+WORLDCUP!BD58</f>
        <v>República Checa</v>
      </c>
      <c r="H404" s="9" t="str">
        <f ca="1">+WORLDCUP!BD65</f>
        <v>Arabia Saudita</v>
      </c>
      <c r="I404" s="9" t="str">
        <f ca="1">+WORLDCUP!BD69</f>
        <v>Ghana</v>
      </c>
      <c r="J404" s="9" t="str">
        <f ca="1">+WORLDCUP!BD66</f>
        <v>Irak</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Catar</v>
      </c>
      <c r="F405" s="9" t="str">
        <f ca="1">+WORLDCUP!BD60</f>
        <v>Marruecos</v>
      </c>
      <c r="G405" s="9" t="str">
        <f ca="1">+WORLDCUP!BD58</f>
        <v>República Checa</v>
      </c>
      <c r="H405" s="9" t="str">
        <f ca="1">+WORLDCUP!BD65</f>
        <v>Arabia Saudita</v>
      </c>
      <c r="I405" s="9" t="str">
        <f ca="1">+WORLDCUP!BD66</f>
        <v>Irak</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Catar</v>
      </c>
      <c r="F406" s="9" t="str">
        <f ca="1">+WORLDCUP!BD60</f>
        <v>Marruecos</v>
      </c>
      <c r="G406" s="9" t="str">
        <f ca="1">+WORLDCUP!BD58</f>
        <v>República Checa</v>
      </c>
      <c r="H406" s="9" t="str">
        <f ca="1">+WORLDCUP!BD64</f>
        <v>Irán</v>
      </c>
      <c r="I406" s="9" t="str">
        <f ca="1">+WORLDCUP!BD62</f>
        <v>Ecuador</v>
      </c>
      <c r="J406" s="9" t="str">
        <f ca="1">+WORLDCUP!BD66</f>
        <v>Irak</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Austria</v>
      </c>
      <c r="E407" s="9" t="str">
        <f ca="1">+WORLDCUP!BD59</f>
        <v>Catar</v>
      </c>
      <c r="F407" s="9" t="str">
        <f ca="1">+WORLDCUP!BD60</f>
        <v>Marruecos</v>
      </c>
      <c r="G407" s="9" t="str">
        <f ca="1">+WORLDCUP!BD58</f>
        <v>República Checa</v>
      </c>
      <c r="H407" s="9" t="str">
        <f ca="1">+WORLDCUP!BD63</f>
        <v>Japón</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Irak</v>
      </c>
      <c r="E408" s="9" t="str">
        <f ca="1">+WORLDCUP!BD59</f>
        <v>Catar</v>
      </c>
      <c r="F408" s="9" t="str">
        <f ca="1">+WORLDCUP!BD60</f>
        <v>Marruecos</v>
      </c>
      <c r="G408" s="9" t="str">
        <f ca="1">+WORLDCUP!BD58</f>
        <v>República Checa</v>
      </c>
      <c r="H408" s="9" t="str">
        <f ca="1">+WORLDCUP!BD63</f>
        <v>Japón</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Austria</v>
      </c>
      <c r="E409" s="9" t="str">
        <f ca="1">+WORLDCUP!BD59</f>
        <v>Catar</v>
      </c>
      <c r="F409" s="9" t="str">
        <f ca="1">+WORLDCUP!BD60</f>
        <v>Marruecos</v>
      </c>
      <c r="G409" s="9" t="str">
        <f ca="1">+WORLDCUP!BD58</f>
        <v>República Checa</v>
      </c>
      <c r="H409" s="9" t="str">
        <f ca="1">+WORLDCUP!BD63</f>
        <v>Japón</v>
      </c>
      <c r="I409" s="9" t="str">
        <f ca="1">+WORLDCUP!BD69</f>
        <v>Ghana</v>
      </c>
      <c r="J409" s="9" t="str">
        <f ca="1">+WORLDCUP!BD66</f>
        <v>Irak</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Austria</v>
      </c>
      <c r="E410" s="9" t="str">
        <f ca="1">+WORLDCUP!BD59</f>
        <v>Catar</v>
      </c>
      <c r="F410" s="9" t="str">
        <f ca="1">+WORLDCUP!BD60</f>
        <v>Marruecos</v>
      </c>
      <c r="G410" s="9" t="str">
        <f ca="1">+WORLDCUP!BD58</f>
        <v>República Checa</v>
      </c>
      <c r="H410" s="9" t="str">
        <f ca="1">+WORLDCUP!BD63</f>
        <v>Japón</v>
      </c>
      <c r="I410" s="9" t="str">
        <f ca="1">+WORLDCUP!BD66</f>
        <v>Irak</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Ecuador</v>
      </c>
      <c r="E411" s="9" t="str">
        <f ca="1">+WORLDCUP!BD59</f>
        <v>Catar</v>
      </c>
      <c r="F411" s="9" t="str">
        <f ca="1">+WORLDCUP!BD60</f>
        <v>Marruecos</v>
      </c>
      <c r="G411" s="9" t="str">
        <f ca="1">+WORLDCUP!BD58</f>
        <v>República Checa</v>
      </c>
      <c r="H411" s="9" t="str">
        <f ca="1">+WORLDCUP!BD63</f>
        <v>Japón</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Catar</v>
      </c>
      <c r="F412" s="9" t="str">
        <f ca="1">+WORLDCUP!BD60</f>
        <v>Marruecos</v>
      </c>
      <c r="G412" s="9" t="str">
        <f ca="1">+WORLDCUP!BD58</f>
        <v>República Checa</v>
      </c>
      <c r="H412" s="9" t="str">
        <f ca="1">+WORLDCUP!BD63</f>
        <v>Japón</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Catar</v>
      </c>
      <c r="F413" s="9" t="str">
        <f ca="1">+WORLDCUP!BD60</f>
        <v>Marruecos</v>
      </c>
      <c r="G413" s="9" t="str">
        <f ca="1">+WORLDCUP!BD58</f>
        <v>República Checa</v>
      </c>
      <c r="H413" s="9" t="str">
        <f ca="1">+WORLDCUP!BD63</f>
        <v>Japón</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Ecuador</v>
      </c>
      <c r="E414" s="9" t="str">
        <f ca="1">+WORLDCUP!BD59</f>
        <v>Catar</v>
      </c>
      <c r="F414" s="9" t="str">
        <f ca="1">+WORLDCUP!BD60</f>
        <v>Marruecos</v>
      </c>
      <c r="G414" s="9" t="str">
        <f ca="1">+WORLDCUP!BD58</f>
        <v>República Checa</v>
      </c>
      <c r="H414" s="9" t="str">
        <f ca="1">+WORLDCUP!BD63</f>
        <v>Japón</v>
      </c>
      <c r="I414" s="9" t="str">
        <f ca="1">+WORLDCUP!BD69</f>
        <v>Ghana</v>
      </c>
      <c r="J414" s="9" t="str">
        <f ca="1">+WORLDCUP!BD66</f>
        <v>Irak</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Ecuador</v>
      </c>
      <c r="E415" s="9" t="str">
        <f ca="1">+WORLDCUP!BD59</f>
        <v>Catar</v>
      </c>
      <c r="F415" s="9" t="str">
        <f ca="1">+WORLDCUP!BD60</f>
        <v>Marruecos</v>
      </c>
      <c r="G415" s="9" t="str">
        <f ca="1">+WORLDCUP!BD58</f>
        <v>República Checa</v>
      </c>
      <c r="H415" s="9" t="str">
        <f ca="1">+WORLDCUP!BD63</f>
        <v>Japón</v>
      </c>
      <c r="I415" s="9" t="str">
        <f ca="1">+WORLDCUP!BD66</f>
        <v>Irak</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Catar</v>
      </c>
      <c r="F416" s="9" t="str">
        <f ca="1">+WORLDCUP!BD60</f>
        <v>Marruecos</v>
      </c>
      <c r="G416" s="9" t="str">
        <f ca="1">+WORLDCUP!BD58</f>
        <v>República Checa</v>
      </c>
      <c r="H416" s="9" t="str">
        <f ca="1">+WORLDCUP!BD63</f>
        <v>Japón</v>
      </c>
      <c r="I416" s="9" t="str">
        <f ca="1">+WORLDCUP!BD62</f>
        <v>Ecuador</v>
      </c>
      <c r="J416" s="9" t="str">
        <f ca="1">+WORLDCUP!BD66</f>
        <v>Irak</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Catar</v>
      </c>
      <c r="F417" s="9" t="str">
        <f ca="1">+WORLDCUP!BD60</f>
        <v>Marruecos</v>
      </c>
      <c r="G417" s="9" t="str">
        <f ca="1">+WORLDCUP!BD58</f>
        <v>República Checa</v>
      </c>
      <c r="H417" s="9" t="str">
        <f ca="1">+WORLDCUP!BD63</f>
        <v>Japón</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Catar</v>
      </c>
      <c r="F418" s="9" t="str">
        <f ca="1">+WORLDCUP!BD60</f>
        <v>Marruecos</v>
      </c>
      <c r="G418" s="9" t="str">
        <f ca="1">+WORLDCUP!BD58</f>
        <v>República Checa</v>
      </c>
      <c r="H418" s="9" t="str">
        <f ca="1">+WORLDCUP!BD63</f>
        <v>Japón</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Catar</v>
      </c>
      <c r="F419" s="9" t="str">
        <f ca="1">+WORLDCUP!BD60</f>
        <v>Marruecos</v>
      </c>
      <c r="G419" s="9" t="str">
        <f ca="1">+WORLDCUP!BD58</f>
        <v>República Checa</v>
      </c>
      <c r="H419" s="9" t="str">
        <f ca="1">+WORLDCUP!BD63</f>
        <v>Japón</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Catar</v>
      </c>
      <c r="F420" s="9" t="str">
        <f ca="1">+WORLDCUP!BD60</f>
        <v>Marruecos</v>
      </c>
      <c r="G420" s="9" t="str">
        <f ca="1">+WORLDCUP!BD58</f>
        <v>República Checa</v>
      </c>
      <c r="H420" s="9" t="str">
        <f ca="1">+WORLDCUP!BD63</f>
        <v>Japón</v>
      </c>
      <c r="I420" s="9" t="str">
        <f ca="1">+WORLDCUP!BD69</f>
        <v>Ghana</v>
      </c>
      <c r="J420" s="9" t="str">
        <f ca="1">+WORLDCUP!BD66</f>
        <v>Irak</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Catar</v>
      </c>
      <c r="F421" s="9" t="str">
        <f ca="1">+WORLDCUP!BD60</f>
        <v>Marruecos</v>
      </c>
      <c r="G421" s="9" t="str">
        <f ca="1">+WORLDCUP!BD58</f>
        <v>República Checa</v>
      </c>
      <c r="H421" s="9" t="str">
        <f ca="1">+WORLDCUP!BD63</f>
        <v>Japón</v>
      </c>
      <c r="I421" s="9" t="str">
        <f ca="1">+WORLDCUP!BD66</f>
        <v>Irak</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Catar</v>
      </c>
      <c r="F422" s="9" t="str">
        <f ca="1">+WORLDCUP!BD60</f>
        <v>Marruecos</v>
      </c>
      <c r="G422" s="9" t="str">
        <f ca="1">+WORLDCUP!BD58</f>
        <v>República Checa</v>
      </c>
      <c r="H422" s="9" t="str">
        <f ca="1">+WORLDCUP!BD63</f>
        <v>Japón</v>
      </c>
      <c r="I422" s="9" t="str">
        <f ca="1">+WORLDCUP!BD66</f>
        <v>Irak</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Marruecos</v>
      </c>
      <c r="G423" s="9" t="str">
        <f ca="1">+WORLDCUP!BD58</f>
        <v>República Checa</v>
      </c>
      <c r="H423" s="9" t="str">
        <f ca="1">+WORLDCUP!BD63</f>
        <v>Japón</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Marruecos</v>
      </c>
      <c r="G424" s="9" t="str">
        <f ca="1">+WORLDCUP!BD58</f>
        <v>República Checa</v>
      </c>
      <c r="H424" s="9" t="str">
        <f ca="1">+WORLDCUP!BD63</f>
        <v>Japón</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Marruecos</v>
      </c>
      <c r="G425" s="9" t="str">
        <f ca="1">+WORLDCUP!BD58</f>
        <v>República Checa</v>
      </c>
      <c r="H425" s="9" t="str">
        <f ca="1">+WORLDCUP!BD63</f>
        <v>Japón</v>
      </c>
      <c r="I425" s="9" t="str">
        <f ca="1">+WORLDCUP!BD62</f>
        <v>Ecuador</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Marruecos</v>
      </c>
      <c r="G426" s="9" t="str">
        <f ca="1">+WORLDCUP!BD58</f>
        <v>República Checa</v>
      </c>
      <c r="H426" s="9" t="str">
        <f ca="1">+WORLDCUP!BD63</f>
        <v>Japón</v>
      </c>
      <c r="I426" s="9" t="str">
        <f ca="1">+WORLDCUP!BD62</f>
        <v>Ecuador</v>
      </c>
      <c r="J426" s="9" t="str">
        <f ca="1">+WORLDCUP!BD66</f>
        <v>Irak</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Irak</v>
      </c>
      <c r="D427" s="9" t="str">
        <f ca="1">+WORLDCUP!BD67</f>
        <v>Austria</v>
      </c>
      <c r="E427" s="9" t="str">
        <f ca="1">+WORLDCUP!BD59</f>
        <v>Catar</v>
      </c>
      <c r="F427" s="9" t="str">
        <f ca="1">+WORLDCUP!BD60</f>
        <v>Marruecos</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Catar</v>
      </c>
      <c r="F428" s="9" t="str">
        <f ca="1">+WORLDCUP!BD60</f>
        <v>Marruecos</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Irak</v>
      </c>
      <c r="E429" s="9" t="str">
        <f ca="1">+WORLDCUP!BD59</f>
        <v>Catar</v>
      </c>
      <c r="F429" s="9" t="str">
        <f ca="1">+WORLDCUP!BD60</f>
        <v>Marruecos</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Catar</v>
      </c>
      <c r="F430" s="9" t="str">
        <f ca="1">+WORLDCUP!BD60</f>
        <v>Marruecos</v>
      </c>
      <c r="G430" s="9" t="str">
        <f ca="1">+WORLDCUP!BD58</f>
        <v>República Checa</v>
      </c>
      <c r="H430" s="9" t="str">
        <f ca="1">+WORLDCUP!BD61</f>
        <v>Turquía</v>
      </c>
      <c r="I430" s="9" t="str">
        <f ca="1">+WORLDCUP!BD69</f>
        <v>Ghana</v>
      </c>
      <c r="J430" s="9" t="str">
        <f ca="1">+WORLDCUP!BD66</f>
        <v>Irak</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Catar</v>
      </c>
      <c r="F431" s="9" t="str">
        <f ca="1">+WORLDCUP!BD60</f>
        <v>Marruecos</v>
      </c>
      <c r="G431" s="9" t="str">
        <f ca="1">+WORLDCUP!BD58</f>
        <v>República Checa</v>
      </c>
      <c r="H431" s="9" t="str">
        <f ca="1">+WORLDCUP!BD61</f>
        <v>Turquía</v>
      </c>
      <c r="I431" s="9" t="str">
        <f ca="1">+WORLDCUP!BD66</f>
        <v>Irak</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Austria</v>
      </c>
      <c r="E432" s="9" t="str">
        <f ca="1">+WORLDCUP!BD59</f>
        <v>Catar</v>
      </c>
      <c r="F432" s="9" t="str">
        <f ca="1">+WORLDCUP!BD61</f>
        <v>Turquía</v>
      </c>
      <c r="G432" s="9" t="str">
        <f ca="1">+WORLDCUP!BD58</f>
        <v>República Checa</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Irak</v>
      </c>
      <c r="D433" s="9" t="str">
        <f ca="1">+WORLDCUP!BD64</f>
        <v>Irán</v>
      </c>
      <c r="E433" s="9" t="str">
        <f ca="1">+WORLDCUP!BD59</f>
        <v>Catar</v>
      </c>
      <c r="F433" s="9" t="str">
        <f ca="1">+WORLDCUP!BD60</f>
        <v>Marruecos</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Austria</v>
      </c>
      <c r="E434" s="9" t="str">
        <f ca="1">+WORLDCUP!BD59</f>
        <v>Catar</v>
      </c>
      <c r="F434" s="9" t="str">
        <f ca="1">+WORLDCUP!BD61</f>
        <v>Turquía</v>
      </c>
      <c r="G434" s="9" t="str">
        <f ca="1">+WORLDCUP!BD58</f>
        <v>República Checa</v>
      </c>
      <c r="H434" s="9" t="str">
        <f ca="1">+WORLDCUP!BD64</f>
        <v>Irán</v>
      </c>
      <c r="I434" s="9" t="str">
        <f ca="1">+WORLDCUP!BD69</f>
        <v>Ghana</v>
      </c>
      <c r="J434" s="9" t="str">
        <f ca="1">+WORLDCUP!BD66</f>
        <v>Irak</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Austria</v>
      </c>
      <c r="E435" s="9" t="str">
        <f ca="1">+WORLDCUP!BD59</f>
        <v>Catar</v>
      </c>
      <c r="F435" s="9" t="str">
        <f ca="1">+WORLDCUP!BD61</f>
        <v>Turquía</v>
      </c>
      <c r="G435" s="9" t="str">
        <f ca="1">+WORLDCUP!BD58</f>
        <v>República Checa</v>
      </c>
      <c r="H435" s="9" t="str">
        <f ca="1">+WORLDCUP!BD64</f>
        <v>Irán</v>
      </c>
      <c r="I435" s="9" t="str">
        <f ca="1">+WORLDCUP!BD66</f>
        <v>Irak</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Marruecos</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Marruecos</v>
      </c>
      <c r="G437" s="9" t="str">
        <f ca="1">+WORLDCUP!BD58</f>
        <v>República Checa</v>
      </c>
      <c r="H437" s="9" t="str">
        <f ca="1">+WORLDCUP!BD61</f>
        <v>Turquía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Marruecos</v>
      </c>
      <c r="G438" s="9" t="str">
        <f ca="1">+WORLDCUP!BD58</f>
        <v>República Checa</v>
      </c>
      <c r="H438" s="9" t="str">
        <f ca="1">+WORLDCUP!BD61</f>
        <v>Turquía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Marruecos</v>
      </c>
      <c r="G439" s="9" t="str">
        <f ca="1">+WORLDCUP!BD58</f>
        <v>República Checa</v>
      </c>
      <c r="H439" s="9" t="str">
        <f ca="1">+WORLDCUP!BD61</f>
        <v>Turquía</v>
      </c>
      <c r="I439" s="9" t="str">
        <f ca="1">+WORLDCUP!BD69</f>
        <v>Ghana</v>
      </c>
      <c r="J439" s="9" t="str">
        <f ca="1">+WORLDCUP!BD66</f>
        <v>Irak</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Marruecos</v>
      </c>
      <c r="G440" s="9" t="str">
        <f ca="1">+WORLDCUP!BD58</f>
        <v>República Checa</v>
      </c>
      <c r="H440" s="9" t="str">
        <f ca="1">+WORLDCUP!BD61</f>
        <v>Turquía</v>
      </c>
      <c r="I440" s="9" t="str">
        <f ca="1">+WORLDCUP!BD66</f>
        <v>Irak</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Marruecos</v>
      </c>
      <c r="G441" s="9" t="str">
        <f ca="1">+WORLDCUP!BD58</f>
        <v>República Checa</v>
      </c>
      <c r="H441" s="9" t="str">
        <f ca="1">+WORLDCUP!BD61</f>
        <v>Turquía</v>
      </c>
      <c r="I441" s="9" t="str">
        <f ca="1">+WORLDCUP!BD66</f>
        <v>Irak</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Austria</v>
      </c>
      <c r="E442" s="9" t="str">
        <f ca="1">+WORLDCUP!BD59</f>
        <v>Catar</v>
      </c>
      <c r="F442" s="9" t="str">
        <f ca="1">+WORLDCUP!BD61</f>
        <v>Turquía</v>
      </c>
      <c r="G442" s="9" t="str">
        <f ca="1">+WORLDCUP!BD58</f>
        <v>República Checa</v>
      </c>
      <c r="H442" s="9" t="str">
        <f ca="1">+WORLDCUP!BD63</f>
        <v>Japón</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Irak</v>
      </c>
      <c r="E443" s="9" t="str">
        <f ca="1">+WORLDCUP!BD59</f>
        <v>Catar</v>
      </c>
      <c r="F443" s="9" t="str">
        <f ca="1">+WORLDCUP!BD61</f>
        <v>Turquía</v>
      </c>
      <c r="G443" s="9" t="str">
        <f ca="1">+WORLDCUP!BD58</f>
        <v>República Checa</v>
      </c>
      <c r="H443" s="9" t="str">
        <f ca="1">+WORLDCUP!BD63</f>
        <v>Japón</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Austria</v>
      </c>
      <c r="E444" s="9" t="str">
        <f ca="1">+WORLDCUP!BD59</f>
        <v>Catar</v>
      </c>
      <c r="F444" s="9" t="str">
        <f ca="1">+WORLDCUP!BD61</f>
        <v>Turquía</v>
      </c>
      <c r="G444" s="9" t="str">
        <f ca="1">+WORLDCUP!BD58</f>
        <v>República Checa</v>
      </c>
      <c r="H444" s="9" t="str">
        <f ca="1">+WORLDCUP!BD63</f>
        <v>Japón</v>
      </c>
      <c r="I444" s="9" t="str">
        <f ca="1">+WORLDCUP!BD69</f>
        <v>Ghana</v>
      </c>
      <c r="J444" s="9" t="str">
        <f ca="1">+WORLDCUP!BD66</f>
        <v>Irak</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Austria</v>
      </c>
      <c r="E445" s="9" t="str">
        <f ca="1">+WORLDCUP!BD59</f>
        <v>Catar</v>
      </c>
      <c r="F445" s="9" t="str">
        <f ca="1">+WORLDCUP!BD61</f>
        <v>Turquía</v>
      </c>
      <c r="G445" s="9" t="str">
        <f ca="1">+WORLDCUP!BD58</f>
        <v>República Checa</v>
      </c>
      <c r="H445" s="9" t="str">
        <f ca="1">+WORLDCUP!BD63</f>
        <v>Japón</v>
      </c>
      <c r="I445" s="9" t="str">
        <f ca="1">+WORLDCUP!BD66</f>
        <v>Irak</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Japón</v>
      </c>
      <c r="E446" s="9" t="str">
        <f ca="1">+WORLDCUP!BD59</f>
        <v>Catar</v>
      </c>
      <c r="F446" s="9" t="str">
        <f ca="1">+WORLDCUP!BD60</f>
        <v>Marruecos</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Austria</v>
      </c>
      <c r="E447" s="9" t="str">
        <f ca="1">+WORLDCUP!BD59</f>
        <v>Catar</v>
      </c>
      <c r="F447" s="9" t="str">
        <f ca="1">+WORLDCUP!BD61</f>
        <v>Turquía</v>
      </c>
      <c r="G447" s="9" t="str">
        <f ca="1">+WORLDCUP!BD58</f>
        <v>República Checa</v>
      </c>
      <c r="H447" s="9" t="str">
        <f ca="1">+WORLDCUP!BD63</f>
        <v>Japón</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Catar</v>
      </c>
      <c r="F448" s="9" t="str">
        <f ca="1">+WORLDCUP!BD60</f>
        <v>Marruecos</v>
      </c>
      <c r="G448" s="9" t="str">
        <f ca="1">+WORLDCUP!BD58</f>
        <v>República Checa</v>
      </c>
      <c r="H448" s="9" t="str">
        <f ca="1">+WORLDCUP!BD63</f>
        <v>Japón</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Japón</v>
      </c>
      <c r="E449" s="9" t="str">
        <f ca="1">+WORLDCUP!BD59</f>
        <v>Catar</v>
      </c>
      <c r="F449" s="9" t="str">
        <f ca="1">+WORLDCUP!BD60</f>
        <v>Marruecos</v>
      </c>
      <c r="G449" s="9" t="str">
        <f ca="1">+WORLDCUP!BD58</f>
        <v>República Checa</v>
      </c>
      <c r="H449" s="9" t="str">
        <f ca="1">+WORLDCUP!BD61</f>
        <v>Turquía</v>
      </c>
      <c r="I449" s="9" t="str">
        <f ca="1">+WORLDCUP!BD69</f>
        <v>Ghana</v>
      </c>
      <c r="J449" s="9" t="str">
        <f ca="1">+WORLDCUP!BD66</f>
        <v>Irak</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Japón</v>
      </c>
      <c r="E450" s="9" t="str">
        <f ca="1">+WORLDCUP!BD59</f>
        <v>Catar</v>
      </c>
      <c r="F450" s="9" t="str">
        <f ca="1">+WORLDCUP!BD60</f>
        <v>Marruecos</v>
      </c>
      <c r="G450" s="9" t="str">
        <f ca="1">+WORLDCUP!BD58</f>
        <v>República Checa</v>
      </c>
      <c r="H450" s="9" t="str">
        <f ca="1">+WORLDCUP!BD61</f>
        <v>Turquía</v>
      </c>
      <c r="I450" s="9" t="str">
        <f ca="1">+WORLDCUP!BD66</f>
        <v>Irak</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Catar</v>
      </c>
      <c r="F451" s="9" t="str">
        <f ca="1">+WORLDCUP!BD60</f>
        <v>Marruecos</v>
      </c>
      <c r="G451" s="9" t="str">
        <f ca="1">+WORLDCUP!BD58</f>
        <v>República Checa</v>
      </c>
      <c r="H451" s="9" t="str">
        <f ca="1">+WORLDCUP!BD63</f>
        <v>Japón</v>
      </c>
      <c r="I451" s="9" t="str">
        <f ca="1">+WORLDCUP!BD61</f>
        <v>Turquía</v>
      </c>
      <c r="J451" s="9" t="str">
        <f ca="1">+WORLDCUP!BD66</f>
        <v>Irak</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Irán</v>
      </c>
      <c r="E452" s="9" t="str">
        <f ca="1">+WORLDCUP!BD59</f>
        <v>Catar</v>
      </c>
      <c r="F452" s="9" t="str">
        <f ca="1">+WORLDCUP!BD61</f>
        <v>Turquía</v>
      </c>
      <c r="G452" s="9" t="str">
        <f ca="1">+WORLDCUP!BD58</f>
        <v>República Checa</v>
      </c>
      <c r="H452" s="9" t="str">
        <f ca="1">+WORLDCUP!BD63</f>
        <v>Japón</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Irán</v>
      </c>
      <c r="E453" s="9" t="str">
        <f ca="1">+WORLDCUP!BD59</f>
        <v>Catar</v>
      </c>
      <c r="F453" s="9" t="str">
        <f ca="1">+WORLDCUP!BD61</f>
        <v>Turquía</v>
      </c>
      <c r="G453" s="9" t="str">
        <f ca="1">+WORLDCUP!BD58</f>
        <v>República Checa</v>
      </c>
      <c r="H453" s="9" t="str">
        <f ca="1">+WORLDCUP!BD63</f>
        <v>Japón</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Irán</v>
      </c>
      <c r="E454" s="9" t="str">
        <f ca="1">+WORLDCUP!BD59</f>
        <v>Catar</v>
      </c>
      <c r="F454" s="9" t="str">
        <f ca="1">+WORLDCUP!BD61</f>
        <v>Turquía</v>
      </c>
      <c r="G454" s="9" t="str">
        <f ca="1">+WORLDCUP!BD58</f>
        <v>República Checa</v>
      </c>
      <c r="H454" s="9" t="str">
        <f ca="1">+WORLDCUP!BD63</f>
        <v>Japón</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Irán</v>
      </c>
      <c r="E455" s="9" t="str">
        <f ca="1">+WORLDCUP!BD59</f>
        <v>Catar</v>
      </c>
      <c r="F455" s="9" t="str">
        <f ca="1">+WORLDCUP!BD61</f>
        <v>Turquía</v>
      </c>
      <c r="G455" s="9" t="str">
        <f ca="1">+WORLDCUP!BD58</f>
        <v>República Checa</v>
      </c>
      <c r="H455" s="9" t="str">
        <f ca="1">+WORLDCUP!BD63</f>
        <v>Japón</v>
      </c>
      <c r="I455" s="9" t="str">
        <f ca="1">+WORLDCUP!BD69</f>
        <v>Ghana</v>
      </c>
      <c r="J455" s="9" t="str">
        <f ca="1">+WORLDCUP!BD66</f>
        <v>Irak</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Irán</v>
      </c>
      <c r="E456" s="9" t="str">
        <f ca="1">+WORLDCUP!BD59</f>
        <v>Catar</v>
      </c>
      <c r="F456" s="9" t="str">
        <f ca="1">+WORLDCUP!BD61</f>
        <v>Turquía</v>
      </c>
      <c r="G456" s="9" t="str">
        <f ca="1">+WORLDCUP!BD58</f>
        <v>República Checa</v>
      </c>
      <c r="H456" s="9" t="str">
        <f ca="1">+WORLDCUP!BD63</f>
        <v>Japón</v>
      </c>
      <c r="I456" s="9" t="str">
        <f ca="1">+WORLDCUP!BD66</f>
        <v>Irak</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Irán</v>
      </c>
      <c r="E457" s="9" t="str">
        <f ca="1">+WORLDCUP!BD59</f>
        <v>Catar</v>
      </c>
      <c r="F457" s="9" t="str">
        <f ca="1">+WORLDCUP!BD61</f>
        <v>Turquía</v>
      </c>
      <c r="G457" s="9" t="str">
        <f ca="1">+WORLDCUP!BD58</f>
        <v>República Checa</v>
      </c>
      <c r="H457" s="9" t="str">
        <f ca="1">+WORLDCUP!BD63</f>
        <v>Japón</v>
      </c>
      <c r="I457" s="9" t="str">
        <f ca="1">+WORLDCUP!BD66</f>
        <v>Irak</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Irán</v>
      </c>
      <c r="E458" s="9" t="str">
        <f ca="1">+WORLDCUP!BD59</f>
        <v>Catar</v>
      </c>
      <c r="F458" s="9" t="str">
        <f ca="1">+WORLDCUP!BD61</f>
        <v>Turquía</v>
      </c>
      <c r="G458" s="9" t="str">
        <f ca="1">+WORLDCUP!BD58</f>
        <v>República Checa</v>
      </c>
      <c r="H458" s="9" t="str">
        <f ca="1">+WORLDCUP!BD63</f>
        <v>Japón</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Marruecos</v>
      </c>
      <c r="G459" s="9" t="str">
        <f ca="1">+WORLDCUP!BD58</f>
        <v>República Checa</v>
      </c>
      <c r="H459" s="9" t="str">
        <f ca="1">+WORLDCUP!BD63</f>
        <v>Japón</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Marruecos</v>
      </c>
      <c r="G460" s="9" t="str">
        <f ca="1">+WORLDCUP!BD58</f>
        <v>República Checa</v>
      </c>
      <c r="H460" s="9" t="str">
        <f ca="1">+WORLDCUP!BD63</f>
        <v>Japón</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Marruecos</v>
      </c>
      <c r="G461" s="9" t="str">
        <f ca="1">+WORLDCUP!BD58</f>
        <v>República Checa</v>
      </c>
      <c r="H461" s="9" t="str">
        <f ca="1">+WORLDCUP!BD63</f>
        <v>Japón</v>
      </c>
      <c r="I461" s="9" t="str">
        <f ca="1">+WORLDCUP!BD61</f>
        <v>Turquía</v>
      </c>
      <c r="J461" s="9" t="str">
        <f ca="1">+WORLDCUP!BD66</f>
        <v>Irak</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Austria</v>
      </c>
      <c r="E462" s="9" t="str">
        <f ca="1">+WORLDCUP!BD59</f>
        <v>Catar</v>
      </c>
      <c r="F462" s="9" t="str">
        <f ca="1">+WORLDCUP!BD60</f>
        <v>Marruecos</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Irak</v>
      </c>
      <c r="E463" s="9" t="str">
        <f ca="1">+WORLDCUP!BD59</f>
        <v>Catar</v>
      </c>
      <c r="F463" s="9" t="str">
        <f ca="1">+WORLDCUP!BD60</f>
        <v>Marruecos</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Austria</v>
      </c>
      <c r="E464" s="9" t="str">
        <f ca="1">+WORLDCUP!BD59</f>
        <v>Catar</v>
      </c>
      <c r="F464" s="9" t="str">
        <f ca="1">+WORLDCUP!BD60</f>
        <v>Marruecos</v>
      </c>
      <c r="G464" s="9" t="str">
        <f ca="1">+WORLDCUP!BD58</f>
        <v>República Checa</v>
      </c>
      <c r="H464" s="9" t="str">
        <f ca="1">+WORLDCUP!BD61</f>
        <v>Turquía</v>
      </c>
      <c r="I464" s="9" t="str">
        <f ca="1">+WORLDCUP!BD69</f>
        <v>Ghana</v>
      </c>
      <c r="J464" s="9" t="str">
        <f ca="1">+WORLDCUP!BD66</f>
        <v>Irak</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Austria</v>
      </c>
      <c r="E465" s="9" t="str">
        <f ca="1">+WORLDCUP!BD59</f>
        <v>Catar</v>
      </c>
      <c r="F465" s="9" t="str">
        <f ca="1">+WORLDCUP!BD60</f>
        <v>Marruecos</v>
      </c>
      <c r="G465" s="9" t="str">
        <f ca="1">+WORLDCUP!BD58</f>
        <v>República Checa</v>
      </c>
      <c r="H465" s="9" t="str">
        <f ca="1">+WORLDCUP!BD61</f>
        <v>Turquía</v>
      </c>
      <c r="I465" s="9" t="str">
        <f ca="1">+WORLDCUP!BD66</f>
        <v>Irak</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Ecuador</v>
      </c>
      <c r="E466" s="9" t="str">
        <f ca="1">+WORLDCUP!BD59</f>
        <v>Catar</v>
      </c>
      <c r="F466" s="9" t="str">
        <f ca="1">+WORLDCUP!BD60</f>
        <v>Marruecos</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Catar</v>
      </c>
      <c r="F467" s="9" t="str">
        <f ca="1">+WORLDCUP!BD60</f>
        <v>Marruecos</v>
      </c>
      <c r="G467" s="9" t="str">
        <f ca="1">+WORLDCUP!BD58</f>
        <v>República Checa</v>
      </c>
      <c r="H467" s="9" t="str">
        <f ca="1">+WORLDCUP!BD61</f>
        <v>Turquía</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Catar</v>
      </c>
      <c r="F468" s="9" t="str">
        <f ca="1">+WORLDCUP!BD60</f>
        <v>Marruecos</v>
      </c>
      <c r="G468" s="9" t="str">
        <f ca="1">+WORLDCUP!BD58</f>
        <v>República Checa</v>
      </c>
      <c r="H468" s="9" t="str">
        <f ca="1">+WORLDCUP!BD61</f>
        <v>Turquía</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Ecuador</v>
      </c>
      <c r="E469" s="9" t="str">
        <f ca="1">+WORLDCUP!BD59</f>
        <v>Catar</v>
      </c>
      <c r="F469" s="9" t="str">
        <f ca="1">+WORLDCUP!BD60</f>
        <v>Marruecos</v>
      </c>
      <c r="G469" s="9" t="str">
        <f ca="1">+WORLDCUP!BD58</f>
        <v>República Checa</v>
      </c>
      <c r="H469" s="9" t="str">
        <f ca="1">+WORLDCUP!BD61</f>
        <v>Turquía</v>
      </c>
      <c r="I469" s="9" t="str">
        <f ca="1">+WORLDCUP!BD69</f>
        <v>Ghana</v>
      </c>
      <c r="J469" s="9" t="str">
        <f ca="1">+WORLDCUP!BD66</f>
        <v>Irak</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Ecuador</v>
      </c>
      <c r="E470" s="9" t="str">
        <f ca="1">+WORLDCUP!BD59</f>
        <v>Catar</v>
      </c>
      <c r="F470" s="9" t="str">
        <f ca="1">+WORLDCUP!BD60</f>
        <v>Marruecos</v>
      </c>
      <c r="G470" s="9" t="str">
        <f ca="1">+WORLDCUP!BD58</f>
        <v>República Checa</v>
      </c>
      <c r="H470" s="9" t="str">
        <f ca="1">+WORLDCUP!BD61</f>
        <v>Turquía</v>
      </c>
      <c r="I470" s="9" t="str">
        <f ca="1">+WORLDCUP!BD66</f>
        <v>Irak</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Catar</v>
      </c>
      <c r="F471" s="9" t="str">
        <f ca="1">+WORLDCUP!BD60</f>
        <v>Marruecos</v>
      </c>
      <c r="G471" s="9" t="str">
        <f ca="1">+WORLDCUP!BD58</f>
        <v>República Checa</v>
      </c>
      <c r="H471" s="9" t="str">
        <f ca="1">+WORLDCUP!BD61</f>
        <v>Turquía</v>
      </c>
      <c r="I471" s="9" t="str">
        <f ca="1">+WORLDCUP!BD62</f>
        <v>Ecuador</v>
      </c>
      <c r="J471" s="9" t="str">
        <f ca="1">+WORLDCUP!BD66</f>
        <v>Irak</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Catar</v>
      </c>
      <c r="F472" s="9" t="str">
        <f ca="1">+WORLDCUP!BD60</f>
        <v>Marruecos</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Catar</v>
      </c>
      <c r="F473" s="9" t="str">
        <f ca="1">+WORLDCUP!BD60</f>
        <v>Marruecos</v>
      </c>
      <c r="G473" s="9" t="str">
        <f ca="1">+WORLDCUP!BD58</f>
        <v>República Checa</v>
      </c>
      <c r="H473" s="9" t="str">
        <f ca="1">+WORLDCUP!BD61</f>
        <v>Turquía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Catar</v>
      </c>
      <c r="F474" s="9" t="str">
        <f ca="1">+WORLDCUP!BD60</f>
        <v>Marruecos</v>
      </c>
      <c r="G474" s="9" t="str">
        <f ca="1">+WORLDCUP!BD58</f>
        <v>República Checa</v>
      </c>
      <c r="H474" s="9" t="str">
        <f ca="1">+WORLDCUP!BD61</f>
        <v>Turquía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Catar</v>
      </c>
      <c r="F475" s="9" t="str">
        <f ca="1">+WORLDCUP!BD60</f>
        <v>Marruecos</v>
      </c>
      <c r="G475" s="9" t="str">
        <f ca="1">+WORLDCUP!BD58</f>
        <v>República Checa</v>
      </c>
      <c r="H475" s="9" t="str">
        <f ca="1">+WORLDCUP!BD61</f>
        <v>Turquía</v>
      </c>
      <c r="I475" s="9" t="str">
        <f ca="1">+WORLDCUP!BD69</f>
        <v>Ghana</v>
      </c>
      <c r="J475" s="9" t="str">
        <f ca="1">+WORLDCUP!BD66</f>
        <v>Irak</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Catar</v>
      </c>
      <c r="F476" s="9" t="str">
        <f ca="1">+WORLDCUP!BD60</f>
        <v>Marruecos</v>
      </c>
      <c r="G476" s="9" t="str">
        <f ca="1">+WORLDCUP!BD58</f>
        <v>República Checa</v>
      </c>
      <c r="H476" s="9" t="str">
        <f ca="1">+WORLDCUP!BD61</f>
        <v>Turquía</v>
      </c>
      <c r="I476" s="9" t="str">
        <f ca="1">+WORLDCUP!BD66</f>
        <v>Irak</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Catar</v>
      </c>
      <c r="F477" s="9" t="str">
        <f ca="1">+WORLDCUP!BD60</f>
        <v>Marruecos</v>
      </c>
      <c r="G477" s="9" t="str">
        <f ca="1">+WORLDCUP!BD58</f>
        <v>República Checa</v>
      </c>
      <c r="H477" s="9" t="str">
        <f ca="1">+WORLDCUP!BD61</f>
        <v>Turquía</v>
      </c>
      <c r="I477" s="9" t="str">
        <f ca="1">+WORLDCUP!BD66</f>
        <v>Irak</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Marruecos</v>
      </c>
      <c r="G478" s="9" t="str">
        <f ca="1">+WORLDCUP!BD58</f>
        <v>República Checa</v>
      </c>
      <c r="H478" s="9" t="str">
        <f ca="1">+WORLDCUP!BD61</f>
        <v>Turquía</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Marruecos</v>
      </c>
      <c r="G479" s="9" t="str">
        <f ca="1">+WORLDCUP!BD58</f>
        <v>República Checa</v>
      </c>
      <c r="H479" s="9" t="str">
        <f ca="1">+WORLDCUP!BD61</f>
        <v>Turquía</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Marruecos</v>
      </c>
      <c r="G480" s="9" t="str">
        <f ca="1">+WORLDCUP!BD58</f>
        <v>República Checa</v>
      </c>
      <c r="H480" s="9" t="str">
        <f ca="1">+WORLDCUP!BD61</f>
        <v>Turquía</v>
      </c>
      <c r="I480" s="9" t="str">
        <f ca="1">+WORLDCUP!BD62</f>
        <v>Ecuador</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Marruecos</v>
      </c>
      <c r="G481" s="9" t="str">
        <f ca="1">+WORLDCUP!BD58</f>
        <v>República Checa</v>
      </c>
      <c r="H481" s="9" t="str">
        <f ca="1">+WORLDCUP!BD61</f>
        <v>Turquía</v>
      </c>
      <c r="I481" s="9" t="str">
        <f ca="1">+WORLDCUP!BD62</f>
        <v>Ecuador</v>
      </c>
      <c r="J481" s="9" t="str">
        <f ca="1">+WORLDCUP!BD66</f>
        <v>Irak</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Catar</v>
      </c>
      <c r="F482" s="9" t="str">
        <f ca="1">+WORLDCUP!BD61</f>
        <v>Turquía</v>
      </c>
      <c r="G482" s="9" t="str">
        <f ca="1">+WORLDCUP!BD58</f>
        <v>República Checa</v>
      </c>
      <c r="H482" s="9" t="str">
        <f ca="1">+WORLDCUP!BD63</f>
        <v>Japón</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Austria</v>
      </c>
      <c r="E483" s="9" t="str">
        <f ca="1">+WORLDCUP!BD59</f>
        <v>Catar</v>
      </c>
      <c r="F483" s="9" t="str">
        <f ca="1">+WORLDCUP!BD61</f>
        <v>Turquía</v>
      </c>
      <c r="G483" s="9" t="str">
        <f ca="1">+WORLDCUP!BD58</f>
        <v>República Checa</v>
      </c>
      <c r="H483" s="9" t="str">
        <f ca="1">+WORLDCUP!BD63</f>
        <v>Japón</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Austria</v>
      </c>
      <c r="E484" s="9" t="str">
        <f ca="1">+WORLDCUP!BD59</f>
        <v>Catar</v>
      </c>
      <c r="F484" s="9" t="str">
        <f ca="1">+WORLDCUP!BD61</f>
        <v>Turquía</v>
      </c>
      <c r="G484" s="9" t="str">
        <f ca="1">+WORLDCUP!BD58</f>
        <v>República Checa</v>
      </c>
      <c r="H484" s="9" t="str">
        <f ca="1">+WORLDCUP!BD63</f>
        <v>Japón</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Catar</v>
      </c>
      <c r="F485" s="9" t="str">
        <f ca="1">+WORLDCUP!BD61</f>
        <v>Turquía</v>
      </c>
      <c r="G485" s="9" t="str">
        <f ca="1">+WORLDCUP!BD58</f>
        <v>República Checa</v>
      </c>
      <c r="H485" s="9" t="str">
        <f ca="1">+WORLDCUP!BD63</f>
        <v>Japón</v>
      </c>
      <c r="I485" s="9" t="str">
        <f ca="1">+WORLDCUP!BD69</f>
        <v>Ghana</v>
      </c>
      <c r="J485" s="9" t="str">
        <f ca="1">+WORLDCUP!BD66</f>
        <v>Irak</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Catar</v>
      </c>
      <c r="F486" s="9" t="str">
        <f ca="1">+WORLDCUP!BD61</f>
        <v>Turquía</v>
      </c>
      <c r="G486" s="9" t="str">
        <f ca="1">+WORLDCUP!BD58</f>
        <v>República Checa</v>
      </c>
      <c r="H486" s="9" t="str">
        <f ca="1">+WORLDCUP!BD63</f>
        <v>Japón</v>
      </c>
      <c r="I486" s="9" t="str">
        <f ca="1">+WORLDCUP!BD66</f>
        <v>Irak</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Austria</v>
      </c>
      <c r="E487" s="9" t="str">
        <f ca="1">+WORLDCUP!BD59</f>
        <v>Catar</v>
      </c>
      <c r="F487" s="9" t="str">
        <f ca="1">+WORLDCUP!BD61</f>
        <v>Turquía</v>
      </c>
      <c r="G487" s="9" t="str">
        <f ca="1">+WORLDCUP!BD58</f>
        <v>República Checa</v>
      </c>
      <c r="H487" s="9" t="str">
        <f ca="1">+WORLDCUP!BD63</f>
        <v>Japón</v>
      </c>
      <c r="I487" s="9" t="str">
        <f ca="1">+WORLDCUP!BD62</f>
        <v>Ecuador</v>
      </c>
      <c r="J487" s="9" t="str">
        <f ca="1">+WORLDCUP!BD66</f>
        <v>Irak</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Japón</v>
      </c>
      <c r="E488" s="9" t="str">
        <f ca="1">+WORLDCUP!BD59</f>
        <v>Catar</v>
      </c>
      <c r="F488" s="9" t="str">
        <f ca="1">+WORLDCUP!BD60</f>
        <v>Marruecos</v>
      </c>
      <c r="G488" s="9" t="str">
        <f ca="1">+WORLDCUP!BD58</f>
        <v>República Checa</v>
      </c>
      <c r="H488" s="9" t="str">
        <f ca="1">+WORLDCUP!BD61</f>
        <v>Turquía</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Ecuador</v>
      </c>
      <c r="E489" s="9" t="str">
        <f ca="1">+WORLDCUP!BD59</f>
        <v>Catar</v>
      </c>
      <c r="F489" s="9" t="str">
        <f ca="1">+WORLDCUP!BD60</f>
        <v>Marruecos</v>
      </c>
      <c r="G489" s="9" t="str">
        <f ca="1">+WORLDCUP!BD58</f>
        <v>República Checa</v>
      </c>
      <c r="H489" s="9" t="str">
        <f ca="1">+WORLDCUP!BD63</f>
        <v>Japón</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Catar</v>
      </c>
      <c r="F490" s="9" t="str">
        <f ca="1">+WORLDCUP!BD60</f>
        <v>Marruecos</v>
      </c>
      <c r="G490" s="9" t="str">
        <f ca="1">+WORLDCUP!BD58</f>
        <v>República Checa</v>
      </c>
      <c r="H490" s="9" t="str">
        <f ca="1">+WORLDCUP!BD63</f>
        <v>Japón</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Ecuador</v>
      </c>
      <c r="E491" s="9" t="str">
        <f ca="1">+WORLDCUP!BD59</f>
        <v>Catar</v>
      </c>
      <c r="F491" s="9" t="str">
        <f ca="1">+WORLDCUP!BD60</f>
        <v>Marruecos</v>
      </c>
      <c r="G491" s="9" t="str">
        <f ca="1">+WORLDCUP!BD58</f>
        <v>República Checa</v>
      </c>
      <c r="H491" s="9" t="str">
        <f ca="1">+WORLDCUP!BD63</f>
        <v>Japón</v>
      </c>
      <c r="I491" s="9" t="str">
        <f ca="1">+WORLDCUP!BD61</f>
        <v>Turquía</v>
      </c>
      <c r="J491" s="9" t="str">
        <f ca="1">+WORLDCUP!BD66</f>
        <v>Irak</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Irán</v>
      </c>
      <c r="E492" s="9" t="str">
        <f ca="1">+WORLDCUP!BD59</f>
        <v>Catar</v>
      </c>
      <c r="F492" s="9" t="str">
        <f ca="1">+WORLDCUP!BD61</f>
        <v>Turquía</v>
      </c>
      <c r="G492" s="9" t="str">
        <f ca="1">+WORLDCUP!BD58</f>
        <v>República Checa</v>
      </c>
      <c r="H492" s="9" t="str">
        <f ca="1">+WORLDCUP!BD63</f>
        <v>Japón</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Irán</v>
      </c>
      <c r="E493" s="9" t="str">
        <f ca="1">+WORLDCUP!BD59</f>
        <v>Catar</v>
      </c>
      <c r="F493" s="9" t="str">
        <f ca="1">+WORLDCUP!BD61</f>
        <v>Turquía</v>
      </c>
      <c r="G493" s="9" t="str">
        <f ca="1">+WORLDCUP!BD58</f>
        <v>República Checa</v>
      </c>
      <c r="H493" s="9" t="str">
        <f ca="1">+WORLDCUP!BD63</f>
        <v>Japón</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Irán</v>
      </c>
      <c r="E494" s="9" t="str">
        <f ca="1">+WORLDCUP!BD59</f>
        <v>Catar</v>
      </c>
      <c r="F494" s="9" t="str">
        <f ca="1">+WORLDCUP!BD61</f>
        <v>Turquía</v>
      </c>
      <c r="G494" s="9" t="str">
        <f ca="1">+WORLDCUP!BD58</f>
        <v>República Checa</v>
      </c>
      <c r="H494" s="9" t="str">
        <f ca="1">+WORLDCUP!BD63</f>
        <v>Japón</v>
      </c>
      <c r="I494" s="9" t="str">
        <f ca="1">+WORLDCUP!BD62</f>
        <v>Ecuador</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Irán</v>
      </c>
      <c r="E495" s="9" t="str">
        <f ca="1">+WORLDCUP!BD59</f>
        <v>Catar</v>
      </c>
      <c r="F495" s="9" t="str">
        <f ca="1">+WORLDCUP!BD61</f>
        <v>Turquía</v>
      </c>
      <c r="G495" s="9" t="str">
        <f ca="1">+WORLDCUP!BD58</f>
        <v>República Checa</v>
      </c>
      <c r="H495" s="9" t="str">
        <f ca="1">+WORLDCUP!BD63</f>
        <v>Japón</v>
      </c>
      <c r="I495" s="9" t="str">
        <f ca="1">+WORLDCUP!BD62</f>
        <v>Ecuador</v>
      </c>
      <c r="J495" s="9" t="str">
        <f ca="1">+WORLDCUP!BD66</f>
        <v>Irak</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Marruecos</v>
      </c>
      <c r="G496" s="9" t="str">
        <f ca="1">+WORLDCUP!BD58</f>
        <v>República Checa</v>
      </c>
      <c r="H496" s="9" t="str">
        <f ca="1">+WORLDCUP!BD63</f>
        <v>Japón</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2"/>
      <c r="D4" s="622"/>
      <c r="E4" s="622"/>
      <c r="F4" s="622"/>
      <c r="G4" s="622"/>
      <c r="H4" s="622"/>
      <c r="I4" s="622"/>
      <c r="J4" s="684"/>
      <c r="K4" s="224"/>
      <c r="L4" s="330" t="str">
        <f>+Idiomas!D84</f>
        <v>· Selecciona el idioma y la zona horaria</v>
      </c>
      <c r="M4" s="232"/>
      <c r="N4" s="232"/>
      <c r="O4" s="232"/>
      <c r="P4" s="232"/>
      <c r="Q4" s="232"/>
      <c r="R4" s="334"/>
    </row>
    <row r="5" spans="1:18" x14ac:dyDescent="0.2">
      <c r="A5" s="223"/>
      <c r="B5" s="683"/>
      <c r="C5" s="622"/>
      <c r="D5" s="622"/>
      <c r="E5" s="622"/>
      <c r="F5" s="622"/>
      <c r="G5" s="622"/>
      <c r="H5" s="622"/>
      <c r="I5" s="622"/>
      <c r="J5" s="684"/>
      <c r="K5" s="224"/>
      <c r="L5" s="330" t="str">
        <f>+Idiomas!D85</f>
        <v>· Si vas a participar en una porra escribe tu nombre</v>
      </c>
      <c r="M5" s="232"/>
      <c r="N5" s="232"/>
      <c r="O5" s="232"/>
      <c r="P5" s="232"/>
      <c r="Q5" s="232"/>
      <c r="R5" s="334"/>
    </row>
    <row r="6" spans="1:18" x14ac:dyDescent="0.2">
      <c r="A6" s="223"/>
      <c r="B6" s="683"/>
      <c r="C6" s="622"/>
      <c r="D6" s="622"/>
      <c r="E6" s="622"/>
      <c r="F6" s="622"/>
      <c r="G6" s="622"/>
      <c r="H6" s="622"/>
      <c r="I6" s="622"/>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2"/>
      <c r="D7" s="622"/>
      <c r="E7" s="622"/>
      <c r="F7" s="622"/>
      <c r="G7" s="622"/>
      <c r="H7" s="622"/>
      <c r="I7" s="622"/>
      <c r="J7" s="684"/>
      <c r="K7" s="224"/>
      <c r="L7" s="335"/>
      <c r="M7" s="336"/>
      <c r="N7" s="336"/>
      <c r="O7" s="336"/>
      <c r="P7" s="336"/>
      <c r="Q7" s="336"/>
      <c r="R7" s="337"/>
    </row>
    <row r="8" spans="1:18" x14ac:dyDescent="0.2">
      <c r="A8" s="223"/>
      <c r="B8" s="683"/>
      <c r="C8" s="622"/>
      <c r="D8" s="622"/>
      <c r="E8" s="622"/>
      <c r="F8" s="622"/>
      <c r="G8" s="622"/>
      <c r="H8" s="622"/>
      <c r="I8" s="622"/>
      <c r="J8" s="684"/>
      <c r="K8" s="224"/>
    </row>
    <row r="9" spans="1:18" x14ac:dyDescent="0.2">
      <c r="A9" s="223"/>
      <c r="B9" s="683"/>
      <c r="C9" s="622"/>
      <c r="D9" s="622"/>
      <c r="E9" s="622"/>
      <c r="F9" s="622"/>
      <c r="G9" s="622"/>
      <c r="H9" s="622"/>
      <c r="I9" s="622"/>
      <c r="J9" s="684"/>
      <c r="K9" s="224"/>
      <c r="L9" s="259" t="s">
        <v>309</v>
      </c>
    </row>
    <row r="10" spans="1:18" x14ac:dyDescent="0.2">
      <c r="A10" s="223"/>
      <c r="B10" s="683"/>
      <c r="C10" s="622"/>
      <c r="D10" s="622"/>
      <c r="E10" s="622"/>
      <c r="F10" s="622"/>
      <c r="G10" s="622"/>
      <c r="H10" s="622"/>
      <c r="I10" s="622"/>
      <c r="J10" s="684"/>
      <c r="K10" s="224"/>
      <c r="L10" s="331"/>
      <c r="M10" s="332"/>
      <c r="N10" s="332"/>
      <c r="O10" s="332"/>
      <c r="P10" s="332"/>
      <c r="Q10" s="332"/>
      <c r="R10" s="333"/>
    </row>
    <row r="11" spans="1:18" x14ac:dyDescent="0.2">
      <c r="A11" s="223"/>
      <c r="B11" s="683"/>
      <c r="C11" s="622"/>
      <c r="D11" s="622"/>
      <c r="E11" s="622"/>
      <c r="F11" s="622"/>
      <c r="G11" s="622"/>
      <c r="H11" s="622"/>
      <c r="I11" s="622"/>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2"/>
      <c r="O84" s="622"/>
      <c r="P84" s="622"/>
      <c r="Q84" s="622"/>
      <c r="R84" s="622"/>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2026-06-15T18:40:12Z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
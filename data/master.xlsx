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1FB16D3-0547-6346-AC6C-04C35D91737D}" xr6:coauthVersionLast="47" xr6:coauthVersionMax="47" xr10:uidLastSave="{00000000-0000-0000-0000-000000000000}"/>
  <bookViews>
    <workbookView xWindow="0" yWindow="7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I36" i="2"/>
  <c r="T14" i="2"/>
  <c r="N25" i="2"/>
  <c r="U30" i="2"/>
  <c r="N36" i="2"/>
  <c r="O39" i="2"/>
  <c r="N39" i="2"/>
  <c r="L39" i="2"/>
  <c r="U39" i="2"/>
  <c r="T39" i="2"/>
  <c r="R39" i="2"/>
  <c r="Q39" i="2"/>
  <c r="K39" i="2"/>
  <c r="I39" i="2"/>
  <c r="AC142" i="2"/>
  <c r="AC119" i="2"/>
  <c r="AC130" i="2"/>
  <c r="AC75" i="2"/>
  <c r="AC91" i="2"/>
  <c r="AC83" i="2"/>
  <c r="AC59" i="2"/>
  <c r="AC100" i="2"/>
  <c r="AC43" i="2"/>
  <c r="AC35" i="2"/>
  <c r="U14" i="2"/>
  <c r="O25" i="2"/>
  <c r="AR29" i="2"/>
  <c r="O36" i="2"/>
  <c r="E39" i="2"/>
  <c r="AD142" i="2"/>
  <c r="AD59" i="2"/>
  <c r="AD91" i="2"/>
  <c r="AD130" i="2"/>
  <c r="AD119" i="2"/>
  <c r="AD43" i="2"/>
  <c r="AD83" i="2"/>
  <c r="AD100" i="2"/>
  <c r="AD75" i="2"/>
  <c r="AD35" i="2"/>
  <c r="AD27" i="2"/>
  <c r="AD67" i="2"/>
  <c r="AD51" i="2"/>
  <c r="E14" i="2"/>
  <c r="Q25" i="2"/>
  <c r="Q36" i="2"/>
  <c r="F39" i="2"/>
  <c r="AF137" i="2"/>
  <c r="AF142" i="2"/>
  <c r="AF146" i="2"/>
  <c r="AF59" i="2"/>
  <c r="AF91" i="2"/>
  <c r="AF67" i="2"/>
  <c r="AF100" i="2"/>
  <c r="AF119" i="2"/>
  <c r="AF83" i="2"/>
  <c r="AF75" i="2"/>
  <c r="AF51" i="2"/>
  <c r="AR85" i="2"/>
  <c r="AR53" i="2"/>
  <c r="AR101" i="2"/>
  <c r="AR77" i="2"/>
  <c r="AR37" i="2"/>
  <c r="AR69" i="2"/>
  <c r="AR93" i="2"/>
  <c r="AR61" i="2"/>
  <c r="AR45" i="2"/>
  <c r="F14" i="2"/>
  <c r="U16" i="2"/>
  <c r="E20" i="2"/>
  <c r="E21" i="2"/>
  <c r="R25" i="2"/>
  <c r="H39" i="2"/>
  <c r="BJ5" i="2"/>
  <c r="BJ57" i="2" s="1"/>
  <c r="F20" i="2"/>
  <c r="F21" i="2"/>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7" i="4" l="1"/>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E28" i="2" s="1"/>
  <c r="BT11" i="2"/>
  <c r="F12" i="2" s="1"/>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E12" i="2" s="1"/>
  <c r="BT46" i="2"/>
  <c r="BI112" i="2"/>
  <c r="BT19" i="2"/>
  <c r="F28" i="2" s="1"/>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CB23" i="2" s="1"/>
  <c r="BZ33" i="2"/>
  <c r="CB33" i="2" s="1"/>
  <c r="BZ21" i="2"/>
  <c r="CB21" i="2" s="1"/>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BZ20" i="2"/>
  <c r="CB20" i="2" s="1"/>
  <c r="BZ29" i="2"/>
  <c r="CB29" i="2" s="1"/>
  <c r="BZ10" i="2"/>
  <c r="BZ8" i="2"/>
  <c r="BZ28" i="2"/>
  <c r="CA28" i="2" s="1"/>
  <c r="BZ37" i="2"/>
  <c r="CA37" i="2" s="1"/>
  <c r="BZ52" i="2"/>
  <c r="CB52" i="2" s="1"/>
  <c r="BZ13" i="2"/>
  <c r="CA13" i="2" s="1"/>
  <c r="BZ35" i="2"/>
  <c r="CB35" i="2" s="1"/>
  <c r="BZ18" i="2"/>
  <c r="BZ43" i="2"/>
  <c r="CB43" i="2" s="1"/>
  <c r="BZ11" i="2"/>
  <c r="BZ14" i="2"/>
  <c r="CB14" i="2" s="1"/>
  <c r="BZ7" i="2"/>
  <c r="H9" i="2" s="1"/>
  <c r="CB27" i="2"/>
  <c r="CB25" i="2"/>
  <c r="CA25" i="2"/>
  <c r="CB42" i="2"/>
  <c r="CA42" i="2"/>
  <c r="CA49" i="2"/>
  <c r="CB49" i="2"/>
  <c r="CA33" i="2"/>
  <c r="CB40" i="2"/>
  <c r="CA40" i="2"/>
  <c r="CB12" i="2"/>
  <c r="CA12" i="2"/>
  <c r="CA21" i="2"/>
  <c r="CB31" i="2"/>
  <c r="CA31" i="2"/>
  <c r="CB45" i="2"/>
  <c r="CA45" i="2"/>
  <c r="CA19" i="2" l="1"/>
  <c r="I28" i="2"/>
  <c r="CB18" i="2"/>
  <c r="H28" i="2"/>
  <c r="CA11" i="2"/>
  <c r="I12" i="2"/>
  <c r="CA23" i="2"/>
  <c r="CC23" i="2" s="1"/>
  <c r="CB10" i="2"/>
  <c r="H12" i="2"/>
  <c r="CA30" i="2"/>
  <c r="CC30" i="2" s="1"/>
  <c r="CB28" i="2"/>
  <c r="CC28" i="2" s="1"/>
  <c r="CA10" i="2"/>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A8" i="2"/>
  <c r="CC21" i="2"/>
  <c r="CB11" i="2"/>
  <c r="CC11" i="2" s="1"/>
  <c r="CA39" i="2"/>
  <c r="CC39" i="2" s="1"/>
  <c r="CA22" i="2"/>
  <c r="CC22" i="2" s="1"/>
  <c r="CA35" i="2"/>
  <c r="CC35" i="2" s="1"/>
  <c r="CC42" i="2"/>
  <c r="CB19" i="2"/>
  <c r="CC19" i="2" s="1"/>
  <c r="CA41" i="2"/>
  <c r="CC41" i="2" s="1"/>
  <c r="CC49" i="2"/>
  <c r="CC45" i="2"/>
  <c r="CA43" i="2"/>
  <c r="CC43" i="2" s="1"/>
  <c r="CC10" i="2" l="1"/>
  <c r="CC8" i="2"/>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E13" i="2"/>
  <c r="CF13" i="2" s="1"/>
  <c r="CE40" i="2"/>
  <c r="CF40" i="2" s="1"/>
  <c r="CE38" i="2"/>
  <c r="CF38" i="2" s="1"/>
  <c r="CE35" i="2"/>
  <c r="CF35" i="2" s="1"/>
  <c r="CE16" i="2"/>
  <c r="CF16" i="2" s="1"/>
  <c r="CE26" i="2"/>
  <c r="CF26" i="2" s="1"/>
  <c r="CE19" i="2"/>
  <c r="CE18" i="2"/>
  <c r="CE41" i="2"/>
  <c r="CF41" i="2" s="1"/>
  <c r="CE43" i="2"/>
  <c r="CF43" i="2" s="1"/>
  <c r="CE14" i="2"/>
  <c r="CF14" i="2" s="1"/>
  <c r="CE46" i="2"/>
  <c r="CF46" i="2" s="1"/>
  <c r="CF18" i="2" l="1"/>
  <c r="K28" i="2"/>
  <c r="CF19" i="2"/>
  <c r="L28" i="2"/>
  <c r="K12" i="2"/>
  <c r="CF11" i="2"/>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O12" i="2" s="1"/>
  <c r="CH33" i="2"/>
  <c r="CH22" i="2"/>
  <c r="CH21" i="2"/>
  <c r="CH15" i="2"/>
  <c r="CI15" i="2" s="1"/>
  <c r="CH10" i="2"/>
  <c r="N12" i="2" s="1"/>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J18" i="2" l="1"/>
  <c r="N28" i="2"/>
  <c r="CK19" i="2"/>
  <c r="O28" i="2"/>
  <c r="CK49" i="2"/>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S9" i="2"/>
  <c r="T6" i="2" s="1"/>
  <c r="CS40" i="2"/>
  <c r="CT40" i="2" s="1"/>
  <c r="CS6" i="2"/>
  <c r="T7" i="2" s="1"/>
  <c r="CS11" i="2"/>
  <c r="CS27" i="2"/>
  <c r="CT27" i="2" s="1"/>
  <c r="CS46" i="2"/>
  <c r="CT46" i="2" s="1"/>
  <c r="CS42" i="2"/>
  <c r="CT42" i="2" s="1"/>
  <c r="CS25" i="2"/>
  <c r="CT25" i="2" s="1"/>
  <c r="CS19" i="2"/>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U5" i="2"/>
  <c r="CT19" i="2" l="1"/>
  <c r="U28" i="2"/>
  <c r="CT18" i="2"/>
  <c r="T28" i="2"/>
  <c r="CT11" i="2"/>
  <c r="U12" i="2"/>
  <c r="CT10" i="2"/>
  <c r="T12" i="2"/>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H4" i="4"/>
  <c r="AN6" i="2"/>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O6" i="2" l="1"/>
  <c r="AP6" i="2"/>
  <c r="AR6" i="2"/>
  <c r="AS6" i="2"/>
  <c r="AM6" i="2"/>
  <c r="I4" i="4" s="1"/>
  <c r="M101" i="2"/>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<sst xmlns="http://schemas.openxmlformats.org/spreadsheetml/2006/main" count="6754" uniqueCount="1516">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</sst>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29" sqref="AD2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 zoomScaleNormal="100" workbookViewId="0">
      <selection activeCell="AD29" sqref="AD2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5"/>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5"/>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(2)</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2</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(2)</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(2)</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(2)</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(2)</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(2)</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(2)</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(2)</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(2)</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(2)</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2</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P.1 (2)</v>
      </c>
      <c r="G12" s="16"/>
      <c r="H12" s="16" t="str">
        <f t="shared" ref="H12:H17" ca="1" si="55">IF(D12="Pendiente","-",INDEX($BZ$6:$BZ$53,MATCH($AA12,$BD$6:$BD$53,0)))</f>
        <v>P.1 (2)</v>
      </c>
      <c r="I12" s="16" t="str">
        <f t="shared" ref="I12:I17" ca="1" si="56">IF(D12="Pendiente","-",INDEX($BZ$6:$BZ$53,MATCH($AF12,$BD$6:$BD$53,0)))</f>
        <v>P.1 (2)</v>
      </c>
      <c r="J12" s="16"/>
      <c r="K12" s="16" t="str">
        <f t="shared" ref="K12:K17" ca="1" si="57">IF(D12="Pendiente","-",INDEX($CE$6:$CE$53,MATCH($AA12,$BD$6:$BD$53,0)))</f>
        <v>P.1 (2)</v>
      </c>
      <c r="L12" s="16" t="str">
        <f t="shared" ref="L12:L17" ca="1" si="58">IF(D12="Pendiente","-",INDEX($CE$6:$CE$53,MATCH($AF12,$BD$6:$BD$53,0)))</f>
        <v>P.1 (2)</v>
      </c>
      <c r="M12" s="16"/>
      <c r="N12" s="16" t="str">
        <f t="shared" ref="N12:N17" ca="1" si="59">IF(D12="Pendiente","-",INDEX($CH$6:$CH$53,MATCH($AA12,$BD$6:$BD$53,0)))</f>
        <v>P.1 (2)</v>
      </c>
      <c r="O12" s="16" t="str">
        <f t="shared" ref="O12:O17" ca="1" si="60">IF(D12="Pendiente","-",INDEX($CH$6:$CH$53,MATCH($AF12,$BD$6:$BD$53,0)))</f>
        <v>P.1 (2)</v>
      </c>
      <c r="P12" s="16"/>
      <c r="Q12" s="16" t="str">
        <f t="shared" ref="Q12:Q17" ca="1" si="61">IF(D12="Pendiente","-",INDEX($CN$6:$CN$53,MATCH($AA12,$BD$6:$BD$53,0)))</f>
        <v>P.1 (2)</v>
      </c>
      <c r="R12" s="16" t="str">
        <f t="shared" ref="R12:R17" ca="1" si="62">IF(D12="Pendiente","-",INDEX($CN$6:$CN$53,MATCH($AF12,$BD$6:$BD$53,0)))</f>
        <v>P.1 (2)</v>
      </c>
      <c r="S12" s="16"/>
      <c r="T12" s="16" t="str">
        <f t="shared" ref="T12:T17" ca="1" si="63">IF(D12="Pendiente","-",INDEX($CS$6:$CS$53,MATCH($AA12,$BD$6:$BD$53,0)))</f>
        <v>P.1 (2)</v>
      </c>
      <c r="U12" s="16" t="str">
        <f t="shared" ref="U12:U17" ca="1" si="64">IF(D12="Pendiente","-",INDEX($CS$6:$CS$53,MATCH($AF12,$BD$6:$BD$53,0)))</f>
        <v>P.1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0</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P.3 (2)</v>
      </c>
      <c r="CZ12" s="16">
        <f t="shared" ca="1" si="45"/>
        <v>0</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P.3 (2)</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3</v>
      </c>
      <c r="DK12" s="16">
        <f t="shared" ca="1" si="48"/>
        <v>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5"/>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3</v>
      </c>
      <c r="BT13" s="16" t="str">
        <f ca="1">IF(COUNTIFS($BS$6:$BS$53,BS13,$BC$6:$BC$53,INDEX(T_Equipos[Grupo],MATCH(BD13,T_Equipos[NombreEquipo],0)))=1,"-","P."&amp;BS13&amp;" ("&amp;COUNTIFS($BS$6:$BS$53,BS13,$BC$6:$BC$53,INDEX(T_Equipos[Grupo],MATCH(BD13,T_Equipos[NombreEquipo],0)))&amp;")")</f>
        <v>P.3 (2)</v>
      </c>
      <c r="BU13" s="16">
        <f t="shared" ca="1" si="28"/>
        <v>0</v>
      </c>
      <c r="BV13" s="16">
        <f t="shared" ca="1" si="29"/>
        <v>0</v>
      </c>
      <c r="BW13" s="16">
        <f t="shared" ca="1" si="30"/>
        <v>0</v>
      </c>
      <c r="BX13" s="16">
        <f t="shared" ca="1" si="31"/>
        <v>0</v>
      </c>
      <c r="BY13" s="16">
        <f ca="1">BS13+COUNTIFS($BT$6:$BT$53,BT13,$BX$6:BX$53,"&gt;"&amp;BX13,$BC$6:$BC$53,INDEX(T_Equipos[Grupo],MATCH(BD13,T_Equipos[NombreEquipo],0)))</f>
        <v>3</v>
      </c>
      <c r="BZ13" s="16" t="str">
        <f ca="1">IF(COUNTIFS($BY$6:$BY$53,BY13,$BC$6:$BC$53,INDEX(T_Equipos[Grupo],MATCH(BD13,T_Equipos[NombreEquipo],0)))=1,"-","P."&amp;BY13&amp;" ("&amp;COUNTIFS($BY$6:$BY$53,BY13,$BC$6:$BC$53,INDEX(T_Equipos[Grupo],MATCH(BD13,T_Equipos[NombreEquipo],0)))&amp;")")</f>
        <v>P.3 (2)</v>
      </c>
      <c r="CA13" s="16">
        <f t="shared" ca="1" si="32"/>
        <v>0</v>
      </c>
      <c r="CB13" s="16">
        <f t="shared" ca="1" si="33"/>
        <v>0</v>
      </c>
      <c r="CC13" s="16">
        <f t="shared" ca="1" si="34"/>
        <v>0</v>
      </c>
      <c r="CD13" s="16">
        <f ca="1">BY13+COUNTIFS($BZ$6:$BZ$53,BZ13,$CC$6:CC$53,"&gt;"&amp;CC13,$BC$6:$BC$53,INDEX(T_Equipos[Grupo],MATCH(BD13,T_Equipos[NombreEquipo],0)))</f>
        <v>3</v>
      </c>
      <c r="CE13" s="16" t="str">
        <f ca="1">IF(COUNTIFS($CD$6:$CD$53,CD13,$BC$6:$BC$53,INDEX(T_Equipos[Grupo],MATCH(BD13,T_Equipos[NombreEquipo],0)))=1,"-","P."&amp;CD13&amp;" ("&amp;COUNTIFS($CD$6:$CD$53,CD13,$BC$6:$BC$53,INDEX(T_Equipos[Grupo],MATCH(BD13,T_Equipos[NombreEquipo],0)))&amp;")")</f>
        <v>P.3 (2)</v>
      </c>
      <c r="CF13" s="16">
        <f t="shared" ca="1" si="35"/>
        <v>0</v>
      </c>
      <c r="CG13" s="16">
        <f ca="1">CD13+COUNTIFS($CE$6:$CE$53,CE13,$CF$6:CF$53,"&gt;"&amp;CF13,$BC$6:$BC$53,INDEX(T_Equipos[Grupo],MATCH(BD13,T_Equipos[NombreEquipo],0)))</f>
        <v>3</v>
      </c>
      <c r="CH13" s="16" t="str">
        <f ca="1">IF(COUNTIFS($CG$6:$CG$53,CG13,$BC$6:$BC$53,INDEX(T_Equipos[Grupo],MATCH(BD13,T_Equipos[NombreEquipo],0)))=1,"-","P."&amp;CG13&amp;" ("&amp;COUNTIFS($CG$6:$CG$53,CG13,$BC$6:$BC$53,INDEX(T_Equipos[Grupo],MATCH(BD13,T_Equipos[NombreEquipo],0)))&amp;")")</f>
        <v>P.3 (2)</v>
      </c>
      <c r="CI13" s="16">
        <f t="shared" ca="1" si="36"/>
        <v>0</v>
      </c>
      <c r="CJ13" s="16">
        <f t="shared" ca="1" si="37"/>
        <v>0</v>
      </c>
      <c r="CK13" s="16">
        <f t="shared" ca="1" si="38"/>
        <v>0</v>
      </c>
      <c r="CL13" s="16">
        <f t="shared" ca="1" si="39"/>
        <v>0</v>
      </c>
      <c r="CM13" s="16">
        <f ca="1">CG13+COUNTIFS($CH$6:$CH$53,CH13,$CL$6:CL$53,"&gt;"&amp;CL13,$BC$6:$BC$53,INDEX(T_Equipos[Grupo],MATCH(BD13,T_Equipos[NombreEquipo],0)))</f>
        <v>3</v>
      </c>
      <c r="CN13" s="16" t="str">
        <f ca="1">IF(COUNTIFS($CM$6:$CM$53,CM13,$BC$6:$BC$53,INDEX(T_Equipos[Grupo],MATCH(BD13,T_Equipos[NombreEquipo],0)))=1,"-","P."&amp;CM13&amp;" ("&amp;COUNTIFS($CM$6:$CM$53,CM13,$BC$6:$BC$53,INDEX(T_Equipos[Grupo],MATCH(BD13,T_Equipos[NombreEquipo],0)))&amp;")")</f>
        <v>P.3 (2)</v>
      </c>
      <c r="CO13" s="16">
        <f t="shared" ca="1" si="40"/>
        <v>0</v>
      </c>
      <c r="CP13" s="16">
        <f t="shared" ca="1" si="41"/>
        <v>0</v>
      </c>
      <c r="CQ13" s="16">
        <f t="shared" ca="1" si="42"/>
        <v>0</v>
      </c>
      <c r="CR13" s="16">
        <f ca="1">CM13+COUNTIFS($CN$6:$CN$53,CN13,$CQ$6:CQ$53,"&gt;"&amp;CQ13,$BC$6:$BC$53,INDEX(T_Equipos[Grupo],MATCH(BD13,T_Equipos[NombreEquipo],0)))</f>
        <v>3</v>
      </c>
      <c r="CS13" s="16" t="str">
        <f ca="1">IF(COUNTIFS($CR$6:$CR$53,CR13,$BC$6:$BC$53,INDEX(T_Equipos[Grupo],MATCH(BD13,T_Equipos[NombreEquipo],0)))=1,"-","P."&amp;CR13&amp;" ("&amp;COUNTIFS($CR$6:$CR$53,CR13,$BC$6:$BC$53,INDEX(T_Equipos[Grupo],MATCH(BD13,T_Equipos[NombreEquipo],0)))&amp;")")</f>
        <v>P.3 (2)</v>
      </c>
      <c r="CT13" s="16">
        <f t="shared" ca="1" si="43"/>
        <v>0</v>
      </c>
      <c r="CU13" s="16">
        <f ca="1">CR13+COUNTIFS($CS$6:$CS$53,CS13,$CT$6:CT$53,"&gt;"&amp;CT13,$BC$6:$BC$53,INDEX(T_Equipos[Grupo],MATCH(BD13,T_Equipos[NombreEquipo],0)))</f>
        <v>3</v>
      </c>
      <c r="CV13" s="16" t="str">
        <f ca="1">IF(COUNTIFS($CU$6:$CU$53,CU13,$BC$6:$BC$53,INDEX(T_Equipos[Grupo],MATCH(BD13,T_Equipos[NombreEquipo],0)))=1,"-","P."&amp;CU13&amp;" ("&amp;COUNTIFS($CU$6:$CU$53,CU13,$BC$6:$BC$53,INDEX(T_Equipos[Grupo],MATCH(BD13,T_Equipos[NombreEquipo],0)))&amp;")")</f>
        <v>P.3 (2)</v>
      </c>
      <c r="CW13" s="16">
        <f t="shared" ca="1" si="44"/>
        <v>0</v>
      </c>
      <c r="CX13" s="16">
        <f ca="1">CU13+COUNTIFS($CV$6:$CV$53,CV13,$CW$6:CW$53,"&gt;"&amp;CW13,$BC$6:$BC$53,INDEX(T_Equipos[Grupo],MATCH(BD13,T_Equipos[NombreEquipo],0)))</f>
        <v>3</v>
      </c>
      <c r="CY13" s="16" t="str">
        <f ca="1">IF(COUNTIFS($CX$6:$CX$53,CX13,$BC$6:$BC$53,INDEX(T_Equipos[Grupo],MATCH(BD13,T_Equipos[NombreEquipo],0)))=1,"-","P."&amp;CX13&amp;" ("&amp;COUNTIFS($CX$6:$CX$53,CX13,$BC$6:$BC$53,INDEX(T_Equipos[Grupo],MATCH(BD13,T_Equipos[NombreEquipo],0)))&amp;")")</f>
        <v>P.3 (2)</v>
      </c>
      <c r="CZ13" s="16">
        <f t="shared" ca="1" si="45"/>
        <v>0</v>
      </c>
      <c r="DA13" s="16">
        <f ca="1">CX13+COUNTIFS($CY$6:$CY$53,CY13,$CZ$6:CZ$53,"&gt;"&amp;CZ13,$BC$6:$BC$53,INDEX(T_Equipos[Grupo],MATCH(BD13,T_Equipos[NombreEquipo],0)))</f>
        <v>3</v>
      </c>
      <c r="DB13" s="16" t="str">
        <f ca="1">IF(COUNTIFS($DA$6:$DA$53,DA13,$BC$6:$BC$53,INDEX(T_Equipos[Grupo],MATCH(BD13,T_Equipos[NombreEquipo],0)))=1,"-","P."&amp;DA13&amp;" ("&amp;COUNTIFS($DA$6:$DA$53,DA13,$BC$6:$BC$53,INDEX(T_Equipos[Grupo],MATCH(BD13,T_Equipos[NombreEquipo],0)))&amp;")")</f>
        <v>P.3 (2)</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3</v>
      </c>
      <c r="DK13" s="16">
        <f t="shared" ca="1" si="48"/>
        <v>2</v>
      </c>
      <c r="DL13" s="16">
        <f t="shared" ca="1" si="49"/>
        <v>1</v>
      </c>
      <c r="DM13" s="16" t="str">
        <f t="shared" ca="1" si="50"/>
        <v>3.1</v>
      </c>
      <c r="DN13" s="16">
        <f t="array" aca="1" ref="DN13" ca="1">OFFSET(Horarios!$P$3,DJ13-1,0,DL13,1)</f>
        <v>3</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5"/>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5"/>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(3)</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(3)</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(3)</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(3)</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(3)</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(3)</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(3)</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6"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(3)</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(3)</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(3)</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(3)</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(3)</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(3)</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(3)</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P.2 (2)</v>
      </c>
      <c r="CZ20" s="16">
        <f t="shared" ca="1" si="45"/>
        <v>0</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P.2 (2)</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2</v>
      </c>
      <c r="DE20" s="16"/>
      <c r="DF20" s="16">
        <f t="shared" ca="1" si="46"/>
        <v>2</v>
      </c>
      <c r="DG20" s="16">
        <f ca="1">IF(DB20="-","-",COUNTIFS(DF$6:DF$53,"&lt;"&amp;DF20,$BC$6:$BC$53,INDEX(T_Equipos[Grupo],MATCH(BD20,T_Equipos[NombreEquipo],0))))</f>
        <v>1</v>
      </c>
      <c r="DH20" s="16">
        <f ca="1">DA20+COUNTIFS(DB$6:DB$53,DB20,DG$6:DG$53,"&lt;"&amp;DG20,$BC$6:$BC$53,INDEX(T_Equipos[Grupo],MATCH(BD20,T_Equipos[NombreEquipo],0)))</f>
        <v>2</v>
      </c>
      <c r="DI20" s="16"/>
      <c r="DJ20" s="16">
        <f t="shared" ca="1" si="47"/>
        <v>2</v>
      </c>
      <c r="DK20" s="16">
        <f t="shared" ca="1" si="48"/>
        <v>2</v>
      </c>
      <c r="DL20" s="16">
        <f t="shared" ca="1" si="49"/>
        <v>1</v>
      </c>
      <c r="DM20" s="16" t="str">
        <f t="shared" ca="1" si="50"/>
        <v>2.1</v>
      </c>
      <c r="DN20" s="16">
        <f t="array" aca="1" ref="DN20" ca="1">OFFSET(Horarios!$P$3,DJ20-1,0,DL20,1)</f>
        <v>2</v>
      </c>
      <c r="DO20" s="16"/>
      <c r="DP20" s="16" t="s">
        <v>86</v>
      </c>
      <c r="DQ20" s="16" t="str">
        <f t="shared" ca="1" si="51"/>
        <v>Turquía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5"/>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(3)</v>
      </c>
      <c r="BU21" s="16">
        <f t="shared" ca="1" si="28"/>
        <v>0</v>
      </c>
      <c r="BV21" s="16">
        <f t="shared" ca="1" si="29"/>
        <v>0</v>
      </c>
      <c r="BW21" s="16">
        <f t="shared" ca="1" si="30"/>
        <v>0</v>
      </c>
      <c r="BX21" s="16">
        <f t="shared" ca="1" si="31"/>
        <v>0</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(3)</v>
      </c>
      <c r="CA21" s="16">
        <f t="shared" ca="1" si="32"/>
        <v>0</v>
      </c>
      <c r="CB21" s="16">
        <f t="shared" ca="1" si="33"/>
        <v>0</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(3)</v>
      </c>
      <c r="CF21" s="16">
        <f t="shared" ca="1" si="35"/>
        <v>0</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(3)</v>
      </c>
      <c r="CI21" s="16">
        <f t="shared" ca="1" si="36"/>
        <v>0</v>
      </c>
      <c r="CJ21" s="16">
        <f t="shared" ca="1" si="37"/>
        <v>0</v>
      </c>
      <c r="CK21" s="16">
        <f t="shared" ca="1" si="38"/>
        <v>0</v>
      </c>
      <c r="CL21" s="16">
        <f t="shared" ca="1" si="39"/>
        <v>0</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(3)</v>
      </c>
      <c r="CO21" s="16">
        <f t="shared" ca="1" si="40"/>
        <v>0</v>
      </c>
      <c r="CP21" s="16">
        <f t="shared" ca="1" si="41"/>
        <v>0</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(3)</v>
      </c>
      <c r="CT21" s="16">
        <f t="shared" ca="1" si="43"/>
        <v>0</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(3)</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0</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P.2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3</v>
      </c>
      <c r="DE21" s="16"/>
      <c r="DF21" s="16">
        <f t="shared" ca="1" si="46"/>
        <v>3</v>
      </c>
      <c r="DG21" s="16">
        <f ca="1">IF(DB21="-","-",COUNTIFS(DF$6:DF$53,"&lt;"&amp;DF21,$BC$6:$BC$53,INDEX(T_Equipos[Grupo],MATCH(BD21,T_Equipos[NombreEquipo],0))))</f>
        <v>2</v>
      </c>
      <c r="DH21" s="16">
        <f ca="1">DA21+COUNTIFS(DB$6:DB$53,DB21,DG$6:DG$53,"&lt;"&amp;DG21,$BC$6:$BC$53,INDEX(T_Equipos[Grupo],MATCH(BD21,T_Equipos[NombreEquipo],0)))</f>
        <v>3</v>
      </c>
      <c r="DI21" s="16"/>
      <c r="DJ21" s="16">
        <f t="shared" ca="1" si="47"/>
        <v>4</v>
      </c>
      <c r="DK21" s="16">
        <f t="shared" ca="1" si="48"/>
        <v>2</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(3)</v>
      </c>
      <c r="G28" s="16"/>
      <c r="H28" s="16" t="str">
        <f t="shared" ref="H28:H33" ca="1" si="87">IF(D28="Pendiente","-",INDEX($BZ$6:$BZ$53,MATCH($AA28,$BD$6:$BD$53,0)))</f>
        <v>-</v>
      </c>
      <c r="I28" s="16" t="str">
        <f t="shared" ref="I28:I33" ca="1" si="88">IF(D28="Pendiente","-",INDEX($BZ$6:$BZ$53,MATCH($AF28,$BD$6:$BD$53,0)))</f>
        <v>P.2 (3)</v>
      </c>
      <c r="J28" s="16"/>
      <c r="K28" s="16" t="str">
        <f t="shared" ref="K28:K33" ca="1" si="89">IF(D28="Pendiente","-",INDEX($CE$6:$CE$53,MATCH($AA28,$BD$6:$BD$53,0)))</f>
        <v>-</v>
      </c>
      <c r="L28" s="16" t="str">
        <f t="shared" ref="L28:L33" ca="1" si="90">IF(D28="Pendiente","-",INDEX($CE$6:$CE$53,MATCH($AF28,$BD$6:$BD$53,0)))</f>
        <v>P.2 (3)</v>
      </c>
      <c r="M28" s="16"/>
      <c r="N28" s="16" t="str">
        <f t="shared" ref="N28:N33" ca="1" si="91">IF(D28="Pendiente","-",INDEX($CH$6:$CH$53,MATCH($AA28,$BD$6:$BD$53,0)))</f>
        <v>-</v>
      </c>
      <c r="O28" s="16" t="str">
        <f t="shared" ref="O28:O33" ca="1" si="92">IF(D28="Pendiente","-",INDEX($CH$6:$CH$53,MATCH($AF28,$BD$6:$BD$53,0)))</f>
        <v>P.2 (3)</v>
      </c>
      <c r="P28" s="16"/>
      <c r="Q28" s="16" t="str">
        <f t="shared" ref="Q28:Q33" ca="1" si="93">IF(D28="Pendiente","-",INDEX($CN$6:$CN$53,MATCH($AA28,$BD$6:$BD$53,0)))</f>
        <v>-</v>
      </c>
      <c r="R28" s="16" t="str">
        <f t="shared" ref="R28:R33" ca="1" si="94">IF(D28="Pendiente","-",INDEX($CN$6:$CN$53,MATCH($AF28,$BD$6:$BD$53,0)))</f>
        <v>P.2 (3)</v>
      </c>
      <c r="S28" s="16"/>
      <c r="T28" s="16" t="str">
        <f t="shared" ref="T28:T33" ca="1" si="95">IF(D28="Pendiente","-",INDEX($CS$6:$CS$53,MATCH($AA28,$BD$6:$BD$53,0)))</f>
        <v>-</v>
      </c>
      <c r="U28" s="16" t="str">
        <f t="shared" ref="U28:U33" ca="1" si="96">IF(D28="Pendiente","-",INDEX($CS$6:$CS$53,MATCH($AF28,$BD$6:$BD$53,0)))</f>
        <v>P.2 (3)</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5"/>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5"/>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5"/>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5"/>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3</v>
      </c>
      <c r="BN59" s="16">
        <f t="shared" ca="1" si="153"/>
        <v>3</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(11)</v>
      </c>
      <c r="BX59" s="16">
        <f t="shared" ca="1" si="161"/>
        <v>0</v>
      </c>
      <c r="BY59" s="16">
        <f t="shared" ca="1" si="162"/>
        <v>1</v>
      </c>
      <c r="BZ59" s="16" t="str">
        <f t="shared" ca="1" si="163"/>
        <v>Pos. 1 (11)</v>
      </c>
      <c r="CA59" s="16">
        <f t="shared" ca="1" si="164"/>
        <v>9</v>
      </c>
      <c r="CB59" s="16">
        <f t="shared" ca="1" si="165"/>
        <v>3</v>
      </c>
      <c r="CC59" s="16"/>
      <c r="CD59" s="16">
        <f t="shared" ca="1" si="166"/>
        <v>3</v>
      </c>
      <c r="CE59" s="16">
        <f t="shared" ca="1" si="167"/>
        <v>2</v>
      </c>
      <c r="CF59" s="16">
        <f t="shared" ca="1" si="168"/>
        <v>3</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6</v>
      </c>
      <c r="BN60" s="16">
        <f t="shared" ca="1" si="153"/>
        <v>6</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(11)</v>
      </c>
      <c r="BX60" s="16">
        <f t="shared" ca="1" si="161"/>
        <v>0</v>
      </c>
      <c r="BY60" s="16">
        <f t="shared" ca="1" si="162"/>
        <v>1</v>
      </c>
      <c r="BZ60" s="16" t="str">
        <f t="shared" ca="1" si="163"/>
        <v>Pos. 1 (11)</v>
      </c>
      <c r="CA60" s="16">
        <f t="shared" ca="1" si="164"/>
        <v>6</v>
      </c>
      <c r="CB60" s="16">
        <f t="shared" ca="1" si="165"/>
        <v>6</v>
      </c>
      <c r="CC60" s="16"/>
      <c r="CD60" s="16">
        <f t="shared" ca="1" si="166"/>
        <v>6</v>
      </c>
      <c r="CE60" s="16">
        <f t="shared" ca="1" si="167"/>
        <v>5</v>
      </c>
      <c r="CF60" s="16">
        <f t="shared" ca="1" si="168"/>
        <v>6</v>
      </c>
      <c r="DJ60" s="16">
        <f t="shared" ca="1" si="169"/>
        <v>1</v>
      </c>
      <c r="DK60" s="16"/>
      <c r="DL60" s="16">
        <f t="shared" ca="1" si="170"/>
        <v>1</v>
      </c>
      <c r="DM60" s="16" t="str">
        <f t="shared" ca="1" si="171"/>
        <v>1.1</v>
      </c>
      <c r="DN60" s="16">
        <f t="array" aca="1" ref="DN60" ca="1">OFFSET(Horarios!$P$3,DJ60-1,0,DL60,1)</f>
        <v>1</v>
      </c>
      <c r="DO60" s="16"/>
      <c r="DP60" s="16">
        <v>3</v>
      </c>
      <c r="DQ60" s="16" t="str">
        <f t="shared" ca="1" si="172"/>
        <v>Catar</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5"/>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10</v>
      </c>
      <c r="BN61" s="16">
        <f t="shared" ca="1" si="153"/>
        <v>10</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(11)</v>
      </c>
      <c r="BX61" s="16">
        <f t="shared" ca="1" si="161"/>
        <v>0</v>
      </c>
      <c r="BY61" s="16">
        <f t="shared" ca="1" si="162"/>
        <v>1</v>
      </c>
      <c r="BZ61" s="16" t="str">
        <f t="shared" ca="1" si="163"/>
        <v>Pos. 1 (11)</v>
      </c>
      <c r="CA61" s="16">
        <f t="shared" ca="1" si="164"/>
        <v>1</v>
      </c>
      <c r="CB61" s="16">
        <f t="shared" ca="1" si="165"/>
        <v>10</v>
      </c>
      <c r="CC61" s="16"/>
      <c r="CD61" s="16">
        <f t="shared" ca="1" si="166"/>
        <v>10</v>
      </c>
      <c r="CE61" s="16">
        <f t="shared" ca="1" si="167"/>
        <v>9</v>
      </c>
      <c r="CF61" s="16">
        <f t="shared" ca="1" si="168"/>
        <v>10</v>
      </c>
      <c r="DJ61" s="16">
        <f t="shared" ca="1" si="169"/>
        <v>1</v>
      </c>
      <c r="DK61" s="16"/>
      <c r="DL61" s="16">
        <f t="shared" ca="1" si="170"/>
        <v>1</v>
      </c>
      <c r="DM61" s="16" t="str">
        <f t="shared" ca="1" si="171"/>
        <v>1.1</v>
      </c>
      <c r="DN61" s="16">
        <f t="array" aca="1" ref="DN61" ca="1">OFFSET(Horarios!$P$3,DJ61-1,0,DL61,1)</f>
        <v>1</v>
      </c>
      <c r="DO61" s="16"/>
      <c r="DP61" s="16">
        <v>4</v>
      </c>
      <c r="DQ61" s="16" t="str">
        <f t="shared" ca="1" si="172"/>
        <v>Costa de Marfil</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4</v>
      </c>
      <c r="BN62" s="16">
        <f t="shared" ca="1" si="153"/>
        <v>4</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(11)</v>
      </c>
      <c r="BX62" s="16">
        <f t="shared" ca="1" si="161"/>
        <v>0</v>
      </c>
      <c r="BY62" s="16">
        <f t="shared" ca="1" si="162"/>
        <v>1</v>
      </c>
      <c r="BZ62" s="16" t="str">
        <f t="shared" ca="1" si="163"/>
        <v>Pos. 1 (11)</v>
      </c>
      <c r="CA62" s="16">
        <f t="shared" ca="1" si="164"/>
        <v>8</v>
      </c>
      <c r="CB62" s="16">
        <f t="shared" ca="1" si="165"/>
        <v>4</v>
      </c>
      <c r="CC62" s="16"/>
      <c r="CD62" s="16">
        <f t="shared" ca="1" si="166"/>
        <v>4</v>
      </c>
      <c r="CE62" s="16">
        <f t="shared" ca="1" si="167"/>
        <v>3</v>
      </c>
      <c r="CF62" s="16">
        <f t="shared" ca="1" si="168"/>
        <v>4</v>
      </c>
      <c r="DJ62" s="16">
        <f t="shared" ca="1" si="169"/>
        <v>1</v>
      </c>
      <c r="DK62" s="16"/>
      <c r="DL62" s="16">
        <f t="shared" ca="1" si="170"/>
        <v>1</v>
      </c>
      <c r="DM62" s="16" t="str">
        <f t="shared" ca="1" si="171"/>
        <v>1.1</v>
      </c>
      <c r="DN62" s="16">
        <f t="array" aca="1" ref="DN62" ca="1">OFFSET(Horarios!$P$3,DJ62-1,0,DL62,1)</f>
        <v>1</v>
      </c>
      <c r="DO62" s="16"/>
      <c r="DP62" s="16">
        <v>5</v>
      </c>
      <c r="DQ62" s="16" t="str">
        <f t="shared" ca="1" si="172"/>
        <v>Ghana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(11)</v>
      </c>
      <c r="BX63" s="16">
        <f t="shared" ca="1" si="161"/>
        <v>0</v>
      </c>
      <c r="BY63" s="16">
        <f t="shared" ca="1" si="162"/>
        <v>1</v>
      </c>
      <c r="BZ63" s="16" t="str">
        <f t="shared" ca="1" si="163"/>
        <v>Pos. 1 (11)</v>
      </c>
      <c r="CA63" s="16">
        <f t="shared" ca="1" si="164"/>
        <v>2</v>
      </c>
      <c r="CB63" s="16">
        <f t="shared" ca="1" si="165"/>
        <v>9</v>
      </c>
      <c r="CC63" s="16"/>
      <c r="CD63" s="16">
        <f t="shared" ca="1" si="166"/>
        <v>9</v>
      </c>
      <c r="CE63" s="16">
        <f t="shared" ca="1" si="167"/>
        <v>8</v>
      </c>
      <c r="CF63" s="16">
        <f t="shared" ca="1" si="168"/>
        <v>9</v>
      </c>
      <c r="DJ63" s="16">
        <f t="shared" ca="1" si="169"/>
        <v>1</v>
      </c>
      <c r="DK63" s="16"/>
      <c r="DL63" s="16">
        <f t="shared" ca="1" si="170"/>
        <v>1</v>
      </c>
      <c r="DM63" s="16" t="str">
        <f t="shared" ca="1" si="171"/>
        <v>1.1</v>
      </c>
      <c r="DN63" s="16">
        <f t="array" aca="1" ref="DN63" ca="1">OFFSET(Horarios!$P$3,DJ63-1,0,DL63,1)</f>
        <v>1</v>
      </c>
      <c r="DO63" s="16"/>
      <c r="DP63" s="16">
        <v>6</v>
      </c>
      <c r="DQ63" s="16" t="str">
        <f t="shared" ca="1" si="172"/>
        <v>Haití</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(11)</v>
      </c>
      <c r="BX64" s="16">
        <f t="shared" ca="1" si="161"/>
        <v>0</v>
      </c>
      <c r="BY64" s="16">
        <f t="shared" ca="1" si="162"/>
        <v>1</v>
      </c>
      <c r="BZ64" s="16" t="str">
        <f t="shared" ca="1" si="163"/>
        <v>Pos. 1 (11)</v>
      </c>
      <c r="CA64" s="16">
        <f t="shared" ca="1" si="164"/>
        <v>4</v>
      </c>
      <c r="CB64" s="16">
        <f t="shared" ca="1" si="165"/>
        <v>8</v>
      </c>
      <c r="CC64" s="16"/>
      <c r="CD64" s="16">
        <f t="shared" ca="1" si="166"/>
        <v>8</v>
      </c>
      <c r="CE64" s="16">
        <f t="shared" ca="1" si="167"/>
        <v>7</v>
      </c>
      <c r="CF64" s="16">
        <f t="shared" ca="1" si="168"/>
        <v>8</v>
      </c>
      <c r="DJ64" s="16">
        <f t="shared" ca="1" si="169"/>
        <v>1</v>
      </c>
      <c r="DK64" s="16"/>
      <c r="DL64" s="16">
        <f t="shared" ca="1" si="170"/>
        <v>1</v>
      </c>
      <c r="DM64" s="16" t="str">
        <f t="shared" ca="1" si="171"/>
        <v>1.1</v>
      </c>
      <c r="DN64" s="16">
        <f t="array" aca="1" ref="DN64" ca="1">OFFSET(Horarios!$P$3,DJ64-1,0,DL64,1)</f>
        <v>1</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(11)</v>
      </c>
      <c r="BX65" s="16">
        <f t="shared" ca="1" si="161"/>
        <v>0</v>
      </c>
      <c r="BY65" s="16">
        <f t="shared" ca="1" si="162"/>
        <v>1</v>
      </c>
      <c r="BZ65" s="16" t="str">
        <f t="shared" ca="1" si="163"/>
        <v>Pos. 1 (11)</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(11)</v>
      </c>
      <c r="BX66" s="16">
        <f t="shared" ca="1" si="161"/>
        <v>0</v>
      </c>
      <c r="BY66" s="16">
        <f t="shared" ca="1" si="162"/>
        <v>1</v>
      </c>
      <c r="BZ66" s="16" t="str">
        <f t="shared" ca="1" si="163"/>
        <v>Pos. 1 (11)</v>
      </c>
      <c r="CA66" s="16">
        <f t="shared" ca="1" si="164"/>
        <v>5</v>
      </c>
      <c r="CB66" s="16">
        <f t="shared" ca="1" si="165"/>
        <v>7</v>
      </c>
      <c r="CC66" s="16"/>
      <c r="CD66" s="16">
        <f t="shared" ca="1" si="166"/>
        <v>7</v>
      </c>
      <c r="CE66" s="16">
        <f t="shared" ca="1" si="167"/>
        <v>6</v>
      </c>
      <c r="CF66" s="16">
        <f t="shared" ca="1" si="168"/>
        <v>7</v>
      </c>
      <c r="DJ66" s="16">
        <f t="shared" ca="1" si="169"/>
        <v>1</v>
      </c>
      <c r="DK66" s="16"/>
      <c r="DL66" s="16">
        <f t="shared" ca="1" si="170"/>
        <v>1</v>
      </c>
      <c r="DM66" s="16" t="str">
        <f t="shared" ca="1" si="171"/>
        <v>1.1</v>
      </c>
      <c r="DN66" s="16">
        <f t="array" aca="1" ref="DN66" ca="1">OFFSET(Horarios!$P$3,DJ66-1,0,DL66,1)</f>
        <v>1</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2</v>
      </c>
      <c r="BN67" s="16">
        <f t="shared" ca="1" si="153"/>
        <v>2</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(11)</v>
      </c>
      <c r="BX67" s="16">
        <f t="shared" ca="1" si="161"/>
        <v>0</v>
      </c>
      <c r="BY67" s="16">
        <f t="shared" ca="1" si="162"/>
        <v>1</v>
      </c>
      <c r="BZ67" s="16" t="str">
        <f t="shared" ca="1" si="163"/>
        <v>Pos. 1 (11)</v>
      </c>
      <c r="CA67" s="16">
        <f t="shared" ca="1" si="164"/>
        <v>10</v>
      </c>
      <c r="CB67" s="16">
        <f t="shared" ca="1" si="165"/>
        <v>2</v>
      </c>
      <c r="CC67" s="16"/>
      <c r="CD67" s="16">
        <f t="shared" ca="1" si="166"/>
        <v>2</v>
      </c>
      <c r="CE67" s="16">
        <f t="shared" ca="1" si="167"/>
        <v>1</v>
      </c>
      <c r="CF67" s="16">
        <f t="shared" ca="1" si="168"/>
        <v>2</v>
      </c>
      <c r="DJ67" s="16">
        <f t="shared" ca="1" si="169"/>
        <v>1</v>
      </c>
      <c r="DK67" s="16"/>
      <c r="DL67" s="16">
        <f t="shared" ca="1" si="170"/>
        <v>1</v>
      </c>
      <c r="DM67" s="16" t="str">
        <f t="shared" ca="1" si="171"/>
        <v>1.1</v>
      </c>
      <c r="DN67" s="16">
        <f t="array" aca="1" ref="DN67" ca="1">OFFSET(Horarios!$P$3,DJ67-1,0,DL67,1)</f>
        <v>1</v>
      </c>
      <c r="DO67" s="16"/>
      <c r="DP67" s="16">
        <v>10</v>
      </c>
      <c r="DQ67" s="16" t="str">
        <f t="shared" ca="1" si="172"/>
        <v>Turquía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(11)</v>
      </c>
      <c r="BX68" s="16">
        <f t="shared" ca="1" si="161"/>
        <v>0</v>
      </c>
      <c r="BY68" s="16">
        <f t="shared" ca="1" si="162"/>
        <v>1</v>
      </c>
      <c r="BZ68" s="16" t="str">
        <f t="shared" ca="1" si="163"/>
        <v>Pos. 1 (11)</v>
      </c>
      <c r="CA68" s="16">
        <f t="shared" ca="1" si="164"/>
        <v>0</v>
      </c>
      <c r="CB68" s="16">
        <f t="shared" ca="1" si="165"/>
        <v>11</v>
      </c>
      <c r="CC68" s="16"/>
      <c r="CD68" s="16">
        <f t="shared" ca="1" si="166"/>
        <v>11</v>
      </c>
      <c r="CE68" s="16">
        <f t="shared" ca="1" si="167"/>
        <v>10</v>
      </c>
      <c r="CF68" s="16">
        <f t="shared" ca="1" si="168"/>
        <v>11</v>
      </c>
      <c r="DJ68" s="16">
        <f t="shared" ca="1" si="169"/>
        <v>1</v>
      </c>
      <c r="DK68" s="16"/>
      <c r="DL68" s="16">
        <f t="shared" ca="1" si="170"/>
        <v>1</v>
      </c>
      <c r="DM68" s="16" t="str">
        <f t="shared" ca="1" si="171"/>
        <v>1.1</v>
      </c>
      <c r="DN68" s="16">
        <f t="array" aca="1" ref="DN68" ca="1">OFFSET(Horarios!$P$3,DJ68-1,0,DL68,1)</f>
        <v>1</v>
      </c>
      <c r="DO68" s="16"/>
      <c r="DP68" s="16">
        <v>11</v>
      </c>
      <c r="DQ68" s="16" t="str">
        <f t="shared" ca="1" si="172"/>
        <v>Uzbekistán</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5"/>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5</v>
      </c>
      <c r="BN69" s="16">
        <f t="shared" ca="1" si="153"/>
        <v>5</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(11)</v>
      </c>
      <c r="BX69" s="16">
        <f t="shared" ca="1" si="161"/>
        <v>0</v>
      </c>
      <c r="BY69" s="16">
        <f t="shared" ca="1" si="162"/>
        <v>1</v>
      </c>
      <c r="BZ69" s="16" t="str">
        <f t="shared" ca="1" si="163"/>
        <v>Pos. 1 (11)</v>
      </c>
      <c r="CA69" s="16">
        <f t="shared" ca="1" si="164"/>
        <v>7</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5"/>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5"/>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2</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2</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Costa de Marfil</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Ghana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Haití</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Turquía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Turquía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Turquía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Turquía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2026-06-13T03:04:15Z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
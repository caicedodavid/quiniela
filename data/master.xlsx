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28EC025A-CFC0-CC4B-AEBB-8E3938A2454E}"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Z114" i="2"/>
  <c r="D114" i="2"/>
  <c r="AG114" i="2" s="1"/>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C4" i="4"/>
  <c r="AK32" i="4"/>
  <c r="C213" i="3"/>
  <c r="C227" i="3"/>
  <c r="C226" i="3"/>
  <c r="C244" i="3"/>
  <c r="B244" i="3"/>
  <c r="C236" i="3"/>
  <c r="AG103" i="2"/>
  <c r="M120" i="2"/>
  <c r="AA121" i="2" s="1"/>
  <c r="AE4" i="4" s="1"/>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5" i="2" l="1"/>
  <c r="M126" i="2"/>
  <c r="AA126" i="2" s="1"/>
  <c r="M127" i="2"/>
  <c r="AA127" i="2" s="1"/>
  <c r="AG113" i="2"/>
  <c r="M124" i="2"/>
  <c r="AA124" i="2" s="1"/>
  <c r="AG112" i="2"/>
  <c r="N124" i="2"/>
  <c r="AF124" i="2" s="1"/>
  <c r="AG111" i="2"/>
  <c r="M125" i="2"/>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40" i="4" l="1"/>
  <c r="B206" i="3"/>
  <c r="C206" i="3"/>
  <c r="C188" i="3"/>
  <c r="C189" i="3"/>
  <c r="AE46" i="4"/>
  <c r="B207" i="3"/>
  <c r="C207" i="3"/>
  <c r="AE16" i="4"/>
  <c r="C186" i="3"/>
  <c r="C194" i="3"/>
  <c r="AE17" i="4"/>
  <c r="C204" i="3"/>
  <c r="B204" i="3"/>
  <c r="AE22" i="4"/>
  <c r="C187" i="3"/>
  <c r="C195" i="3"/>
  <c r="B205" i="3"/>
  <c r="C205" i="3"/>
  <c r="AE23" i="4"/>
  <c r="C193" i="3"/>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<sst xmlns="http://schemas.openxmlformats.org/spreadsheetml/2006/main" count="6754" uniqueCount="1516">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</sst>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9" zoomScaleNormal="100" workbookViewId="0">
      <selection activeCell="AL117" sqref="AL11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c r="AC114" s="92">
        <v>1</v>
      </c>
      <c r="AD114" s="92">
        <v>1</v>
      </c>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Argentina-W88</v>
      </c>
      <c r="C206" s="344" t="str">
        <f ca="1">CONCATENATE(WORLDCUP!AA126,"-",WORLDCUP!AF126,"·",IF(WORLDCUP!AC126&gt;WORLDCUP!AD126,1,IF(WORLDCUP!AC126&lt;WORLDCUP!AD126,2,IF(AND(WORLDCUP!AC126=WORLDCUP!AD126,WORLDCUP!AC126&lt;&gt;"",WORLDCUP!AD126&lt;&gt;""),"X",0))),"|",WORLDCUP!AC126,"-",WORLDCUP!AD126)</f>
        <v>Argentina-W88·0|-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Suiza-W87</v>
      </c>
      <c r="C207" s="344" t="str">
        <f ca="1">CONCATENATE(WORLDCUP!AA127,"-",WORLDCUP!AF127,"·",IF(WORLDCUP!AC127&gt;WORLDCUP!AD127,1,IF(WORLDCUP!AC127&lt;WORLDCUP!AD127,2,IF(AND(WORLDCUP!AC127=WORLDCUP!AD127,WORLDCUP!AC127&lt;&gt;"",WORLDCUP!AD127&lt;&gt;""),"X",0))),"|",WORLDCUP!AC127,"-",WORLDCUP!AD127)</f>
        <v>Suiza-W87·0|-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2026-07-04T01:06:24Z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
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E20588B9-E4AE-8845-A174-6DF7CF5C9C5C}"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AJ13" i="2"/>
  <c r="Z68" i="2"/>
  <c r="Z85" i="2"/>
  <c r="Z84" i="2"/>
  <c r="Z69" i="2"/>
  <c r="Z92" i="2"/>
  <c r="Z76" i="2"/>
  <c r="Z77" i="2"/>
  <c r="Z45" i="2"/>
  <c r="Z60" i="2"/>
  <c r="Z52" i="2"/>
  <c r="Z61" i="2"/>
  <c r="Z36" i="2"/>
  <c r="Z44" i="2"/>
  <c r="Z93" i="2"/>
  <c r="Z37" i="2"/>
  <c r="Z21" i="2"/>
  <c r="Z20" i="2"/>
  <c r="Z29" i="2"/>
  <c r="Z53" i="2"/>
  <c r="Z5" i="2"/>
  <c r="Z28" i="2"/>
  <c r="X146" i="2"/>
  <c r="X130" i="2"/>
  <c r="X119" i="2"/>
  <c r="X83" i="2"/>
  <c r="X51" i="2"/>
  <c r="X137" i="2"/>
  <c r="X100" i="2"/>
  <c r="X59" i="2"/>
  <c r="X142" i="2"/>
  <c r="X75" i="2"/>
  <c r="X67" i="2"/>
  <c r="X91" i="2"/>
  <c r="X11" i="2"/>
  <c r="X27" i="2" s="1"/>
  <c r="X43" i="2" s="1"/>
  <c r="AJ53" i="2"/>
  <c r="AC11" i="2"/>
  <c r="AC142" i="2"/>
  <c r="AC119" i="2"/>
  <c r="AC130" i="2"/>
  <c r="AC75" i="2"/>
  <c r="AC91" i="2"/>
  <c r="AC83" i="2"/>
  <c r="AC59" i="2"/>
  <c r="AC100" i="2"/>
  <c r="AC43" i="2"/>
  <c r="AC35" i="2"/>
  <c r="AR29" i="2"/>
  <c r="AD142" i="2"/>
  <c r="AD59" i="2"/>
  <c r="AD91" i="2"/>
  <c r="AD130" i="2"/>
  <c r="AD119" i="2"/>
  <c r="AD43" i="2"/>
  <c r="AD83" i="2"/>
  <c r="AD100" i="2"/>
  <c r="AD75" i="2"/>
  <c r="AD35" i="2"/>
  <c r="AD27" i="2"/>
  <c r="AD67" i="2"/>
  <c r="AD51" i="2"/>
  <c r="AF137" i="2"/>
  <c r="AF142" i="2"/>
  <c r="AF146" i="2"/>
  <c r="AF59" i="2"/>
  <c r="AF91" i="2"/>
  <c r="AF67" i="2"/>
  <c r="AF100" i="2"/>
  <c r="AF119" i="2"/>
  <c r="AF83" i="2"/>
  <c r="AF75" i="2"/>
  <c r="AF51" i="2"/>
  <c r="AR85" i="2"/>
  <c r="AR53" i="2"/>
  <c r="AR101" i="2"/>
  <c r="AR77" i="2"/>
  <c r="AR37" i="2"/>
  <c r="AR69" i="2"/>
  <c r="AR93" i="2"/>
  <c r="AR61" i="2"/>
  <c r="AR45" i="2"/>
  <c r="BJ5" i="2"/>
  <c r="BJ57" i="2" s="1"/>
  <c r="C184" i="3"/>
  <c r="B202" i="3"/>
  <c r="AN13" i="4"/>
  <c r="AK31" i="4"/>
  <c r="AF5" i="4"/>
  <c r="AE46" i="4"/>
  <c r="AE29" i="4"/>
  <c r="AC4" i="4"/>
  <c r="K65" i="2"/>
  <c r="I65" i="2"/>
  <c r="H65" i="2"/>
  <c r="N65" i="2"/>
  <c r="R65" i="2"/>
  <c r="Q65" i="2"/>
  <c r="O65" i="2"/>
  <c r="F65" i="2"/>
  <c r="U65" i="2"/>
  <c r="T65" i="2"/>
  <c r="L65" i="2"/>
  <c r="E65" i="2"/>
  <c r="AK32" i="4"/>
  <c r="N125" i="2"/>
  <c r="AF125" i="2" s="1"/>
  <c r="C195" i="3" s="1"/>
  <c r="AG109" i="2"/>
  <c r="AG154" i="2"/>
  <c r="C253" i="3"/>
  <c r="I64" i="2"/>
  <c r="H64" i="2"/>
  <c r="F64" i="2"/>
  <c r="L64" i="2"/>
  <c r="U64" i="2"/>
  <c r="T64" i="2"/>
  <c r="R64" i="2"/>
  <c r="O64" i="2"/>
  <c r="C213" i="3"/>
  <c r="E64"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R56" i="2"/>
  <c r="I97" i="2"/>
  <c r="C226" i="3"/>
  <c r="C232" i="3"/>
  <c r="B232" i="3"/>
  <c r="AB34" i="9"/>
  <c r="K33" i="8"/>
  <c r="B29" i="8"/>
  <c r="T56" i="2"/>
  <c r="L57" i="2"/>
  <c r="K57" i="2"/>
  <c r="U97" i="2"/>
  <c r="C244" i="3"/>
  <c r="B244" i="3"/>
  <c r="C236" i="3"/>
  <c r="C258" i="3"/>
  <c r="AG160" i="2"/>
  <c r="U56" i="2"/>
  <c r="E57" i="2"/>
  <c r="AG103" i="2"/>
  <c r="M120" i="2"/>
  <c r="AA121" i="2" s="1"/>
  <c r="M125" i="2"/>
  <c r="AA125" i="2" s="1"/>
  <c r="AG110" i="2"/>
  <c r="U73" i="2"/>
  <c r="AG105" i="2"/>
  <c r="N122" i="2"/>
  <c r="AF122" i="2" s="1"/>
  <c r="C192" i="3" s="1"/>
  <c r="M124" i="2"/>
  <c r="AA124" i="2" s="1"/>
  <c r="AG112" i="2"/>
  <c r="E73"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U81" i="2"/>
  <c r="I88" i="2"/>
  <c r="AA159" i="2"/>
  <c r="BA21" i="4"/>
  <c r="R73" i="2"/>
  <c r="E81" i="2"/>
  <c r="K88"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R15" i="4" s="1"/>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R8" i="4" s="1"/>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40" i="4" l="1"/>
  <c r="F16" i="4"/>
  <c r="F15" i="4"/>
  <c r="R46" i="4"/>
  <c r="R45" i="4"/>
  <c r="R30" i="4"/>
  <c r="R29" i="4"/>
  <c r="R6" i="4"/>
  <c r="R13" i="4"/>
  <c r="F46" i="4"/>
  <c r="F14" i="4"/>
  <c r="R43" i="4"/>
  <c r="R28" i="4"/>
  <c r="R27" i="4"/>
  <c r="R4" i="4"/>
  <c r="R3" i="4"/>
  <c r="F43"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AY56" i="2"/>
  <c r="AF56" i="2"/>
  <c r="R7" i="4" s="1"/>
  <c r="AA53" i="2"/>
  <c r="AA84" i="2"/>
  <c r="AF88" i="2"/>
  <c r="R39" i="4" s="1"/>
  <c r="AY86" i="2"/>
  <c r="AA86" i="2"/>
  <c r="BC28" i="2"/>
  <c r="AY72" i="2"/>
  <c r="AA69" i="2"/>
  <c r="AF73" i="2"/>
  <c r="R24" i="4" s="1"/>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R32" i="4" s="1"/>
  <c r="AA78" i="2"/>
  <c r="AY78" i="2"/>
  <c r="AA76" i="2"/>
  <c r="AF71" i="2"/>
  <c r="AA73" i="2"/>
  <c r="AF68" i="2"/>
  <c r="AY71" i="2"/>
  <c r="AF24" i="2"/>
  <c r="AA23" i="2"/>
  <c r="AA20" i="2"/>
  <c r="AY22" i="2"/>
  <c r="AA14" i="2"/>
  <c r="AF13" i="2"/>
  <c r="AA16" i="2"/>
  <c r="AY17" i="2"/>
  <c r="BC24" i="2"/>
  <c r="AA85" i="2"/>
  <c r="AF89" i="2"/>
  <c r="R40" i="4" s="1"/>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32" i="4" l="1"/>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M110" i="2"/>
  <c r="AA109" i="2" s="1"/>
  <c r="N116" i="2"/>
  <c r="AF114" i="2" s="1"/>
  <c r="BP14" i="2"/>
  <c r="BP7" i="2"/>
  <c r="BP37" i="2"/>
  <c r="M108" i="2"/>
  <c r="AA108" i="2" s="1"/>
  <c r="N111" i="2"/>
  <c r="AF112" i="2" s="1"/>
  <c r="H113" i="2"/>
  <c r="AU69" i="2"/>
  <c r="AV68" i="2" s="1"/>
  <c r="AU61" i="2"/>
  <c r="AV60" i="2" s="1"/>
  <c r="BP26" i="2"/>
  <c r="AU93" i="2"/>
  <c r="AV92" i="2" s="1"/>
  <c r="AU85" i="2"/>
  <c r="AV84"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BP27" i="2"/>
  <c r="BP53" i="2"/>
  <c r="AU53" i="2"/>
  <c r="AV52" i="2" s="1"/>
  <c r="M105" i="2"/>
  <c r="AA106" i="2" s="1"/>
  <c r="N106" i="2"/>
  <c r="AF105" i="2" s="1"/>
  <c r="BP31" i="2"/>
  <c r="BP41" i="2"/>
  <c r="BP16" i="2"/>
  <c r="BP44" i="2"/>
  <c r="BP39" i="2"/>
  <c r="BP25" i="2"/>
  <c r="BP9" i="2"/>
  <c r="BP30" i="2"/>
  <c r="BP38" i="2"/>
  <c r="BP36" i="2"/>
  <c r="BP8" i="2"/>
  <c r="BP43" i="2"/>
  <c r="BP12" i="2"/>
  <c r="BP33" i="2"/>
  <c r="BP11" i="2"/>
  <c r="BP51" i="2"/>
  <c r="N114" i="2"/>
  <c r="AF115" i="2" s="1"/>
  <c r="M112" i="2"/>
  <c r="AA111" i="2" s="1"/>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37" i="3"/>
  <c r="AA36" i="4"/>
  <c r="BQ49" i="2"/>
  <c r="BR49" i="2" s="1"/>
  <c r="X29" i="2"/>
  <c r="Y29" i="2"/>
  <c r="BQ37" i="2"/>
  <c r="BR37" i="2" s="1"/>
  <c r="BQ46" i="2"/>
  <c r="BR46" i="2" s="1"/>
  <c r="BQ16" i="2"/>
  <c r="BR16" i="2" s="1"/>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AA49" i="4"/>
  <c r="BR34" i="2"/>
  <c r="B179" i="3"/>
  <c r="C179" i="3"/>
  <c r="AA4" i="4"/>
  <c r="B171" i="3"/>
  <c r="AA7" i="4"/>
  <c r="BR13" i="2"/>
  <c r="C171" i="3"/>
  <c r="AU101" i="2"/>
  <c r="AV100" i="2" s="1"/>
  <c r="AA37" i="4"/>
  <c r="BR19" i="2"/>
  <c r="AA25" i="4"/>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F70" i="2" s="1"/>
  <c r="BT47" i="2"/>
  <c r="BT43" i="2"/>
  <c r="BT51" i="2"/>
  <c r="BT41" i="2"/>
  <c r="BT38" i="2"/>
  <c r="BT44" i="2"/>
  <c r="BT14" i="2"/>
  <c r="F24" i="2" s="1"/>
  <c r="BT42" i="2"/>
  <c r="BT9" i="2"/>
  <c r="E8" i="2" s="1"/>
  <c r="BT37" i="2"/>
  <c r="BT8" i="2"/>
  <c r="F9" i="2" s="1"/>
  <c r="BT18" i="2"/>
  <c r="F32" i="2" s="1"/>
  <c r="BT11" i="2"/>
  <c r="E17" i="2" s="1"/>
  <c r="BT25" i="2"/>
  <c r="E41" i="2" s="1"/>
  <c r="BT39" i="2"/>
  <c r="BT52" i="2"/>
  <c r="BT16" i="2"/>
  <c r="F25" i="2" s="1"/>
  <c r="BT32" i="2"/>
  <c r="BT17" i="2"/>
  <c r="E24" i="2" s="1"/>
  <c r="BT35" i="2"/>
  <c r="BT26" i="2"/>
  <c r="F49" i="2" s="1"/>
  <c r="BT50" i="2"/>
  <c r="BT30" i="2"/>
  <c r="BT34" i="2"/>
  <c r="BT7" i="2"/>
  <c r="E9" i="2" s="1"/>
  <c r="BT27" i="2"/>
  <c r="E48" i="2" s="1"/>
  <c r="BT28" i="2"/>
  <c r="F48" i="2" s="1"/>
  <c r="BT48" i="2"/>
  <c r="BT20" i="2"/>
  <c r="F33" i="2" s="1"/>
  <c r="BT24" i="2"/>
  <c r="F40" i="2" s="1"/>
  <c r="BT13" i="2"/>
  <c r="E16" i="2" s="1"/>
  <c r="BT23" i="2"/>
  <c r="E40" i="2" s="1"/>
  <c r="BT22" i="2"/>
  <c r="F41" i="2" s="1"/>
  <c r="BT31" i="2"/>
  <c r="BT49" i="2"/>
  <c r="BT21" i="2"/>
  <c r="E32" i="2" s="1"/>
  <c r="BT15" i="2"/>
  <c r="E25" i="2" s="1"/>
  <c r="BT45" i="2"/>
  <c r="BT33" i="2"/>
  <c r="BT12" i="2"/>
  <c r="F17" i="2" s="1"/>
  <c r="BT6" i="2"/>
  <c r="F8" i="2" s="1"/>
  <c r="BT10" i="2"/>
  <c r="F16" i="2" s="1"/>
  <c r="BT46" i="2"/>
  <c r="BT19" i="2"/>
  <c r="E33" i="2" s="1"/>
  <c r="BT29" i="2"/>
  <c r="E49" i="2" s="1"/>
  <c r="BT53" i="2"/>
  <c r="BT36" i="2"/>
  <c r="F85" i="2" l="1"/>
  <c r="E87" i="2"/>
  <c r="F84" i="2"/>
  <c r="F87" i="2"/>
  <c r="F93" i="2"/>
  <c r="E95" i="2"/>
  <c r="F92" i="2"/>
  <c r="BU50" i="2" s="1"/>
  <c r="F95" i="2"/>
  <c r="E93" i="2"/>
  <c r="F94" i="2"/>
  <c r="BV50" i="2" s="1"/>
  <c r="E92" i="2"/>
  <c r="E94" i="2"/>
  <c r="E85" i="2"/>
  <c r="F86" i="2"/>
  <c r="E84" i="2"/>
  <c r="E86" i="2"/>
  <c r="F77" i="2"/>
  <c r="BU44" i="2" s="1"/>
  <c r="E79" i="2"/>
  <c r="F76" i="2"/>
  <c r="F79" i="2"/>
  <c r="F69" i="2"/>
  <c r="BW40" i="2" s="1"/>
  <c r="E71" i="2"/>
  <c r="BW39" i="2" s="1"/>
  <c r="F68" i="2"/>
  <c r="BU38" i="2" s="1"/>
  <c r="F71" i="2"/>
  <c r="E68" i="2"/>
  <c r="E70" i="2"/>
  <c r="E76" i="2"/>
  <c r="E78" i="2"/>
  <c r="BW44" i="2" s="1"/>
  <c r="E77" i="2"/>
  <c r="F78" i="2"/>
  <c r="F52" i="2"/>
  <c r="BV30" i="2" s="1"/>
  <c r="F55" i="2"/>
  <c r="F53" i="2"/>
  <c r="E55" i="2"/>
  <c r="F61" i="2"/>
  <c r="E63" i="2"/>
  <c r="F60" i="2"/>
  <c r="F63" i="2"/>
  <c r="E52" i="2"/>
  <c r="E54" i="2"/>
  <c r="E53" i="2"/>
  <c r="F54" i="2"/>
  <c r="E61" i="2"/>
  <c r="F62" i="2"/>
  <c r="E60" i="2"/>
  <c r="BV35" i="2" s="1"/>
  <c r="E62" i="2"/>
  <c r="F45" i="2"/>
  <c r="E47" i="2"/>
  <c r="F44" i="2"/>
  <c r="BV26" i="2" s="1"/>
  <c r="F47" i="2"/>
  <c r="F37" i="2"/>
  <c r="E39" i="2"/>
  <c r="BV23" i="2" s="1"/>
  <c r="F36" i="2"/>
  <c r="F39" i="2"/>
  <c r="BV25" i="2" s="1"/>
  <c r="E36" i="2"/>
  <c r="BW23" i="2" s="1"/>
  <c r="E38" i="2"/>
  <c r="E37" i="2"/>
  <c r="BW25" i="2" s="1"/>
  <c r="F38" i="2"/>
  <c r="E45" i="2"/>
  <c r="F46" i="2"/>
  <c r="BU26" i="2" s="1"/>
  <c r="E44" i="2"/>
  <c r="BV27" i="2" s="1"/>
  <c r="E46" i="2"/>
  <c r="F28" i="2"/>
  <c r="F31" i="2"/>
  <c r="F29" i="2"/>
  <c r="BU20" i="2" s="1"/>
  <c r="E31" i="2"/>
  <c r="BU19" i="2" s="1"/>
  <c r="E21" i="2"/>
  <c r="F23" i="2"/>
  <c r="E20" i="2"/>
  <c r="BV15" i="2" s="1"/>
  <c r="E23" i="2"/>
  <c r="F20" i="2"/>
  <c r="F22" i="2"/>
  <c r="F21" i="2"/>
  <c r="E22" i="2"/>
  <c r="E29" i="2"/>
  <c r="F30" i="2"/>
  <c r="E28" i="2"/>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4" i="2"/>
  <c r="BU24" i="2"/>
  <c r="BW26" i="2"/>
  <c r="BU25" i="2"/>
  <c r="BV20" i="2"/>
  <c r="BW8" i="2"/>
  <c r="BV8" i="2"/>
  <c r="BW46" i="2"/>
  <c r="BV46" i="2"/>
  <c r="BU46" i="2"/>
  <c r="BV31" i="2"/>
  <c r="BW31" i="2"/>
  <c r="BU31" i="2"/>
  <c r="BW14" i="2"/>
  <c r="BV14" i="2"/>
  <c r="BU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W19" i="2"/>
  <c r="BV19" i="2"/>
  <c r="BV21" i="2"/>
  <c r="BU21" i="2"/>
  <c r="BW21" i="2"/>
  <c r="BU9" i="2"/>
  <c r="BV22" i="2"/>
  <c r="BW22" i="2"/>
  <c r="BW33" i="2"/>
  <c r="BV33" i="2"/>
  <c r="BU33" i="2"/>
  <c r="BV44" i="2"/>
  <c r="BU15" i="2"/>
  <c r="BW15" i="2"/>
  <c r="BW43" i="2"/>
  <c r="BV43" i="2"/>
  <c r="BU43" i="2"/>
  <c r="BW49" i="2"/>
  <c r="BV49" i="2"/>
  <c r="BU49" i="2"/>
  <c r="BU7" i="2"/>
  <c r="BU30" i="2"/>
  <c r="BW30" i="2"/>
  <c r="BU39" i="2"/>
  <c r="BV39" i="2"/>
  <c r="BU36" i="2"/>
  <c r="BW36" i="2"/>
  <c r="BV36" i="2"/>
  <c r="BW13" i="2"/>
  <c r="BV13" i="2"/>
  <c r="BU13" i="2"/>
  <c r="BW50" i="2"/>
  <c r="BW38" i="2"/>
  <c r="BV38" i="2"/>
  <c r="BU22" i="2" l="1"/>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H78" i="2" s="1"/>
  <c r="BZ45" i="2"/>
  <c r="H79" i="2" s="1"/>
  <c r="BZ24" i="2"/>
  <c r="BZ36" i="2"/>
  <c r="I62" i="2" s="1"/>
  <c r="BZ39" i="2"/>
  <c r="I71" i="2" s="1"/>
  <c r="BZ31" i="2"/>
  <c r="I55" i="2" s="1"/>
  <c r="BZ22" i="2"/>
  <c r="BZ23" i="2"/>
  <c r="BZ33" i="2"/>
  <c r="H55" i="2" s="1"/>
  <c r="BZ21" i="2"/>
  <c r="BZ27" i="2"/>
  <c r="BZ12" i="2"/>
  <c r="I17" i="2" s="1"/>
  <c r="BZ53" i="2"/>
  <c r="H95" i="2" s="1"/>
  <c r="BZ25" i="2"/>
  <c r="BZ51" i="2"/>
  <c r="I95" i="2" s="1"/>
  <c r="BZ16" i="2"/>
  <c r="BZ50" i="2"/>
  <c r="H94" i="2" s="1"/>
  <c r="BZ34" i="2"/>
  <c r="H62" i="2" s="1"/>
  <c r="BZ41" i="2"/>
  <c r="H71" i="2" s="1"/>
  <c r="BZ30" i="2"/>
  <c r="H54" i="2" s="1"/>
  <c r="BZ9" i="2"/>
  <c r="H8" i="2" s="1"/>
  <c r="BZ32" i="2"/>
  <c r="I54" i="2" s="1"/>
  <c r="BZ17" i="2"/>
  <c r="BZ47" i="2"/>
  <c r="I87" i="2" s="1"/>
  <c r="BZ6" i="2"/>
  <c r="BZ38" i="2"/>
  <c r="H70" i="2" s="1"/>
  <c r="BZ46" i="2"/>
  <c r="H86" i="2" s="1"/>
  <c r="BZ15" i="2"/>
  <c r="BZ44" i="2"/>
  <c r="I78" i="2" s="1"/>
  <c r="BZ48" i="2"/>
  <c r="I86" i="2" s="1"/>
  <c r="BZ26" i="2"/>
  <c r="BZ19" i="2"/>
  <c r="BZ20" i="2"/>
  <c r="BZ29" i="2"/>
  <c r="BZ10" i="2"/>
  <c r="BZ8" i="2"/>
  <c r="BZ28" i="2"/>
  <c r="BZ37" i="2"/>
  <c r="H63" i="2" s="1"/>
  <c r="BZ52" i="2"/>
  <c r="I94" i="2" s="1"/>
  <c r="BZ13" i="2"/>
  <c r="BZ35" i="2"/>
  <c r="I63" i="2" s="1"/>
  <c r="BZ18" i="2"/>
  <c r="BZ43" i="2"/>
  <c r="I79" i="2" s="1"/>
  <c r="BZ11" i="2"/>
  <c r="BZ14" i="2"/>
  <c r="BZ7" i="2"/>
  <c r="H9" i="2" s="1"/>
  <c r="I30" i="2" l="1"/>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I69" i="2"/>
  <c r="I68" i="2"/>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H20" i="2"/>
  <c r="CA13" i="2"/>
  <c r="I13" i="2"/>
  <c r="I28" i="2"/>
  <c r="CB18" i="2" s="1"/>
  <c r="H28" i="2"/>
  <c r="CA19" i="2" s="1"/>
  <c r="I12" i="2"/>
  <c r="H12" i="2"/>
  <c r="CA11" i="2" s="1"/>
  <c r="CB28" i="2"/>
  <c r="CC28" i="2" s="1"/>
  <c r="CA17" i="2"/>
  <c r="CC17" i="2" s="1"/>
  <c r="CA29" i="2"/>
  <c r="CC29" i="2" s="1"/>
  <c r="CB53" i="2"/>
  <c r="I7" i="2"/>
  <c r="I9" i="2"/>
  <c r="CB16" i="2"/>
  <c r="CC16" i="2" s="1"/>
  <c r="H7" i="2"/>
  <c r="I8" i="2"/>
  <c r="CB47" i="2"/>
  <c r="I4" i="2"/>
  <c r="CB6" i="2" s="1"/>
  <c r="I6" i="2"/>
  <c r="I5" i="2"/>
  <c r="H6" i="2"/>
  <c r="H5" i="2"/>
  <c r="CA52" i="2"/>
  <c r="CB13" i="2"/>
  <c r="CB37" i="2"/>
  <c r="CB51" i="2"/>
  <c r="CB48" i="2"/>
  <c r="CC48" i="2" s="1"/>
  <c r="H4" i="2"/>
  <c r="CA41" i="2"/>
  <c r="CC49" i="2"/>
  <c r="CB15" i="2" l="1"/>
  <c r="CB14" i="2"/>
  <c r="CA44" i="2"/>
  <c r="CC44" i="2" s="1"/>
  <c r="CB10" i="2"/>
  <c r="CB38" i="2"/>
  <c r="CA38" i="2"/>
  <c r="CC53" i="2"/>
  <c r="CB8" i="2"/>
  <c r="CA43" i="2"/>
  <c r="CC43" i="2" s="1"/>
  <c r="CB50" i="2"/>
  <c r="CC50" i="2" s="1"/>
  <c r="CC41" i="2"/>
  <c r="CB46" i="2"/>
  <c r="CC46" i="2" s="1"/>
  <c r="CA36" i="2"/>
  <c r="CC36" i="2" s="1"/>
  <c r="CA42" i="2"/>
  <c r="CC42" i="2" s="1"/>
  <c r="CC51" i="2"/>
  <c r="CA39" i="2"/>
  <c r="CC39" i="2" s="1"/>
  <c r="CC52" i="2"/>
  <c r="CC47" i="2"/>
  <c r="CA35" i="2"/>
  <c r="CC35" i="2" s="1"/>
  <c r="CC45" i="2"/>
  <c r="CA25" i="2"/>
  <c r="CC25" i="2" s="1"/>
  <c r="CA33" i="2"/>
  <c r="CC33" i="2" s="1"/>
  <c r="CA32" i="2"/>
  <c r="CC32" i="2" s="1"/>
  <c r="CB31" i="2"/>
  <c r="CC31" i="2" s="1"/>
  <c r="CC37" i="2"/>
  <c r="CA20" i="2"/>
  <c r="CC20" i="2" s="1"/>
  <c r="CB19" i="2"/>
  <c r="CC19" i="2" s="1"/>
  <c r="CB24" i="2"/>
  <c r="CC24" i="2" s="1"/>
  <c r="CA26" i="2"/>
  <c r="CC26" i="2" s="1"/>
  <c r="CB34" i="2"/>
  <c r="CC34" i="2" s="1"/>
  <c r="CA30" i="2"/>
  <c r="CC30" i="2" s="1"/>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10" i="2" l="1"/>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K54" i="2" s="1"/>
  <c r="CE51" i="2"/>
  <c r="L95" i="2" s="1"/>
  <c r="CE53" i="2"/>
  <c r="K95" i="2" s="1"/>
  <c r="CE44" i="2"/>
  <c r="L78" i="2" s="1"/>
  <c r="CE52" i="2"/>
  <c r="L94" i="2" s="1"/>
  <c r="CE24" i="2"/>
  <c r="CE50" i="2"/>
  <c r="K94" i="2" s="1"/>
  <c r="CE27" i="2"/>
  <c r="CE39" i="2"/>
  <c r="L71" i="2" s="1"/>
  <c r="CE36" i="2"/>
  <c r="L62" i="2" s="1"/>
  <c r="CE42" i="2"/>
  <c r="K78" i="2" s="1"/>
  <c r="CE7" i="2"/>
  <c r="CE25" i="2"/>
  <c r="CE20" i="2"/>
  <c r="CE47" i="2"/>
  <c r="L87" i="2" s="1"/>
  <c r="CE34" i="2"/>
  <c r="K62" i="2" s="1"/>
  <c r="CE6" i="2"/>
  <c r="L8" i="2" s="1"/>
  <c r="CE33" i="2"/>
  <c r="K55" i="2" s="1"/>
  <c r="CE11" i="2"/>
  <c r="CE15" i="2"/>
  <c r="CE32" i="2"/>
  <c r="L54" i="2" s="1"/>
  <c r="CE8" i="2"/>
  <c r="L9" i="2" s="1"/>
  <c r="CE31" i="2"/>
  <c r="L55" i="2" s="1"/>
  <c r="CE45" i="2"/>
  <c r="K79" i="2" s="1"/>
  <c r="CE12" i="2"/>
  <c r="CE22" i="2"/>
  <c r="CE37" i="2"/>
  <c r="K63" i="2" s="1"/>
  <c r="CE9" i="2"/>
  <c r="CE49" i="2"/>
  <c r="K87" i="2" s="1"/>
  <c r="CE28" i="2"/>
  <c r="CE21" i="2"/>
  <c r="CE48" i="2"/>
  <c r="L86" i="2" s="1"/>
  <c r="CE10" i="2"/>
  <c r="CE13" i="2"/>
  <c r="CE40" i="2"/>
  <c r="L70" i="2" s="1"/>
  <c r="CE38" i="2"/>
  <c r="K70" i="2" s="1"/>
  <c r="CE35" i="2"/>
  <c r="L63" i="2" s="1"/>
  <c r="CE16" i="2"/>
  <c r="CE26" i="2"/>
  <c r="CE19" i="2"/>
  <c r="CE18" i="2"/>
  <c r="CE41" i="2"/>
  <c r="K71" i="2" s="1"/>
  <c r="CE43" i="2"/>
  <c r="L79" i="2" s="1"/>
  <c r="CE14" i="2"/>
  <c r="CE46" i="2"/>
  <c r="K86" i="2" s="1"/>
  <c r="L31" i="2" l="1"/>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N71" i="2" s="1"/>
  <c r="CH7" i="2"/>
  <c r="O4" i="2" s="1"/>
  <c r="CH28" i="2"/>
  <c r="CH6" i="2"/>
  <c r="N4" i="2" s="1"/>
  <c r="CH34" i="2"/>
  <c r="N62" i="2" s="1"/>
  <c r="CH16" i="2"/>
  <c r="O25" i="2" s="1"/>
  <c r="CH44" i="2"/>
  <c r="O78" i="2" s="1"/>
  <c r="CH25" i="2"/>
  <c r="CH8" i="2"/>
  <c r="O9" i="2" s="1"/>
  <c r="CH45" i="2"/>
  <c r="N79" i="2" s="1"/>
  <c r="CH18" i="2"/>
  <c r="O32" i="2" s="1"/>
  <c r="CH23" i="2"/>
  <c r="N40" i="2" s="1"/>
  <c r="CH47" i="2"/>
  <c r="O87" i="2" s="1"/>
  <c r="CH32" i="2"/>
  <c r="O54" i="2" s="1"/>
  <c r="CH43" i="2"/>
  <c r="O79" i="2" s="1"/>
  <c r="CH49" i="2"/>
  <c r="N87" i="2" s="1"/>
  <c r="CH14" i="2"/>
  <c r="CH38" i="2"/>
  <c r="CH36" i="2"/>
  <c r="O62" i="2" s="1"/>
  <c r="CH46" i="2"/>
  <c r="N86" i="2" s="1"/>
  <c r="CH48" i="2"/>
  <c r="O86" i="2" s="1"/>
  <c r="CH24" i="2"/>
  <c r="CH31" i="2"/>
  <c r="O55" i="2" s="1"/>
  <c r="CH12" i="2"/>
  <c r="CH37" i="2"/>
  <c r="N63" i="2" s="1"/>
  <c r="CH35" i="2"/>
  <c r="O63" i="2" s="1"/>
  <c r="CH53" i="2"/>
  <c r="N95" i="2" s="1"/>
  <c r="CH17" i="2"/>
  <c r="CH19" i="2"/>
  <c r="CH52" i="2"/>
  <c r="CH51" i="2"/>
  <c r="O95" i="2" s="1"/>
  <c r="CH9" i="2"/>
  <c r="O5" i="2" s="1"/>
  <c r="CH30" i="2"/>
  <c r="N54" i="2" s="1"/>
  <c r="CH13" i="2"/>
  <c r="CH42" i="2"/>
  <c r="N78" i="2" s="1"/>
  <c r="CH27" i="2"/>
  <c r="CH40" i="2"/>
  <c r="N9" i="2"/>
  <c r="CH26" i="2"/>
  <c r="O49" i="2" s="1"/>
  <c r="CH11" i="2"/>
  <c r="N17" i="2" s="1"/>
  <c r="CH33" i="2"/>
  <c r="CH22" i="2"/>
  <c r="O41" i="2" s="1"/>
  <c r="CH21" i="2"/>
  <c r="N32" i="2" s="1"/>
  <c r="CH15" i="2"/>
  <c r="CH10" i="2"/>
  <c r="O16" i="2" s="1"/>
  <c r="CH39" i="2"/>
  <c r="CH29" i="2"/>
  <c r="N49" i="2" s="1"/>
  <c r="CH20" i="2"/>
  <c r="CH50" i="2"/>
  <c r="O30" i="2" l="1"/>
  <c r="O33" i="2"/>
  <c r="O31" i="2"/>
  <c r="N33" i="2"/>
  <c r="N39" i="2"/>
  <c r="N41" i="2"/>
  <c r="O38" i="2"/>
  <c r="O40" i="2"/>
  <c r="O8" i="2"/>
  <c r="O47" i="2"/>
  <c r="N48" i="2"/>
  <c r="CJ28" i="2"/>
  <c r="O48" i="2"/>
  <c r="O22" i="2"/>
  <c r="N25" i="2"/>
  <c r="N23" i="2"/>
  <c r="O24" i="2"/>
  <c r="N22" i="2"/>
  <c r="N24" i="2"/>
  <c r="O15" i="2"/>
  <c r="O17" i="2"/>
  <c r="N14" i="2"/>
  <c r="N16" i="2"/>
  <c r="N93" i="2"/>
  <c r="O94" i="2"/>
  <c r="N92" i="2"/>
  <c r="N94" i="2"/>
  <c r="CK41" i="2"/>
  <c r="O68" i="2"/>
  <c r="O71" i="2"/>
  <c r="N68" i="2"/>
  <c r="N70" i="2"/>
  <c r="N69" i="2"/>
  <c r="O70" i="2"/>
  <c r="O53" i="2"/>
  <c r="N55" i="2"/>
  <c r="O45" i="2"/>
  <c r="N47" i="2"/>
  <c r="O36" i="2"/>
  <c r="O39" i="2"/>
  <c r="CJ25" i="2" s="1"/>
  <c r="N36" i="2"/>
  <c r="N38" i="2"/>
  <c r="N44" i="2"/>
  <c r="N46" i="2"/>
  <c r="N45" i="2"/>
  <c r="O46" i="2"/>
  <c r="N7" i="2"/>
  <c r="O29" i="2"/>
  <c r="N31" i="2"/>
  <c r="CI16" i="2"/>
  <c r="O23" i="2"/>
  <c r="CK18" i="2"/>
  <c r="N30" i="2"/>
  <c r="CK20" i="2" s="1"/>
  <c r="O7" i="2"/>
  <c r="N12" i="2"/>
  <c r="N15" i="2"/>
  <c r="O12" i="2"/>
  <c r="CJ10" i="2" s="1"/>
  <c r="O14" i="2"/>
  <c r="CK28" i="2"/>
  <c r="O6" i="2"/>
  <c r="CJ48" i="2"/>
  <c r="N85" i="2"/>
  <c r="CI49" i="2"/>
  <c r="O85" i="2"/>
  <c r="CI28" i="2"/>
  <c r="CJ53" i="2"/>
  <c r="O93" i="2"/>
  <c r="CI52" i="2" s="1"/>
  <c r="CK51" i="2"/>
  <c r="O92" i="2"/>
  <c r="CK46" i="2"/>
  <c r="N84" i="2"/>
  <c r="CI47" i="2"/>
  <c r="O84" i="2"/>
  <c r="CJ45" i="2"/>
  <c r="O77" i="2"/>
  <c r="CI44" i="2" s="1"/>
  <c r="N77" i="2"/>
  <c r="CJ43" i="2"/>
  <c r="O76" i="2"/>
  <c r="CI42" i="2" s="1"/>
  <c r="N76" i="2"/>
  <c r="CK43" i="2" s="1"/>
  <c r="N5" i="2"/>
  <c r="CJ41" i="2"/>
  <c r="O69" i="2"/>
  <c r="CK40" i="2" s="1"/>
  <c r="CI32" i="2"/>
  <c r="N53" i="2"/>
  <c r="CI36" i="2"/>
  <c r="N61" i="2"/>
  <c r="CJ37" i="2" s="1"/>
  <c r="CK37" i="2"/>
  <c r="O61" i="2"/>
  <c r="O52" i="2"/>
  <c r="CJ30" i="2" s="1"/>
  <c r="N52" i="2"/>
  <c r="CJ31" i="2" s="1"/>
  <c r="O60" i="2"/>
  <c r="CJ34" i="2" s="1"/>
  <c r="N60" i="2"/>
  <c r="CJ35" i="2" s="1"/>
  <c r="CJ24" i="2"/>
  <c r="N37" i="2"/>
  <c r="CK25" i="2" s="1"/>
  <c r="O37" i="2"/>
  <c r="CI24" i="2" s="1"/>
  <c r="CI27" i="2"/>
  <c r="O44" i="2"/>
  <c r="CJ26" i="2" s="1"/>
  <c r="CI45" i="2"/>
  <c r="N29" i="2"/>
  <c r="CK45" i="2"/>
  <c r="CI8" i="2"/>
  <c r="CK17" i="2"/>
  <c r="O21" i="2"/>
  <c r="CJ16" i="2"/>
  <c r="N21" i="2"/>
  <c r="CI15" i="2"/>
  <c r="O20" i="2"/>
  <c r="CJ14" i="2" s="1"/>
  <c r="CI14" i="2"/>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K35" i="2"/>
  <c r="CJ9" i="2"/>
  <c r="CJ42" i="2"/>
  <c r="CI19" i="2"/>
  <c r="CK31" i="2"/>
  <c r="CI31" i="2"/>
  <c r="CK44" i="2"/>
  <c r="CK9" i="2"/>
  <c r="CI30" i="2"/>
  <c r="CK14" i="2"/>
  <c r="CI23" i="2"/>
  <c r="CJ23" i="2"/>
  <c r="CK23" i="2"/>
  <c r="CI37" i="2"/>
  <c r="CI38" i="2"/>
  <c r="CJ38" i="2"/>
  <c r="CK38" i="2"/>
  <c r="CJ40" i="2"/>
  <c r="CI40" i="2"/>
  <c r="CJ52" i="2"/>
  <c r="CK52" i="2"/>
  <c r="CI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I41" i="2" l="1"/>
  <c r="CL41" i="2" s="1"/>
  <c r="CL43" i="2"/>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Q78" i="2" s="1"/>
  <c r="CN37" i="2"/>
  <c r="CN32" i="2"/>
  <c r="CN45" i="2"/>
  <c r="CN53" i="2"/>
  <c r="CN18" i="2"/>
  <c r="R32" i="2" s="1"/>
  <c r="CN33" i="2"/>
  <c r="CN30" i="2"/>
  <c r="CN28" i="2"/>
  <c r="R48" i="2" s="1"/>
  <c r="CN36" i="2"/>
  <c r="CN24" i="2"/>
  <c r="R40" i="2" s="1"/>
  <c r="CN48" i="2"/>
  <c r="CN34" i="2"/>
  <c r="CN13" i="2"/>
  <c r="Q16" i="2" s="1"/>
  <c r="CN51" i="2"/>
  <c r="CN43" i="2"/>
  <c r="CN15" i="2"/>
  <c r="Q25" i="2" s="1"/>
  <c r="CN14" i="2"/>
  <c r="R24" i="2" s="1"/>
  <c r="CN40" i="2"/>
  <c r="CN26" i="2"/>
  <c r="R49" i="2" s="1"/>
  <c r="CN31" i="2"/>
  <c r="CN38" i="2"/>
  <c r="CN21" i="2"/>
  <c r="Q32" i="2" s="1"/>
  <c r="CN23" i="2"/>
  <c r="Q40" i="2" s="1"/>
  <c r="CN17" i="2"/>
  <c r="Q24" i="2" s="1"/>
  <c r="CN20" i="2"/>
  <c r="R33" i="2" s="1"/>
  <c r="CN35" i="2"/>
  <c r="CN44" i="2"/>
  <c r="CN25" i="2"/>
  <c r="Q41" i="2" s="1"/>
  <c r="CN39" i="2"/>
  <c r="CN52" i="2"/>
  <c r="CN47" i="2"/>
  <c r="CN50" i="2"/>
  <c r="CN16" i="2"/>
  <c r="R25" i="2" s="1"/>
  <c r="CN12" i="2"/>
  <c r="R17" i="2" s="1"/>
  <c r="CN22" i="2"/>
  <c r="R41" i="2" s="1"/>
  <c r="CN19" i="2"/>
  <c r="Q33" i="2" s="1"/>
  <c r="CN49" i="2"/>
  <c r="CN41" i="2"/>
  <c r="CN8" i="2"/>
  <c r="CN9" i="2"/>
  <c r="CN10" i="2"/>
  <c r="R16" i="2" s="1"/>
  <c r="CN6" i="2"/>
  <c r="Q4" i="2" s="1"/>
  <c r="CN7" i="2"/>
  <c r="R4" i="2" s="1"/>
  <c r="CN46" i="2"/>
  <c r="CN11" i="2"/>
  <c r="Q17" i="2" s="1"/>
  <c r="R47" i="2" l="1"/>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CP39" i="2" s="1"/>
  <c r="Q68" i="2"/>
  <c r="Q70" i="2"/>
  <c r="Q69" i="2"/>
  <c r="R70" i="2"/>
  <c r="Q77" i="2"/>
  <c r="R78" i="2"/>
  <c r="R52" i="2"/>
  <c r="R55" i="2"/>
  <c r="R53" i="2"/>
  <c r="Q55" i="2"/>
  <c r="R60" i="2"/>
  <c r="R63" i="2"/>
  <c r="CP37" i="2" s="1"/>
  <c r="R61" i="2"/>
  <c r="Q63" i="2"/>
  <c r="Q53" i="2"/>
  <c r="R54" i="2"/>
  <c r="Q52" i="2"/>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CP19" i="2" s="1"/>
  <c r="Q30" i="2"/>
  <c r="Q29" i="2"/>
  <c r="R30" i="2"/>
  <c r="Q12" i="2"/>
  <c r="Q15" i="2"/>
  <c r="Q13" i="2"/>
  <c r="CO13" i="2" s="1"/>
  <c r="R15" i="2"/>
  <c r="R12" i="2"/>
  <c r="R14" i="2"/>
  <c r="R13" i="2"/>
  <c r="Q14" i="2"/>
  <c r="CP42" i="2"/>
  <c r="Q76" i="2"/>
  <c r="CO43" i="2" s="1"/>
  <c r="CP29" i="2"/>
  <c r="R45" i="2"/>
  <c r="R44" i="2"/>
  <c r="CO42" i="2"/>
  <c r="CO29" i="2"/>
  <c r="CQ29" i="2" s="1"/>
  <c r="R8" i="2"/>
  <c r="Q7" i="2"/>
  <c r="Q8" i="2"/>
  <c r="R5" i="2"/>
  <c r="CO8" i="2" s="1"/>
  <c r="Q6" i="2"/>
  <c r="CP7" i="2" s="1"/>
  <c r="CO33" i="2"/>
  <c r="CP33" i="2"/>
  <c r="CP16" i="2"/>
  <c r="CO16" i="2"/>
  <c r="CO36" i="2"/>
  <c r="CP36" i="2"/>
  <c r="R6" i="2"/>
  <c r="Q9" i="2"/>
  <c r="CO47" i="2"/>
  <c r="CP47" i="2"/>
  <c r="R9" i="2"/>
  <c r="Q5" i="2"/>
  <c r="R7" i="2"/>
  <c r="CO18" i="2"/>
  <c r="CP18" i="2"/>
  <c r="CO53" i="2"/>
  <c r="CP53" i="2"/>
  <c r="CP24" i="2"/>
  <c r="CO24" i="2"/>
  <c r="CP31" i="2"/>
  <c r="CO31" i="2"/>
  <c r="CP49" i="2"/>
  <c r="CO49" i="2"/>
  <c r="CO35" i="2"/>
  <c r="CP35" i="2"/>
  <c r="CP13" i="2"/>
  <c r="CO45" i="2"/>
  <c r="CP45" i="2"/>
  <c r="CP46" i="2"/>
  <c r="CO46" i="2"/>
  <c r="CO50" i="2"/>
  <c r="CP28" i="2"/>
  <c r="CO28" i="2"/>
  <c r="CP51" i="2"/>
  <c r="CO51" i="2"/>
  <c r="CO22" i="2"/>
  <c r="CP22" i="2"/>
  <c r="CP17" i="2"/>
  <c r="CO17" i="2"/>
  <c r="CP34" i="2"/>
  <c r="CO34" i="2"/>
  <c r="CP12" i="2"/>
  <c r="CP48" i="2"/>
  <c r="CO48" i="2"/>
  <c r="CO21" i="2"/>
  <c r="CP21" i="2"/>
  <c r="CO6" i="2"/>
  <c r="CP44" i="2" l="1"/>
  <c r="CQ44" i="2" s="1"/>
  <c r="CO40" i="2"/>
  <c r="CP20" i="2"/>
  <c r="CP11" i="2"/>
  <c r="CP32" i="2"/>
  <c r="CP41" i="2"/>
  <c r="CP38" i="2"/>
  <c r="CO52" i="2"/>
  <c r="CQ52" i="2" s="1"/>
  <c r="CO32" i="2"/>
  <c r="CO20" i="2"/>
  <c r="CP50" i="2"/>
  <c r="CQ50" i="2" s="1"/>
  <c r="CO23" i="2"/>
  <c r="CQ23" i="2" s="1"/>
  <c r="CO19" i="2"/>
  <c r="CQ19" i="2" s="1"/>
  <c r="CP43" i="2"/>
  <c r="CQ43" i="2" s="1"/>
  <c r="CO37" i="2"/>
  <c r="CQ37" i="2" s="1"/>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36" i="2"/>
  <c r="CQ31" i="2"/>
  <c r="CQ49" i="2"/>
  <c r="CQ53" i="2"/>
  <c r="CQ48" i="2"/>
  <c r="CQ17" i="2"/>
  <c r="CQ28" i="2"/>
  <c r="CQ18" i="2"/>
  <c r="CO9" i="2"/>
  <c r="CQ35" i="2"/>
  <c r="CQ24" i="2"/>
  <c r="CQ47" i="2"/>
  <c r="CP9" i="2"/>
  <c r="CQ22" i="2"/>
  <c r="CQ13" i="2"/>
  <c r="CQ21" i="2"/>
  <c r="CQ34" i="2"/>
  <c r="CQ51" i="2"/>
  <c r="CQ46" i="2"/>
  <c r="CQ45" i="2"/>
  <c r="CQ33" i="2"/>
  <c r="CQ40" i="2" l="1"/>
  <c r="CQ20" i="2"/>
  <c r="CQ11" i="2"/>
  <c r="CQ41" i="2"/>
  <c r="CQ32" i="2"/>
  <c r="CQ38" i="2"/>
  <c r="CQ26" i="2"/>
  <c r="CQ15" i="2"/>
  <c r="CQ14" i="2"/>
  <c r="CQ30" i="2"/>
  <c r="CQ10" i="2"/>
  <c r="CR19" i="2" s="1"/>
  <c r="CR44" i="2"/>
  <c r="CQ9" i="2"/>
  <c r="CR25" i="2" s="1"/>
  <c r="CR20" i="2"/>
  <c r="CR43" i="2"/>
  <c r="CR50" i="2"/>
  <c r="CR13" i="2" l="1"/>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T87" i="2" s="1"/>
  <c r="CS26" i="2"/>
  <c r="CS52" i="2"/>
  <c r="U94" i="2" s="1"/>
  <c r="CS53" i="2"/>
  <c r="T95" i="2" s="1"/>
  <c r="CS41" i="2"/>
  <c r="T71" i="2" s="1"/>
  <c r="CS29" i="2"/>
  <c r="CS8" i="2"/>
  <c r="U7" i="2" s="1"/>
  <c r="CS31" i="2"/>
  <c r="U55" i="2" s="1"/>
  <c r="CS39" i="2"/>
  <c r="U71" i="2" s="1"/>
  <c r="CS28" i="2"/>
  <c r="CS44" i="2"/>
  <c r="U78" i="2" s="1"/>
  <c r="CS20" i="2"/>
  <c r="CS21" i="2"/>
  <c r="CS38" i="2"/>
  <c r="T70" i="2" s="1"/>
  <c r="CS30" i="2"/>
  <c r="T54" i="2" s="1"/>
  <c r="CS32" i="2"/>
  <c r="U54" i="2" s="1"/>
  <c r="CS17" i="2"/>
  <c r="CS7" i="2"/>
  <c r="U4" i="2" s="1"/>
  <c r="CS23" i="2"/>
  <c r="CS48" i="2"/>
  <c r="U86" i="2" s="1"/>
  <c r="CS12" i="2"/>
  <c r="CS34" i="2"/>
  <c r="T62" i="2" s="1"/>
  <c r="CS16" i="2"/>
  <c r="CS10" i="2"/>
  <c r="CS9" i="2"/>
  <c r="T6" i="2" s="1"/>
  <c r="CS40" i="2"/>
  <c r="U70" i="2" s="1"/>
  <c r="CS6" i="2"/>
  <c r="T7" i="2" s="1"/>
  <c r="CS11" i="2"/>
  <c r="CS27" i="2"/>
  <c r="CS46" i="2"/>
  <c r="T86" i="2" s="1"/>
  <c r="CS42" i="2"/>
  <c r="T78" i="2" s="1"/>
  <c r="CS25" i="2"/>
  <c r="CS19" i="2"/>
  <c r="CS33" i="2"/>
  <c r="T55" i="2" s="1"/>
  <c r="CS13" i="2"/>
  <c r="CS37" i="2"/>
  <c r="T63" i="2" s="1"/>
  <c r="CS36" i="2"/>
  <c r="U62" i="2" s="1"/>
  <c r="CS51" i="2"/>
  <c r="U95" i="2" s="1"/>
  <c r="CS50" i="2"/>
  <c r="T94" i="2" s="1"/>
  <c r="CS45" i="2"/>
  <c r="T79" i="2" s="1"/>
  <c r="CS24" i="2"/>
  <c r="CS47" i="2"/>
  <c r="U87" i="2" s="1"/>
  <c r="CS43" i="2"/>
  <c r="U79" i="2" s="1"/>
  <c r="CS35" i="2"/>
  <c r="U63" i="2" s="1"/>
  <c r="CS22" i="2"/>
  <c r="U31" i="2" l="1"/>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T12" i="2"/>
  <c r="T9" i="2"/>
  <c r="U8" i="2"/>
  <c r="T8" i="2"/>
  <c r="U6" i="2"/>
  <c r="U9" i="2"/>
  <c r="T5" i="2"/>
  <c r="CT6" i="2"/>
  <c r="T4" i="2"/>
  <c r="CT7" i="2" s="1"/>
  <c r="CT11" i="2" l="1"/>
  <c r="CT10" i="2"/>
  <c r="CT9" i="2"/>
  <c r="CU34" i="2" s="1"/>
  <c r="CU22" i="2"/>
  <c r="CU17" i="2"/>
  <c r="CU15" i="2"/>
  <c r="CU41" i="2"/>
  <c r="CU28" i="2"/>
  <c r="CU50" i="2"/>
  <c r="CU14" i="2"/>
  <c r="CU16" i="2"/>
  <c r="CU26" i="2"/>
  <c r="CU52" i="2"/>
  <c r="CU38" i="2"/>
  <c r="CU29" i="2"/>
  <c r="CU18" i="2"/>
  <c r="CU8" i="2"/>
  <c r="CU37" i="2" l="1"/>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21" i="2" l="1"/>
  <c r="AU33" i="2" s="1"/>
  <c r="DL18" i="2"/>
  <c r="AU30" i="2" s="1"/>
  <c r="DL20" i="2"/>
  <c r="AU32" i="2" s="1"/>
  <c r="DL19" i="2"/>
  <c r="AU31" i="2" s="1"/>
  <c r="AU29" i="2" s="1"/>
  <c r="AV28"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31" i="2"/>
  <c r="DN20" i="2" a="1"/>
  <c r="DN20" i="2" s="1"/>
  <c r="DM20" i="2"/>
  <c r="DN32" i="2" a="1"/>
  <c r="DN32" i="2" s="1"/>
  <c r="DM32" i="2"/>
  <c r="DN43" i="2" a="1"/>
  <c r="DN43" i="2" s="1"/>
  <c r="DM43" i="2"/>
  <c r="DN39" i="2" a="1"/>
  <c r="DN39" i="2" s="1"/>
  <c r="DM39" i="2"/>
  <c r="DM21" i="2"/>
  <c r="DN21" i="2" a="1"/>
  <c r="DN21" i="2" s="1"/>
  <c r="DN23" i="2" a="1"/>
  <c r="DN23" i="2" s="1"/>
  <c r="DM23" i="2"/>
  <c r="DN44" i="2" a="1"/>
  <c r="DN44" i="2" s="1"/>
  <c r="DM44" i="2"/>
  <c r="DM51" i="2"/>
  <c r="DN51" i="2" a="1"/>
  <c r="DN51" i="2" s="1"/>
  <c r="DM38" i="2"/>
  <c r="DN38" i="2" a="1"/>
  <c r="DN38" i="2" s="1"/>
  <c r="DN35" i="2" a="1"/>
  <c r="DN35" i="2" s="1"/>
  <c r="DM35" i="2"/>
  <c r="DN36" i="2" a="1"/>
  <c r="DN36" i="2" s="1"/>
  <c r="DM36" i="2"/>
  <c r="DN41" i="2" a="1"/>
  <c r="DN41" i="2" s="1"/>
  <c r="DM41" i="2"/>
  <c r="DM18" i="2"/>
  <c r="DN18" i="2" a="1"/>
  <c r="DN18" i="2" s="1"/>
  <c r="DN47" i="2" a="1"/>
  <c r="DN47" i="2" s="1"/>
  <c r="DM47" i="2"/>
  <c r="DM40" i="2"/>
  <c r="DN40" i="2" a="1"/>
  <c r="DN40" i="2" s="1"/>
  <c r="DM48" i="2"/>
  <c r="DN48" i="2" a="1"/>
  <c r="DN48" i="2" s="1"/>
  <c r="DM33" i="2"/>
  <c r="DN33" i="2" a="1"/>
  <c r="DN33" i="2" s="1"/>
  <c r="DN37" i="2" a="1"/>
  <c r="DN37" i="2" s="1"/>
  <c r="DM37" i="2"/>
  <c r="DN19" i="2" a="1"/>
  <c r="DN19" i="2" s="1"/>
  <c r="DM19" i="2"/>
  <c r="DM45" i="2"/>
  <c r="DN45" i="2" a="1"/>
  <c r="DN45" i="2" s="1"/>
  <c r="DM34" i="2"/>
  <c r="DN34" i="2" a="1"/>
  <c r="DN34" i="2" s="1"/>
  <c r="DM42" i="2"/>
  <c r="DN42" i="2" a="1"/>
  <c r="DN42" i="2" s="1"/>
  <c r="DM53" i="2"/>
  <c r="DN53" i="2" a="1"/>
  <c r="DN53" i="2" s="1"/>
  <c r="DM50" i="2"/>
  <c r="DN50" i="2" a="1"/>
  <c r="DN50" i="2" s="1"/>
  <c r="DM52" i="2"/>
  <c r="DN52" i="2" a="1"/>
  <c r="DN52" i="2" s="1"/>
  <c r="DN49" i="2" a="1"/>
  <c r="DN49" i="2" s="1"/>
  <c r="DM49" i="2"/>
  <c r="DN30" i="2" a="1"/>
  <c r="DN30" i="2" s="1"/>
  <c r="DM30" i="2"/>
  <c r="DN46" i="2" a="1"/>
  <c r="DN46" i="2" s="1"/>
  <c r="DM46" i="2"/>
  <c r="DM22" i="2" l="1"/>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M113" i="2" s="1"/>
  <c r="AA113" i="2" s="1"/>
  <c r="BH65" i="2"/>
  <c r="AL25" i="2"/>
  <c r="BD61" i="2"/>
  <c r="AL30" i="2"/>
  <c r="M109" i="2" s="1"/>
  <c r="AA110" i="2" s="1"/>
  <c r="BJ67" i="2"/>
  <c r="BK59" i="2"/>
  <c r="BI64" i="2"/>
  <c r="BI60" i="2"/>
  <c r="AL22" i="2"/>
  <c r="M104" i="2" s="1"/>
  <c r="AA102" i="2" s="1"/>
  <c r="AL46" i="2"/>
  <c r="M103" i="2" s="1"/>
  <c r="AA104" i="2" s="1"/>
  <c r="BG67" i="2"/>
  <c r="BH59" i="2"/>
  <c r="BI67" i="2"/>
  <c r="AL64" i="2"/>
  <c r="BG68" i="2"/>
  <c r="AL95" i="2"/>
  <c r="BG65" i="2"/>
  <c r="BH69" i="2"/>
  <c r="AL23" i="2"/>
  <c r="N103" i="2" s="1"/>
  <c r="AF104" i="2" s="1"/>
  <c r="AL86" i="2"/>
  <c r="BK66" i="2"/>
  <c r="BI59" i="2"/>
  <c r="BJ65" i="2"/>
  <c r="BG64" i="2"/>
  <c r="BI61" i="2"/>
  <c r="BG63" i="2"/>
  <c r="AL16" i="2"/>
  <c r="BD59" i="2"/>
  <c r="AL24" i="2"/>
  <c r="BK63" i="2"/>
  <c r="BH62" i="2"/>
  <c r="AL15" i="2"/>
  <c r="N101" i="2" s="1"/>
  <c r="AF101" i="2" s="1"/>
  <c r="AL49" i="2"/>
  <c r="BG62" i="2"/>
  <c r="BG59" i="2"/>
  <c r="AL65" i="2"/>
  <c r="BD62" i="2"/>
  <c r="BH66" i="2"/>
  <c r="AL55" i="2"/>
  <c r="AL41" i="2"/>
  <c r="BD65" i="2"/>
  <c r="AL40" i="2"/>
  <c r="AL96" i="2"/>
  <c r="AL62" i="2"/>
  <c r="BI68" i="2"/>
  <c r="AL63" i="2"/>
  <c r="BD60" i="2"/>
  <c r="BH67" i="2"/>
  <c r="BH63" i="2"/>
  <c r="AL48" i="2"/>
  <c r="AL88" i="2"/>
  <c r="AL56" i="2"/>
  <c r="AL47" i="2"/>
  <c r="N104" i="2" s="1"/>
  <c r="AF102" i="2" s="1"/>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B177" i="3" l="1"/>
  <c r="C177" i="3"/>
  <c r="C143" i="3"/>
  <c r="AA42" i="4"/>
  <c r="AA21" i="4"/>
  <c r="C139" i="3"/>
  <c r="B173" i="3"/>
  <c r="C173" i="3"/>
  <c r="B168" i="3"/>
  <c r="AA30" i="4"/>
  <c r="C134" i="3"/>
  <c r="C168" i="3"/>
  <c r="C132" i="3"/>
  <c r="AA3" i="4"/>
  <c r="C166" i="3"/>
  <c r="B166" i="3"/>
  <c r="AA12" i="4"/>
  <c r="C133" i="3"/>
  <c r="C147" i="3"/>
  <c r="AA28" i="4"/>
  <c r="C165" i="3"/>
  <c r="B165" i="3"/>
  <c r="C131" i="3"/>
  <c r="AA27" i="4"/>
  <c r="C167" i="3"/>
  <c r="B167" i="3"/>
  <c r="C149" i="3"/>
  <c r="AA13" i="4"/>
  <c r="C142" i="3"/>
  <c r="AA45" i="4"/>
  <c r="B176" i="3"/>
  <c r="C176" i="3"/>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<sst xmlns="http://schemas.openxmlformats.org/spreadsheetml/2006/main" count="6754" uniqueCount="1516">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</sst>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5"/>
  <sheetViews>
    <sheetView showGridLines="0" showRowColHeaders="0" tabSelected="1" zoomScaleNormal="100" workbookViewId="0">
      <selection activeCell="AH36" sqref="AH3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9" zoomScaleNormal="100" workbookViewId="0">
      <selection activeCell="AH36" sqref="AH36"/>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19"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28"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5"/>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5"/>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5"/>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5"/>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6"/>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37"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5"/>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5"/>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5"/>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5"/>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6"/>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6"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5"/>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5"/>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5"/>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5"/>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6"/>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27"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5"/>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5"/>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2</v>
      </c>
      <c r="BF30" s="16">
        <f t="shared" ca="1" si="17"/>
        <v>2</v>
      </c>
      <c r="BG30" s="16">
        <f t="shared" ca="1" si="18"/>
        <v>0</v>
      </c>
      <c r="BH30" s="16">
        <f t="shared" ca="1" si="19"/>
        <v>2</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2</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P.2 (2)</v>
      </c>
      <c r="BU30" s="16">
        <f t="shared" ca="1" si="28"/>
        <v>0</v>
      </c>
      <c r="BV30" s="16">
        <f t="shared" ca="1" si="29"/>
        <v>1</v>
      </c>
      <c r="BW30" s="16">
        <f t="shared" ca="1" si="30"/>
        <v>0</v>
      </c>
      <c r="BX30" s="16">
        <f t="shared" ca="1" si="31"/>
        <v>1</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P.2 (2)</v>
      </c>
      <c r="CA30" s="16">
        <f t="shared" ca="1" si="32"/>
        <v>0</v>
      </c>
      <c r="CB30" s="16">
        <f t="shared" ca="1" si="33"/>
        <v>0</v>
      </c>
      <c r="CC30" s="16">
        <f t="shared" ca="1" si="34"/>
        <v>0</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P.2 (2)</v>
      </c>
      <c r="CF30" s="16">
        <f t="shared" ca="1" si="35"/>
        <v>0</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P.2 (2)</v>
      </c>
      <c r="CI30" s="16">
        <f t="shared" ca="1" si="36"/>
        <v>0</v>
      </c>
      <c r="CJ30" s="16">
        <f t="shared" ca="1" si="37"/>
        <v>1</v>
      </c>
      <c r="CK30" s="16">
        <f t="shared" ca="1" si="38"/>
        <v>0</v>
      </c>
      <c r="CL30" s="16">
        <f t="shared" ca="1" si="39"/>
        <v>1</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P.2 (2)</v>
      </c>
      <c r="CO30" s="16">
        <f t="shared" ca="1" si="40"/>
        <v>0</v>
      </c>
      <c r="CP30" s="16">
        <f t="shared" ca="1" si="41"/>
        <v>0</v>
      </c>
      <c r="CQ30" s="16">
        <f t="shared" ca="1" si="42"/>
        <v>0</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P.2 (2)</v>
      </c>
      <c r="CT30" s="16">
        <f t="shared" ca="1" si="43"/>
        <v>0</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P.2 (2)</v>
      </c>
      <c r="CW30" s="16">
        <f t="shared" ca="1" si="44"/>
        <v>0</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P.2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3</v>
      </c>
      <c r="DE30" s="16"/>
      <c r="DF30" s="16">
        <f t="shared" ca="1" si="46"/>
        <v>3</v>
      </c>
      <c r="DG30" s="16" t="str">
        <f ca="1">IF(DB30="-","-",COUNTIFS(DF$6:DF$53,"&lt;"&amp;DF30,$BC$6:$BC$53,INDEX(T_Equipos[Grupo],MATCH(BD30,T_Equipos[NombreEquipo],0))))</f>
        <v>-</v>
      </c>
      <c r="DH30" s="16">
        <f ca="1">DA30+COUNTIFS(DB$6:DB$53,DB30,DG$6:DG$53,"&lt;"&amp;DG30,$BC$6:$BC$53,INDEX(T_Equipos[Grupo],MATCH(BD30,T_Equipos[NombreEquipo],0)))</f>
        <v>3</v>
      </c>
      <c r="DI30" s="16"/>
      <c r="DJ30" s="16">
        <f t="shared" ca="1" si="47"/>
        <v>1</v>
      </c>
      <c r="DK30" s="16">
        <f t="shared" ca="1" si="48"/>
        <v>8</v>
      </c>
      <c r="DL30" s="16">
        <f t="shared" ca="1" si="49"/>
        <v>1</v>
      </c>
      <c r="DM30" s="16" t="str">
        <f t="shared" ca="1" si="50"/>
        <v>1.1</v>
      </c>
      <c r="DN30" s="16">
        <f t="array" aca="1" ref="DN30" ca="1">OFFSET(Horarios!$P$3,DJ30-1,0,DL30,1)</f>
        <v>1</v>
      </c>
      <c r="DO30" s="16"/>
      <c r="DP30" s="16" t="s">
        <v>97</v>
      </c>
      <c r="DQ30" s="16" t="str">
        <f t="shared" ca="1" si="51"/>
        <v>Egipto</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5"/>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2</v>
      </c>
      <c r="BG31" s="16">
        <f t="shared" ca="1" si="18"/>
        <v>1</v>
      </c>
      <c r="BH31" s="16">
        <f t="shared" ca="1" si="19"/>
        <v>1</v>
      </c>
      <c r="BI31" s="16">
        <f t="shared" ca="1" si="20"/>
        <v>0</v>
      </c>
      <c r="BJ31" s="16">
        <f t="shared" ca="1" si="21"/>
        <v>4</v>
      </c>
      <c r="BK31" s="16">
        <f t="shared" ca="1" si="22"/>
        <v>2</v>
      </c>
      <c r="BL31" s="16">
        <f t="shared" ca="1" si="23"/>
        <v>2</v>
      </c>
      <c r="BM31" s="16" t="str">
        <f t="shared" ca="1" si="24"/>
        <v>1G</v>
      </c>
      <c r="BN31" s="16" t="str">
        <f t="shared" ca="1" si="25"/>
        <v>1G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46"/>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47"/>
        <v>2</v>
      </c>
      <c r="DK31" s="16">
        <f t="shared" ca="1" si="48"/>
        <v>8</v>
      </c>
      <c r="DL31" s="16">
        <f t="shared" ca="1" si="49"/>
        <v>1</v>
      </c>
      <c r="DM31" s="16" t="str">
        <f t="shared" ca="1" si="50"/>
        <v>2.1</v>
      </c>
      <c r="DN31" s="16">
        <f t="array" aca="1" ref="DN31" ca="1">OFFSET(Horarios!$P$3,DJ31-1,0,DL31,1)</f>
        <v>2</v>
      </c>
      <c r="DO31" s="16"/>
      <c r="DP31" s="16" t="s">
        <v>98</v>
      </c>
      <c r="DQ31" s="16" t="str">
        <f t="shared" ca="1" si="51"/>
        <v>Irán</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5"/>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2</v>
      </c>
      <c r="BF32" s="16">
        <f t="shared" ca="1" si="17"/>
        <v>2</v>
      </c>
      <c r="BG32" s="16">
        <f t="shared" ca="1" si="18"/>
        <v>0</v>
      </c>
      <c r="BH32" s="16">
        <f t="shared" ca="1" si="19"/>
        <v>2</v>
      </c>
      <c r="BI32" s="16">
        <f t="shared" ca="1" si="20"/>
        <v>0</v>
      </c>
      <c r="BJ32" s="16">
        <f t="shared" ca="1" si="21"/>
        <v>2</v>
      </c>
      <c r="BK32" s="16">
        <f t="shared" ca="1" si="22"/>
        <v>2</v>
      </c>
      <c r="BL32" s="16">
        <f t="shared" ca="1" si="23"/>
        <v>0</v>
      </c>
      <c r="BM32" s="16" t="str">
        <f t="shared" ca="1" si="24"/>
        <v>2G</v>
      </c>
      <c r="BN32" s="16" t="str">
        <f t="shared" ca="1" si="25"/>
        <v>2G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2</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0</v>
      </c>
      <c r="CB32" s="16">
        <f t="shared" ca="1" si="33"/>
        <v>0</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0</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0</v>
      </c>
      <c r="CP32" s="16">
        <f t="shared" ca="1" si="41"/>
        <v>0</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0</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45"/>
        <v>2</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46"/>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47"/>
        <v>3</v>
      </c>
      <c r="DK32" s="16">
        <f t="shared" ca="1" si="48"/>
        <v>8</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6"/>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2</v>
      </c>
      <c r="BG33" s="16">
        <f t="shared" ca="1" si="18"/>
        <v>0</v>
      </c>
      <c r="BH33" s="16">
        <f t="shared" ca="1" si="19"/>
        <v>1</v>
      </c>
      <c r="BI33" s="16">
        <f t="shared" ca="1" si="20"/>
        <v>1</v>
      </c>
      <c r="BJ33" s="16">
        <f t="shared" ca="1" si="21"/>
        <v>3</v>
      </c>
      <c r="BK33" s="16">
        <f t="shared" ca="1" si="22"/>
        <v>5</v>
      </c>
      <c r="BL33" s="16">
        <f t="shared" ca="1" si="23"/>
        <v>-2</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8</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4</v>
      </c>
      <c r="BF34" s="16">
        <f t="shared" ca="1" si="17"/>
        <v>2</v>
      </c>
      <c r="BG34" s="16">
        <f t="shared" ca="1" si="18"/>
        <v>1</v>
      </c>
      <c r="BH34" s="16">
        <f t="shared" ca="1" si="19"/>
        <v>1</v>
      </c>
      <c r="BI34" s="16">
        <f t="shared" ca="1" si="20"/>
        <v>0</v>
      </c>
      <c r="BJ34" s="16">
        <f t="shared" ca="1" si="21"/>
        <v>4</v>
      </c>
      <c r="BK34" s="16">
        <f t="shared" ca="1" si="22"/>
        <v>0</v>
      </c>
      <c r="BL34" s="16">
        <f t="shared" ca="1" si="23"/>
        <v>4</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8</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2</v>
      </c>
      <c r="BF35" s="16">
        <f t="shared" ca="1" si="17"/>
        <v>2</v>
      </c>
      <c r="BG35" s="16">
        <f t="shared" ca="1" si="18"/>
        <v>0</v>
      </c>
      <c r="BH35" s="16">
        <f t="shared" ca="1" si="19"/>
        <v>2</v>
      </c>
      <c r="BI35" s="16">
        <f t="shared" ca="1" si="20"/>
        <v>0</v>
      </c>
      <c r="BJ35" s="16">
        <f t="shared" ca="1" si="21"/>
        <v>2</v>
      </c>
      <c r="BK35" s="16">
        <f t="shared" ca="1" si="22"/>
        <v>2</v>
      </c>
      <c r="BL35" s="16">
        <f t="shared" ca="1" si="23"/>
        <v>0</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2</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(2)</v>
      </c>
      <c r="BU35" s="16">
        <f t="shared" ca="1" si="28"/>
        <v>0</v>
      </c>
      <c r="BV35" s="16">
        <f t="shared" ca="1" si="29"/>
        <v>1</v>
      </c>
      <c r="BW35" s="16">
        <f t="shared" ca="1" si="30"/>
        <v>0</v>
      </c>
      <c r="BX35" s="16">
        <f t="shared" ca="1" si="31"/>
        <v>1</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P.2 (2)</v>
      </c>
      <c r="CA35" s="16">
        <f t="shared" ca="1" si="32"/>
        <v>2</v>
      </c>
      <c r="CB35" s="16">
        <f t="shared" ca="1" si="33"/>
        <v>2</v>
      </c>
      <c r="CC35" s="16">
        <f t="shared" ca="1" si="34"/>
        <v>0</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P.2 (2)</v>
      </c>
      <c r="CF35" s="16">
        <f t="shared" ca="1" si="35"/>
        <v>2</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P.2 (2)</v>
      </c>
      <c r="CI35" s="16">
        <f t="shared" ca="1" si="36"/>
        <v>0</v>
      </c>
      <c r="CJ35" s="16">
        <f t="shared" ca="1" si="37"/>
        <v>1</v>
      </c>
      <c r="CK35" s="16">
        <f t="shared" ca="1" si="38"/>
        <v>0</v>
      </c>
      <c r="CL35" s="16">
        <f t="shared" ca="1" si="39"/>
        <v>1</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P.2 (2)</v>
      </c>
      <c r="CO35" s="16">
        <f t="shared" ca="1" si="40"/>
        <v>2</v>
      </c>
      <c r="CP35" s="16">
        <f t="shared" ca="1" si="41"/>
        <v>2</v>
      </c>
      <c r="CQ35" s="16">
        <f t="shared" ca="1" si="42"/>
        <v>0</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P.2 (2)</v>
      </c>
      <c r="CT35" s="16">
        <f t="shared" ca="1" si="43"/>
        <v>2</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P.2 (2)</v>
      </c>
      <c r="CW35" s="16">
        <f t="shared" ca="1" si="44"/>
        <v>0</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P.2 (2)</v>
      </c>
      <c r="CZ35" s="16">
        <f t="shared" ca="1" si="45"/>
        <v>2</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8</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1"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2</v>
      </c>
      <c r="BG36" s="16">
        <f t="shared" ca="1" si="18"/>
        <v>0</v>
      </c>
      <c r="BH36" s="16">
        <f t="shared" ca="1" si="19"/>
        <v>1</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8</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5"/>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2</v>
      </c>
      <c r="BG37" s="16">
        <f t="shared" ca="1" si="18"/>
        <v>0</v>
      </c>
      <c r="BH37" s="16">
        <f t="shared" ca="1" si="19"/>
        <v>2</v>
      </c>
      <c r="BI37" s="16">
        <f t="shared" ca="1" si="20"/>
        <v>0</v>
      </c>
      <c r="BJ37" s="16">
        <f t="shared" ca="1" si="21"/>
        <v>3</v>
      </c>
      <c r="BK37" s="16">
        <f t="shared" ca="1" si="22"/>
        <v>3</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8"/>
        <v>0</v>
      </c>
      <c r="BV37" s="16">
        <f t="shared" ca="1" si="29"/>
        <v>1</v>
      </c>
      <c r="BW37" s="16">
        <f t="shared" ca="1" si="30"/>
        <v>0</v>
      </c>
      <c r="BX37" s="16">
        <f t="shared" ca="1" si="31"/>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32"/>
        <v>2</v>
      </c>
      <c r="CB37" s="16">
        <f t="shared" ca="1" si="33"/>
        <v>2</v>
      </c>
      <c r="CC37" s="16">
        <f t="shared" ca="1" si="34"/>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35"/>
        <v>2</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6"/>
        <v>0</v>
      </c>
      <c r="CJ37" s="16">
        <f t="shared" ca="1" si="37"/>
        <v>1</v>
      </c>
      <c r="CK37" s="16">
        <f t="shared" ca="1" si="38"/>
        <v>0</v>
      </c>
      <c r="CL37" s="16">
        <f t="shared" ca="1" si="39"/>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40"/>
        <v>2</v>
      </c>
      <c r="CP37" s="16">
        <f t="shared" ca="1" si="41"/>
        <v>2</v>
      </c>
      <c r="CQ37" s="16">
        <f t="shared" ca="1" si="42"/>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43"/>
        <v>2</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44"/>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P.2 (2)</v>
      </c>
      <c r="CZ37" s="16">
        <f t="shared" ca="1" si="45"/>
        <v>3</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8</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5"/>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6</v>
      </c>
      <c r="BF38" s="16">
        <f t="shared" ca="1" si="17"/>
        <v>2</v>
      </c>
      <c r="BG38" s="16">
        <f t="shared" ca="1" si="18"/>
        <v>2</v>
      </c>
      <c r="BH38" s="16">
        <f t="shared" ca="1" si="19"/>
        <v>0</v>
      </c>
      <c r="BI38" s="16">
        <f t="shared" ca="1" si="20"/>
        <v>0</v>
      </c>
      <c r="BJ38" s="16">
        <f t="shared" ca="1" si="21"/>
        <v>6</v>
      </c>
      <c r="BK38" s="16">
        <f t="shared" ca="1" si="22"/>
        <v>1</v>
      </c>
      <c r="BL38" s="16">
        <f t="shared" ca="1" si="23"/>
        <v>5</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6</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5</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8</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5"/>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2</v>
      </c>
      <c r="BG39" s="16">
        <f t="shared" ca="1" si="18"/>
        <v>0</v>
      </c>
      <c r="BH39" s="16">
        <f t="shared" ca="1" si="19"/>
        <v>0</v>
      </c>
      <c r="BI39" s="16">
        <f t="shared" ca="1" si="20"/>
        <v>2</v>
      </c>
      <c r="BJ39" s="16">
        <f t="shared" ca="1" si="21"/>
        <v>3</v>
      </c>
      <c r="BK39" s="16">
        <f t="shared" ca="1" si="22"/>
        <v>6</v>
      </c>
      <c r="BL39" s="16">
        <f t="shared" ca="1" si="23"/>
        <v>-3</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-3</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8</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5"/>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2</v>
      </c>
      <c r="BG40" s="16">
        <f t="shared" ca="1" si="18"/>
        <v>0</v>
      </c>
      <c r="BH40" s="16">
        <f t="shared" ca="1" si="19"/>
        <v>0</v>
      </c>
      <c r="BI40" s="16">
        <f t="shared" ca="1" si="20"/>
        <v>2</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-6</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8</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6"/>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2</v>
      </c>
      <c r="BG41" s="16">
        <f t="shared" ca="1" si="18"/>
        <v>2</v>
      </c>
      <c r="BH41" s="16">
        <f t="shared" ca="1" si="19"/>
        <v>0</v>
      </c>
      <c r="BI41" s="16">
        <f t="shared" ca="1" si="20"/>
        <v>0</v>
      </c>
      <c r="BJ41" s="16">
        <f t="shared" ca="1" si="21"/>
        <v>7</v>
      </c>
      <c r="BK41" s="16">
        <f t="shared" ca="1" si="22"/>
        <v>3</v>
      </c>
      <c r="BL41" s="16">
        <f t="shared" ca="1" si="23"/>
        <v>4</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4</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8</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6</v>
      </c>
      <c r="BF42" s="16">
        <f t="shared" ca="1" si="17"/>
        <v>2</v>
      </c>
      <c r="BG42" s="16">
        <f t="shared" ca="1" si="18"/>
        <v>2</v>
      </c>
      <c r="BH42" s="16">
        <f t="shared" ca="1" si="19"/>
        <v>0</v>
      </c>
      <c r="BI42" s="16">
        <f t="shared" ca="1" si="20"/>
        <v>0</v>
      </c>
      <c r="BJ42" s="16">
        <f t="shared" ca="1" si="21"/>
        <v>5</v>
      </c>
      <c r="BK42" s="16">
        <f t="shared" ca="1" si="22"/>
        <v>0</v>
      </c>
      <c r="BL42" s="16">
        <f t="shared" ca="1" si="23"/>
        <v>5</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8</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3</v>
      </c>
      <c r="BF43" s="16">
        <f t="shared" ca="1" si="17"/>
        <v>2</v>
      </c>
      <c r="BG43" s="16">
        <f t="shared" ca="1" si="18"/>
        <v>1</v>
      </c>
      <c r="BH43" s="16">
        <f t="shared" ca="1" si="19"/>
        <v>0</v>
      </c>
      <c r="BI43" s="16">
        <f t="shared" ca="1" si="20"/>
        <v>1</v>
      </c>
      <c r="BJ43" s="16">
        <f t="shared" ca="1" si="21"/>
        <v>2</v>
      </c>
      <c r="BK43" s="16">
        <f t="shared" ca="1" si="22"/>
        <v>4</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3</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0</v>
      </c>
      <c r="BW43" s="16">
        <f t="shared" ca="1" si="30"/>
        <v>0</v>
      </c>
      <c r="BX43" s="16">
        <f t="shared" ca="1" si="31"/>
        <v>0</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0</v>
      </c>
      <c r="CB43" s="16">
        <f t="shared" ca="1" si="33"/>
        <v>0</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0</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0</v>
      </c>
      <c r="CK43" s="16">
        <f t="shared" ca="1" si="38"/>
        <v>0</v>
      </c>
      <c r="CL43" s="16">
        <f t="shared" ca="1" si="39"/>
        <v>0</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0</v>
      </c>
      <c r="CP43" s="16">
        <f t="shared" ca="1" si="41"/>
        <v>0</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0</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8</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4"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2</v>
      </c>
      <c r="BG44" s="16">
        <f t="shared" ca="1" si="18"/>
        <v>1</v>
      </c>
      <c r="BH44" s="16">
        <f t="shared" ca="1" si="19"/>
        <v>0</v>
      </c>
      <c r="BI44" s="16">
        <f t="shared" ca="1" si="20"/>
        <v>1</v>
      </c>
      <c r="BJ44" s="16">
        <f t="shared" ca="1" si="21"/>
        <v>3</v>
      </c>
      <c r="BK44" s="16">
        <f t="shared" ca="1" si="22"/>
        <v>3</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0</v>
      </c>
      <c r="BW44" s="16">
        <f t="shared" ca="1" si="30"/>
        <v>0</v>
      </c>
      <c r="BX44" s="16">
        <f t="shared" ca="1" si="31"/>
        <v>0</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0</v>
      </c>
      <c r="CB44" s="16">
        <f t="shared" ca="1" si="33"/>
        <v>0</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0</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0</v>
      </c>
      <c r="CK44" s="16">
        <f t="shared" ca="1" si="38"/>
        <v>0</v>
      </c>
      <c r="CL44" s="16">
        <f t="shared" ca="1" si="39"/>
        <v>0</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0</v>
      </c>
      <c r="CP44" s="16">
        <f t="shared" ca="1" si="41"/>
        <v>0</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0</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8</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5"/>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2</v>
      </c>
      <c r="BG45" s="16">
        <f t="shared" ca="1" si="18"/>
        <v>0</v>
      </c>
      <c r="BH45" s="16">
        <f t="shared" ca="1" si="19"/>
        <v>0</v>
      </c>
      <c r="BI45" s="16">
        <f t="shared" ca="1" si="20"/>
        <v>2</v>
      </c>
      <c r="BJ45" s="16">
        <f t="shared" ca="1" si="21"/>
        <v>2</v>
      </c>
      <c r="BK45" s="16">
        <f t="shared" ca="1" si="22"/>
        <v>5</v>
      </c>
      <c r="BL45" s="16">
        <f t="shared" ca="1" si="23"/>
        <v>-3</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8</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5"/>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4</v>
      </c>
      <c r="BF46" s="16">
        <f t="shared" ca="1" si="17"/>
        <v>2</v>
      </c>
      <c r="BG46" s="16">
        <f t="shared" ca="1" si="18"/>
        <v>1</v>
      </c>
      <c r="BH46" s="16">
        <f t="shared" ca="1" si="19"/>
        <v>1</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4</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8</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5"/>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2</v>
      </c>
      <c r="BG47" s="16">
        <f t="shared" ca="1" si="18"/>
        <v>0</v>
      </c>
      <c r="BH47" s="16">
        <f t="shared" ca="1" si="19"/>
        <v>1</v>
      </c>
      <c r="BI47" s="16">
        <f t="shared" ca="1" si="20"/>
        <v>1</v>
      </c>
      <c r="BJ47" s="16">
        <f t="shared" ca="1" si="21"/>
        <v>1</v>
      </c>
      <c r="BK47" s="16">
        <f t="shared" ca="1" si="22"/>
        <v>2</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8</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5"/>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2</v>
      </c>
      <c r="BG48" s="16">
        <f t="shared" ca="1" si="18"/>
        <v>0</v>
      </c>
      <c r="BH48" s="16">
        <f t="shared" ca="1" si="19"/>
        <v>0</v>
      </c>
      <c r="BI48" s="16">
        <f t="shared" ca="1" si="20"/>
        <v>2</v>
      </c>
      <c r="BJ48" s="16">
        <f t="shared" ca="1" si="21"/>
        <v>1</v>
      </c>
      <c r="BK48" s="16">
        <f t="shared" ca="1" si="22"/>
        <v>8</v>
      </c>
      <c r="BL48" s="16">
        <f t="shared" ca="1" si="23"/>
        <v>-7</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8</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6"/>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2</v>
      </c>
      <c r="BG49" s="16">
        <f t="shared" ca="1" si="18"/>
        <v>2</v>
      </c>
      <c r="BH49" s="16">
        <f t="shared" ca="1" si="19"/>
        <v>0</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8</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4</v>
      </c>
      <c r="BF50" s="16">
        <f t="shared" ca="1" si="17"/>
        <v>2</v>
      </c>
      <c r="BG50" s="16">
        <f t="shared" ca="1" si="18"/>
        <v>1</v>
      </c>
      <c r="BH50" s="16">
        <f t="shared" ca="1" si="19"/>
        <v>1</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4</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8</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3</v>
      </c>
      <c r="BF51" s="16">
        <f t="shared" ca="1" si="17"/>
        <v>2</v>
      </c>
      <c r="BG51" s="16">
        <f t="shared" ca="1" si="18"/>
        <v>1</v>
      </c>
      <c r="BH51" s="16">
        <f t="shared" ca="1" si="19"/>
        <v>0</v>
      </c>
      <c r="BI51" s="16">
        <f t="shared" ca="1" si="20"/>
        <v>1</v>
      </c>
      <c r="BJ51" s="16">
        <f t="shared" ca="1" si="21"/>
        <v>3</v>
      </c>
      <c r="BK51" s="16">
        <f t="shared" ca="1" si="22"/>
        <v>4</v>
      </c>
      <c r="BL51" s="16">
        <f t="shared" ca="1" si="23"/>
        <v>-1</v>
      </c>
      <c r="BM51" s="16" t="str">
        <f t="shared" ca="1" si="24"/>
        <v>3L</v>
      </c>
      <c r="BN51" s="16" t="str">
        <f t="shared" ca="1" si="25"/>
        <v>3L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3</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46"/>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47"/>
        <v>2</v>
      </c>
      <c r="DK51" s="16">
        <f t="shared" ca="1" si="48"/>
        <v>8</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P.2 (2)</v>
      </c>
      <c r="F52" s="16" t="str">
        <f t="shared" ref="F52:F57" ca="1" si="134">IF(D52="Pendiente","-",INDEX($BT$6:$BT$53,MATCH($AF52,$BD$6:$BD$53,0)))</f>
        <v>-</v>
      </c>
      <c r="G52" s="16"/>
      <c r="H52" s="16" t="str">
        <f t="shared" ref="H52:H57" ca="1" si="135">IF(D52="Pendiente","-",INDEX($BZ$6:$BZ$53,MATCH($AA52,$BD$6:$BD$53,0)))</f>
        <v>P.2 (2)</v>
      </c>
      <c r="I52" s="16" t="str">
        <f t="shared" ref="I52:I57" ca="1" si="136">IF(D52="Pendiente","-",INDEX($BZ$6:$BZ$53,MATCH($AF52,$BD$6:$BD$53,0)))</f>
        <v>-</v>
      </c>
      <c r="J52" s="16"/>
      <c r="K52" s="16" t="str">
        <f t="shared" ref="K52:K57" ca="1" si="137">IF(D52="Pendiente","-",INDEX($CE$6:$CE$53,MATCH($AA52,$BD$6:$BD$53,0)))</f>
        <v>P.2 (2)</v>
      </c>
      <c r="L52" s="16" t="str">
        <f t="shared" ref="L52:L57" ca="1" si="138">IF(D52="Pendiente","-",INDEX($CE$6:$CE$53,MATCH($AF52,$BD$6:$BD$53,0)))</f>
        <v>-</v>
      </c>
      <c r="M52" s="16"/>
      <c r="N52" s="16" t="str">
        <f t="shared" ref="N52:N57" ca="1" si="139">IF(D52="Pendiente","-",INDEX($CH$6:$CH$53,MATCH($AA52,$BD$6:$BD$53,0)))</f>
        <v>P.2 (2)</v>
      </c>
      <c r="O52" s="16" t="str">
        <f t="shared" ref="O52:O57" ca="1" si="140">IF(D52="Pendiente","-",INDEX($CH$6:$CH$53,MATCH($AF52,$BD$6:$BD$53,0)))</f>
        <v>-</v>
      </c>
      <c r="P52" s="16"/>
      <c r="Q52" s="16" t="str">
        <f t="shared" ref="Q52:Q57" ca="1" si="141">IF(D52="Pendiente","-",INDEX($CN$6:$CN$53,MATCH($AA52,$BD$6:$BD$53,0)))</f>
        <v>P.2 (2)</v>
      </c>
      <c r="R52" s="16" t="str">
        <f t="shared" ref="R52:R57" ca="1" si="142">IF(D52="Pendiente","-",INDEX($CN$6:$CN$53,MATCH($AF52,$BD$6:$BD$53,0)))</f>
        <v>-</v>
      </c>
      <c r="S52" s="16"/>
      <c r="T52" s="16" t="str">
        <f t="shared" ref="T52:T57" ca="1" si="143">IF(D52="Pendiente","-",INDEX($CS$6:$CS$53,MATCH($AA52,$BD$6:$BD$53,0)))</f>
        <v>P.2 (2)</v>
      </c>
      <c r="U52" s="16" t="str">
        <f t="shared" ref="U52:U57" ca="1" si="144">IF(D52="Pendiente","-",INDEX($CS$6:$CS$53,MATCH($AF52,$BD$6:$BD$53,0)))</f>
        <v>-</v>
      </c>
      <c r="V52" s="17"/>
      <c r="W52" s="629"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2</v>
      </c>
      <c r="BG52" s="16">
        <f t="shared" ca="1" si="18"/>
        <v>1</v>
      </c>
      <c r="BH52" s="16">
        <f t="shared" ca="1" si="19"/>
        <v>1</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1</v>
      </c>
      <c r="BW52" s="16">
        <f t="shared" ca="1" si="30"/>
        <v>0</v>
      </c>
      <c r="BX52" s="16">
        <f t="shared" ca="1" si="31"/>
        <v>1</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1</v>
      </c>
      <c r="CK52" s="16">
        <f t="shared" ca="1" si="38"/>
        <v>0</v>
      </c>
      <c r="CL52" s="16">
        <f t="shared" ca="1" si="39"/>
        <v>1</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8</v>
      </c>
      <c r="DL52" s="16">
        <f t="shared" ca="1" si="49"/>
        <v>1</v>
      </c>
      <c r="DM52" s="16" t="str">
        <f t="shared" ca="1" si="50"/>
        <v>3.1</v>
      </c>
      <c r="DN52" s="16">
        <f t="array" aca="1" ref="DN52" ca="1">OFFSET(Horarios!$P$3,DJ52-1,0,DL52,1)</f>
        <v>3</v>
      </c>
      <c r="DO52" s="16"/>
      <c r="DP52" s="16" t="s">
        <v>122</v>
      </c>
      <c r="DQ52" s="16" t="str">
        <f t="shared" ca="1" si="51"/>
        <v>Croacia</v>
      </c>
    </row>
    <row r="53" spans="1:121" ht="16" customHeight="1" x14ac:dyDescent="0.2">
      <c r="A53" s="16" t="str">
        <f ca="1">+Equipos!B26</f>
        <v>Bélgica</v>
      </c>
      <c r="B53" s="16"/>
      <c r="C53" s="16"/>
      <c r="D53" s="16" t="str">
        <f t="shared" si="132"/>
        <v>Empate</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5"/>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2</v>
      </c>
      <c r="BG53" s="16">
        <f t="shared" ca="1" si="18"/>
        <v>0</v>
      </c>
      <c r="BH53" s="16">
        <f t="shared" ca="1" si="19"/>
        <v>0</v>
      </c>
      <c r="BI53" s="16">
        <f t="shared" ca="1" si="20"/>
        <v>2</v>
      </c>
      <c r="BJ53" s="16">
        <f t="shared" ca="1" si="21"/>
        <v>0</v>
      </c>
      <c r="BK53" s="16">
        <f t="shared" ca="1" si="22"/>
        <v>2</v>
      </c>
      <c r="BL53" s="16">
        <f t="shared" ca="1" si="23"/>
        <v>-2</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8</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P.2 (2)</v>
      </c>
      <c r="F54" s="16" t="str">
        <f t="shared" ca="1" si="134"/>
        <v>P.2 (2)</v>
      </c>
      <c r="G54" s="16"/>
      <c r="H54" s="16" t="str">
        <f t="shared" ca="1" si="135"/>
        <v>P.2 (2)</v>
      </c>
      <c r="I54" s="16" t="str">
        <f t="shared" ca="1" si="136"/>
        <v>P.2 (2)</v>
      </c>
      <c r="J54" s="16"/>
      <c r="K54" s="16" t="str">
        <f t="shared" ca="1" si="137"/>
        <v>P.2 (2)</v>
      </c>
      <c r="L54" s="16" t="str">
        <f t="shared" ca="1" si="138"/>
        <v>P.2 (2)</v>
      </c>
      <c r="M54" s="16"/>
      <c r="N54" s="16" t="str">
        <f t="shared" ca="1" si="139"/>
        <v>P.2 (2)</v>
      </c>
      <c r="O54" s="16" t="str">
        <f t="shared" ca="1" si="140"/>
        <v>P.2 (2)</v>
      </c>
      <c r="P54" s="16"/>
      <c r="Q54" s="16" t="str">
        <f t="shared" ca="1" si="141"/>
        <v>P.2 (2)</v>
      </c>
      <c r="R54" s="16" t="str">
        <f t="shared" ca="1" si="142"/>
        <v>P.2 (2)</v>
      </c>
      <c r="S54" s="16"/>
      <c r="T54" s="16" t="str">
        <f t="shared" ca="1" si="143"/>
        <v>P.2 (2)</v>
      </c>
      <c r="U54" s="16" t="str">
        <f t="shared" ca="1" si="144"/>
        <v>P.2 (2)</v>
      </c>
      <c r="V54" s="17"/>
      <c r="W54" s="625"/>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Egipto</v>
      </c>
      <c r="AM54" s="35">
        <f t="shared" ref="AM54:AT57" ca="1" si="147">INDEX($BE$6:$BN$53,MATCH($AL54,$BD$6:$BD$53,0),MATCH(AM$5,$BE$5:$BN$5,0))</f>
        <v>4</v>
      </c>
      <c r="AN54" s="36">
        <f t="shared" ca="1" si="147"/>
        <v>2</v>
      </c>
      <c r="AO54" s="36">
        <f t="shared" ca="1" si="147"/>
        <v>1</v>
      </c>
      <c r="AP54" s="36">
        <f t="shared" ca="1" si="147"/>
        <v>1</v>
      </c>
      <c r="AQ54" s="36">
        <f t="shared" ca="1" si="147"/>
        <v>0</v>
      </c>
      <c r="AR54" s="36">
        <f t="shared" ca="1" si="147"/>
        <v>4</v>
      </c>
      <c r="AS54" s="36">
        <f t="shared" ca="1" si="147"/>
        <v>2</v>
      </c>
      <c r="AT54" s="41">
        <f t="shared" ca="1" si="147"/>
        <v>2</v>
      </c>
      <c r="AU54" s="323">
        <f ca="1">INDEX($DL$6:$DL$53,MATCH(AI54,$DP$6:$DP$53,0))</f>
        <v>1</v>
      </c>
      <c r="AV54" s="182" t="str">
        <f ca="1">INDEX($BD$6:$BD$53,MATCH(AI54,$BM$6:$BM$53,0))</f>
        <v>Egipto</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5"/>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Irán</v>
      </c>
      <c r="AM55" s="38">
        <f t="shared" ca="1" si="147"/>
        <v>2</v>
      </c>
      <c r="AN55" s="39">
        <f t="shared" ca="1" si="147"/>
        <v>2</v>
      </c>
      <c r="AO55" s="39">
        <f t="shared" ca="1" si="147"/>
        <v>0</v>
      </c>
      <c r="AP55" s="39">
        <f t="shared" ca="1" si="147"/>
        <v>2</v>
      </c>
      <c r="AQ55" s="39">
        <f t="shared" ca="1" si="147"/>
        <v>0</v>
      </c>
      <c r="AR55" s="39">
        <f t="shared" ca="1" si="147"/>
        <v>2</v>
      </c>
      <c r="AS55" s="39">
        <f t="shared" ca="1" si="147"/>
        <v>2</v>
      </c>
      <c r="AT55" s="43">
        <f t="shared" ca="1" si="147"/>
        <v>0</v>
      </c>
      <c r="AU55" s="323">
        <f ca="1">INDEX($DL$6:$DL$53,MATCH(AI55,$DP$6:$DP$53,0))</f>
        <v>1</v>
      </c>
      <c r="AV55" s="182" t="str">
        <f ca="1">INDEX($BD$6:$BD$53,MATCH(AI55,$BM$6:$BM$53,0))</f>
        <v>Irán</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5"/>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2</v>
      </c>
      <c r="AN56" s="39">
        <f t="shared" ca="1" si="147"/>
        <v>2</v>
      </c>
      <c r="AO56" s="39">
        <f t="shared" ca="1" si="147"/>
        <v>0</v>
      </c>
      <c r="AP56" s="39">
        <f t="shared" ca="1" si="147"/>
        <v>2</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6"/>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2</v>
      </c>
      <c r="AO57" s="47">
        <f t="shared" ca="1" si="147"/>
        <v>0</v>
      </c>
      <c r="AP57" s="47">
        <f t="shared" ca="1" si="147"/>
        <v>1</v>
      </c>
      <c r="AQ57" s="47">
        <f t="shared" ca="1" si="147"/>
        <v>1</v>
      </c>
      <c r="AR57" s="47">
        <f t="shared" ca="1" si="147"/>
        <v>3</v>
      </c>
      <c r="AS57" s="47">
        <f t="shared" ca="1" si="147"/>
        <v>5</v>
      </c>
      <c r="AT57" s="48">
        <f t="shared" ca="1" si="147"/>
        <v>-2</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6</v>
      </c>
      <c r="BN58" s="16">
        <f t="shared" ref="BN58:BN69" ca="1" si="153">CF58</f>
        <v>6</v>
      </c>
      <c r="BO58" s="16" t="str">
        <f t="shared" ref="BO58:BO69" si="154">"4"&amp;BC58</f>
        <v>4A</v>
      </c>
      <c r="BP58" s="16"/>
      <c r="BQ58" s="16"/>
      <c r="BR58" s="16">
        <f t="shared" ref="BR58:BR69" ca="1" si="155">+BE58</f>
        <v>3</v>
      </c>
      <c r="BS58" s="16">
        <f t="shared" ref="BS58:BS69" ca="1" si="156">COUNTIFS(BR$58:BR$69,"&gt;"&amp;BR58)+1</f>
        <v>5</v>
      </c>
      <c r="BT58" s="16" t="str">
        <f t="shared" ref="BT58:BT69" ca="1" si="157">IF(COUNTIF(BS$58:BS$69,BS58)=1,"-","Pos. "&amp;BS58&amp;" ("&amp;COUNTIF(BS$58:BS$69,BS58)&amp;")")</f>
        <v>Pos. 5 (4)</v>
      </c>
      <c r="BU58" s="16">
        <f t="shared" ref="BU58:BU69" ca="1" si="158">IF(BT58="-","-",BL58)</f>
        <v>-1</v>
      </c>
      <c r="BV58" s="16">
        <f t="shared" ref="BV58:BV69" ca="1" si="159">BS58+COUNTIFS(BT$58:BT$69,BT58,BU$58:BU$69,"&gt;"&amp;BU58)</f>
        <v>5</v>
      </c>
      <c r="BW58" s="16" t="str">
        <f t="shared" ref="BW58:BW69" ca="1" si="160">IF(COUNTIF(BV$58:BV$69,BV58)=1,"-","Pos. "&amp;BV58&amp;" ("&amp;COUNTIF(BV$58:BV$69,BV58)&amp;")")</f>
        <v>Pos. 5 (2)</v>
      </c>
      <c r="BX58" s="16">
        <f t="shared" ref="BX58:BX69" ca="1" si="161">IF(BW58="-","-",BJ58)</f>
        <v>2</v>
      </c>
      <c r="BY58" s="16">
        <f t="shared" ref="BY58:BY69" ca="1" si="162">BV58+COUNTIFS(BW$58:BW$69,BW58,BX$58:BX$69,"&gt;"&amp;BX58)</f>
        <v>6</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6</v>
      </c>
      <c r="CC58" s="16"/>
      <c r="CD58" s="16">
        <f t="shared" ref="CD58:CD69" ca="1" si="166">IF(OR(INDEX($AW$102:$AW$113,MATCH($BD58,$AV$102:$AV$113,0))="",BZ58="-"),CB58,INDEX($AW$102:$AW$113,MATCH($BD58,$AV$102:$AV$113,0))+CB58/1000)</f>
        <v>6</v>
      </c>
      <c r="CE58" s="16" t="str">
        <f t="shared" ref="CE58:CE69" ca="1" si="167">IF(BZ58="-","-",COUNTIF(CD$58:CD$69,"&lt;"&amp;CD58))</f>
        <v>-</v>
      </c>
      <c r="CF58" s="16">
        <f t="shared" ref="CF58:CF69" ca="1" si="168">BY58+COUNTIFS(BZ$58:BZ$69,BZ58,CE$58:CE$69,"&lt;"&amp;CE58)</f>
        <v>6</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Suecia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3</v>
      </c>
      <c r="BN59" s="16">
        <f t="shared" ca="1" si="153"/>
        <v>3</v>
      </c>
      <c r="BO59" s="16" t="str">
        <f t="shared" si="154"/>
        <v>4B</v>
      </c>
      <c r="BP59" s="16"/>
      <c r="BQ59" s="16"/>
      <c r="BR59" s="16">
        <f t="shared" ca="1" si="155"/>
        <v>4</v>
      </c>
      <c r="BS59" s="16">
        <f t="shared" ca="1" si="156"/>
        <v>1</v>
      </c>
      <c r="BT59" s="16" t="str">
        <f t="shared" ca="1" si="157"/>
        <v>Pos. 1 (4)</v>
      </c>
      <c r="BU59" s="16">
        <f t="shared" ca="1" si="158"/>
        <v>-1</v>
      </c>
      <c r="BV59" s="16">
        <f t="shared" ca="1" si="159"/>
        <v>3</v>
      </c>
      <c r="BW59" s="16" t="str">
        <f t="shared" ca="1" si="160"/>
        <v>-</v>
      </c>
      <c r="BX59" s="16" t="str">
        <f t="shared" ca="1" si="161"/>
        <v>-</v>
      </c>
      <c r="BY59" s="16">
        <f t="shared" ca="1" si="162"/>
        <v>3</v>
      </c>
      <c r="BZ59" s="16" t="str">
        <f t="shared" ca="1" si="163"/>
        <v>-</v>
      </c>
      <c r="CA59" s="16" t="str">
        <f t="shared" ca="1" si="164"/>
        <v>-</v>
      </c>
      <c r="CB59" s="16">
        <f t="shared" ca="1" si="165"/>
        <v>3</v>
      </c>
      <c r="CC59" s="16"/>
      <c r="CD59" s="16">
        <f t="shared" ca="1" si="166"/>
        <v>3</v>
      </c>
      <c r="CE59" s="16" t="str">
        <f t="shared" ca="1" si="167"/>
        <v>-</v>
      </c>
      <c r="CF59" s="16">
        <f t="shared" ca="1" si="168"/>
        <v>3</v>
      </c>
      <c r="DJ59" s="16">
        <f t="shared" ca="1" si="169"/>
        <v>2</v>
      </c>
      <c r="DK59" s="16"/>
      <c r="DL59" s="16">
        <f t="shared" ca="1" si="170"/>
        <v>1</v>
      </c>
      <c r="DM59" s="16" t="str">
        <f t="shared" ca="1" si="171"/>
        <v>2.1</v>
      </c>
      <c r="DN59" s="16">
        <f t="array" aca="1" ref="DN59" ca="1">OFFSET(Horarios!$P$3,DJ59-1,0,DL59,1)</f>
        <v>2</v>
      </c>
      <c r="DO59" s="16"/>
      <c r="DP59" s="16">
        <v>2</v>
      </c>
      <c r="DQ59" s="16" t="str">
        <f t="shared" ca="1" si="172"/>
        <v>Ecuador</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P.2 (2)</v>
      </c>
      <c r="G60" s="16"/>
      <c r="H60" s="16" t="str">
        <f t="shared" ref="H60:H65" ca="1" si="182">IF(D60="Pendiente","-",INDEX($BZ$6:$BZ$53,MATCH($AA60,$BD$6:$BD$53,0)))</f>
        <v>-</v>
      </c>
      <c r="I60" s="16" t="str">
        <f t="shared" ref="I60:I65" ca="1" si="183">IF(D60="Pendiente","-",INDEX($BZ$6:$BZ$53,MATCH($AF60,$BD$6:$BD$53,0)))</f>
        <v>P.2 (2)</v>
      </c>
      <c r="J60" s="16"/>
      <c r="K60" s="16" t="str">
        <f t="shared" ref="K60:K65" ca="1" si="184">IF(D60="Pendiente","-",INDEX($CE$6:$CE$53,MATCH($AA60,$BD$6:$BD$53,0)))</f>
        <v>-</v>
      </c>
      <c r="L60" s="16" t="str">
        <f t="shared" ref="L60:L65" ca="1" si="185">IF(D60="Pendiente","-",INDEX($CE$6:$CE$53,MATCH($AF60,$BD$6:$BD$53,0)))</f>
        <v>P.2 (2)</v>
      </c>
      <c r="M60" s="16"/>
      <c r="N60" s="16" t="str">
        <f t="shared" ref="N60:N65" ca="1" si="186">IF(D60="Pendiente","-",INDEX($CH$6:$CH$53,MATCH($AA60,$BD$6:$BD$53,0)))</f>
        <v>-</v>
      </c>
      <c r="O60" s="16" t="str">
        <f t="shared" ref="O60:O65" ca="1" si="187">IF(D60="Pendiente","-",INDEX($CH$6:$CH$53,MATCH($AF60,$BD$6:$BD$53,0)))</f>
        <v>P.2 (2)</v>
      </c>
      <c r="P60" s="16"/>
      <c r="Q60" s="16" t="str">
        <f t="shared" ref="Q60:Q65" ca="1" si="188">IF(D60="Pendiente","-",INDEX($CN$6:$CN$53,MATCH($AA60,$BD$6:$BD$53,0)))</f>
        <v>-</v>
      </c>
      <c r="R60" s="16" t="str">
        <f t="shared" ref="R60:R65" ca="1" si="189">IF(D60="Pendiente","-",INDEX($CN$6:$CN$53,MATCH($AF60,$BD$6:$BD$53,0)))</f>
        <v>P.2 (2)</v>
      </c>
      <c r="S60" s="16"/>
      <c r="T60" s="16" t="str">
        <f t="shared" ref="T60:T65" ca="1" si="190">IF(D60="Pendiente","-",INDEX($CS$6:$CS$53,MATCH($AA60,$BD$6:$BD$53,0)))</f>
        <v>-</v>
      </c>
      <c r="U60" s="16" t="str">
        <f t="shared" ref="U60:U65" ca="1" si="191">IF(D60="Pendiente","-",INDEX($CS$6:$CS$53,MATCH($AF60,$BD$6:$BD$53,0)))</f>
        <v>P.2 (2)</v>
      </c>
      <c r="V60" s="17"/>
      <c r="W60" s="632"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8</v>
      </c>
      <c r="BN60" s="16">
        <f t="shared" ca="1" si="153"/>
        <v>8</v>
      </c>
      <c r="BO60" s="16" t="str">
        <f t="shared" si="154"/>
        <v>4C</v>
      </c>
      <c r="BP60" s="16"/>
      <c r="BQ60" s="16"/>
      <c r="BR60" s="16">
        <f t="shared" ca="1" si="155"/>
        <v>3</v>
      </c>
      <c r="BS60" s="16">
        <f t="shared" ca="1" si="156"/>
        <v>5</v>
      </c>
      <c r="BT60" s="16" t="str">
        <f t="shared" ca="1" si="157"/>
        <v>Pos. 5 (4)</v>
      </c>
      <c r="BU60" s="16">
        <f t="shared" ca="1" si="158"/>
        <v>-3</v>
      </c>
      <c r="BV60" s="16">
        <f t="shared" ca="1" si="159"/>
        <v>8</v>
      </c>
      <c r="BW60" s="16" t="str">
        <f t="shared" ca="1" si="160"/>
        <v>-</v>
      </c>
      <c r="BX60" s="16" t="str">
        <f t="shared" ca="1" si="161"/>
        <v>-</v>
      </c>
      <c r="BY60" s="16">
        <f t="shared" ca="1" si="162"/>
        <v>8</v>
      </c>
      <c r="BZ60" s="16" t="str">
        <f t="shared" ca="1" si="163"/>
        <v>-</v>
      </c>
      <c r="CA60" s="16" t="str">
        <f t="shared" ca="1" si="164"/>
        <v>-</v>
      </c>
      <c r="CB60" s="16">
        <f t="shared" ca="1" si="165"/>
        <v>8</v>
      </c>
      <c r="CC60" s="16"/>
      <c r="CD60" s="16">
        <f t="shared" ca="1" si="166"/>
        <v>8</v>
      </c>
      <c r="CE60" s="16" t="str">
        <f t="shared" ca="1" si="167"/>
        <v>-</v>
      </c>
      <c r="CF60" s="16">
        <f t="shared" ca="1" si="168"/>
        <v>8</v>
      </c>
      <c r="DJ60" s="16">
        <f t="shared" ca="1" si="169"/>
        <v>3</v>
      </c>
      <c r="DK60" s="16"/>
      <c r="DL60" s="16">
        <f t="shared" ca="1" si="170"/>
        <v>1</v>
      </c>
      <c r="DM60" s="16" t="str">
        <f t="shared" ca="1" si="171"/>
        <v>3.1</v>
      </c>
      <c r="DN60" s="16">
        <f t="array" aca="1" ref="DN60" ca="1">OFFSET(Horarios!$P$3,DJ60-1,0,DL60,1)</f>
        <v>3</v>
      </c>
      <c r="DO60" s="16"/>
      <c r="DP60" s="16">
        <v>3</v>
      </c>
      <c r="DQ60" s="16" t="str">
        <f t="shared" ca="1" si="172"/>
        <v>Bosnia y Herzegovina</v>
      </c>
    </row>
    <row r="61" spans="1:121" ht="16" customHeight="1" x14ac:dyDescent="0.2">
      <c r="A61" s="16" t="str">
        <f ca="1">+Equipos!B30</f>
        <v>España</v>
      </c>
      <c r="B61" s="16"/>
      <c r="C61" s="16"/>
      <c r="D61" s="16" t="str">
        <f t="shared" si="179"/>
        <v>Empate</v>
      </c>
      <c r="E61" s="16" t="str">
        <f t="shared" ca="1" si="180"/>
        <v>-</v>
      </c>
      <c r="F61" s="16" t="str">
        <f t="shared" ca="1" si="181"/>
        <v>P.2 (2)</v>
      </c>
      <c r="G61" s="16"/>
      <c r="H61" s="16" t="str">
        <f t="shared" ca="1" si="182"/>
        <v>-</v>
      </c>
      <c r="I61" s="16" t="str">
        <f t="shared" ca="1" si="183"/>
        <v>P.2 (2)</v>
      </c>
      <c r="J61" s="16"/>
      <c r="K61" s="16" t="str">
        <f t="shared" ca="1" si="184"/>
        <v>-</v>
      </c>
      <c r="L61" s="16" t="str">
        <f t="shared" ca="1" si="185"/>
        <v>P.2 (2)</v>
      </c>
      <c r="M61" s="16"/>
      <c r="N61" s="16" t="str">
        <f t="shared" ca="1" si="186"/>
        <v>-</v>
      </c>
      <c r="O61" s="16" t="str">
        <f t="shared" ca="1" si="187"/>
        <v>P.2 (2)</v>
      </c>
      <c r="P61" s="16"/>
      <c r="Q61" s="16" t="str">
        <f t="shared" ca="1" si="188"/>
        <v>-</v>
      </c>
      <c r="R61" s="16" t="str">
        <f t="shared" ca="1" si="189"/>
        <v>P.2 (2)</v>
      </c>
      <c r="S61" s="16"/>
      <c r="T61" s="16" t="str">
        <f t="shared" ca="1" si="190"/>
        <v>-</v>
      </c>
      <c r="U61" s="16" t="str">
        <f t="shared" ca="1" si="191"/>
        <v>P.2 (2)</v>
      </c>
      <c r="V61" s="17"/>
      <c r="W61" s="625"/>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4</v>
      </c>
      <c r="BN61" s="16">
        <f t="shared" ca="1" si="153"/>
        <v>4</v>
      </c>
      <c r="BO61" s="16" t="str">
        <f t="shared" si="154"/>
        <v>4D</v>
      </c>
      <c r="BP61" s="16"/>
      <c r="BQ61" s="16"/>
      <c r="BR61" s="16">
        <f t="shared" ca="1" si="155"/>
        <v>4</v>
      </c>
      <c r="BS61" s="16">
        <f t="shared" ca="1" si="156"/>
        <v>1</v>
      </c>
      <c r="BT61" s="16" t="str">
        <f t="shared" ca="1" si="157"/>
        <v>Pos. 1 (4)</v>
      </c>
      <c r="BU61" s="16">
        <f t="shared" ca="1" si="158"/>
        <v>-2</v>
      </c>
      <c r="BV61" s="16">
        <f t="shared" ca="1" si="159"/>
        <v>4</v>
      </c>
      <c r="BW61" s="16" t="str">
        <f t="shared" ca="1" si="160"/>
        <v>-</v>
      </c>
      <c r="BX61" s="16" t="str">
        <f t="shared" ca="1" si="161"/>
        <v>-</v>
      </c>
      <c r="BY61" s="16">
        <f t="shared" ca="1" si="162"/>
        <v>4</v>
      </c>
      <c r="BZ61" s="16" t="str">
        <f t="shared" ca="1" si="163"/>
        <v>-</v>
      </c>
      <c r="CA61" s="16" t="str">
        <f t="shared" ca="1" si="164"/>
        <v>-</v>
      </c>
      <c r="CB61" s="16">
        <f t="shared" ca="1" si="165"/>
        <v>4</v>
      </c>
      <c r="CC61" s="16"/>
      <c r="CD61" s="16">
        <f t="shared" ca="1" si="166"/>
        <v>4</v>
      </c>
      <c r="CE61" s="16" t="str">
        <f t="shared" ca="1" si="167"/>
        <v>-</v>
      </c>
      <c r="CF61" s="16">
        <f t="shared" ca="1" si="168"/>
        <v>4</v>
      </c>
      <c r="DJ61" s="16">
        <f t="shared" ca="1" si="169"/>
        <v>4</v>
      </c>
      <c r="DK61" s="16"/>
      <c r="DL61" s="16">
        <f t="shared" ca="1" si="170"/>
        <v>1</v>
      </c>
      <c r="DM61" s="16" t="str">
        <f t="shared" ca="1" si="171"/>
        <v>4.1</v>
      </c>
      <c r="DN61" s="16">
        <f t="array" aca="1" ref="DN61" ca="1">OFFSET(Horarios!$P$3,DJ61-1,0,DL61,1)</f>
        <v>4</v>
      </c>
      <c r="DO61" s="16"/>
      <c r="DP61" s="16">
        <v>4</v>
      </c>
      <c r="DQ61" s="16" t="str">
        <f t="shared" ca="1" si="172"/>
        <v>Paraguay</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5"/>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4</v>
      </c>
      <c r="AN62" s="36">
        <f t="shared" ca="1" si="195"/>
        <v>2</v>
      </c>
      <c r="AO62" s="36">
        <f t="shared" ca="1" si="195"/>
        <v>1</v>
      </c>
      <c r="AP62" s="36">
        <f t="shared" ca="1" si="195"/>
        <v>1</v>
      </c>
      <c r="AQ62" s="36">
        <f t="shared" ca="1" si="195"/>
        <v>0</v>
      </c>
      <c r="AR62" s="36">
        <f t="shared" ca="1" si="195"/>
        <v>4</v>
      </c>
      <c r="AS62" s="36">
        <f t="shared" ca="1" si="195"/>
        <v>0</v>
      </c>
      <c r="AT62" s="41">
        <f t="shared" ca="1" si="195"/>
        <v>4</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2</v>
      </c>
      <c r="BN62" s="16">
        <f t="shared" ca="1" si="153"/>
        <v>2</v>
      </c>
      <c r="BO62" s="16" t="str">
        <f t="shared" si="154"/>
        <v>4E</v>
      </c>
      <c r="BP62" s="16"/>
      <c r="BQ62" s="16"/>
      <c r="BR62" s="16">
        <f t="shared" ca="1" si="155"/>
        <v>4</v>
      </c>
      <c r="BS62" s="16">
        <f t="shared" ca="1" si="156"/>
        <v>1</v>
      </c>
      <c r="BT62" s="16" t="str">
        <f t="shared" ca="1" si="157"/>
        <v>Pos. 1 (4)</v>
      </c>
      <c r="BU62" s="16">
        <f t="shared" ca="1" si="158"/>
        <v>0</v>
      </c>
      <c r="BV62" s="16">
        <f t="shared" ca="1" si="159"/>
        <v>1</v>
      </c>
      <c r="BW62" s="16" t="str">
        <f t="shared" ca="1" si="160"/>
        <v>Pos. 1 (2)</v>
      </c>
      <c r="BX62" s="16">
        <f t="shared" ca="1" si="161"/>
        <v>2</v>
      </c>
      <c r="BY62" s="16">
        <f t="shared" ca="1" si="162"/>
        <v>2</v>
      </c>
      <c r="BZ62" s="16" t="str">
        <f t="shared" ca="1" si="163"/>
        <v>-</v>
      </c>
      <c r="CA62" s="16" t="str">
        <f t="shared" ca="1" si="164"/>
        <v>-</v>
      </c>
      <c r="CB62" s="16">
        <f t="shared" ca="1" si="165"/>
        <v>2</v>
      </c>
      <c r="CC62" s="16"/>
      <c r="CD62" s="16">
        <f t="shared" ca="1" si="166"/>
        <v>2</v>
      </c>
      <c r="CE62" s="16" t="str">
        <f t="shared" ca="1" si="167"/>
        <v>-</v>
      </c>
      <c r="CF62" s="16">
        <f t="shared" ca="1" si="168"/>
        <v>2</v>
      </c>
      <c r="DJ62" s="16">
        <f t="shared" ca="1" si="169"/>
        <v>5</v>
      </c>
      <c r="DK62" s="16"/>
      <c r="DL62" s="16">
        <f t="shared" ca="1" si="170"/>
        <v>1</v>
      </c>
      <c r="DM62" s="16" t="str">
        <f t="shared" ca="1" si="171"/>
        <v>5.1</v>
      </c>
      <c r="DN62" s="16">
        <f t="array" aca="1" ref="DN62" ca="1">OFFSET(Horarios!$P$3,DJ62-1,0,DL62,1)</f>
        <v>5</v>
      </c>
      <c r="DO62" s="16"/>
      <c r="DP62" s="16">
        <v>5</v>
      </c>
      <c r="DQ62" s="16" t="str">
        <f t="shared" ca="1" si="172"/>
        <v>Croacia</v>
      </c>
    </row>
    <row r="63" spans="1:121" ht="16" customHeight="1" x14ac:dyDescent="0.2">
      <c r="A63" s="16" t="str">
        <f ca="1">+Equipos!B32</f>
        <v>Arabia Saudita</v>
      </c>
      <c r="B63" s="16"/>
      <c r="C63" s="16"/>
      <c r="D63" s="16" t="str">
        <f t="shared" si="179"/>
        <v>Empate</v>
      </c>
      <c r="E63" s="16" t="str">
        <f t="shared" ca="1" si="180"/>
        <v>P.2 (2)</v>
      </c>
      <c r="F63" s="16" t="str">
        <f t="shared" ca="1" si="181"/>
        <v>P.2 (2)</v>
      </c>
      <c r="G63" s="16"/>
      <c r="H63" s="16" t="str">
        <f t="shared" ca="1" si="182"/>
        <v>P.2 (2)</v>
      </c>
      <c r="I63" s="16" t="str">
        <f t="shared" ca="1" si="183"/>
        <v>P.2 (2)</v>
      </c>
      <c r="J63" s="16"/>
      <c r="K63" s="16" t="str">
        <f t="shared" ca="1" si="184"/>
        <v>P.2 (2)</v>
      </c>
      <c r="L63" s="16" t="str">
        <f t="shared" ca="1" si="185"/>
        <v>P.2 (2)</v>
      </c>
      <c r="M63" s="16"/>
      <c r="N63" s="16" t="str">
        <f t="shared" ca="1" si="186"/>
        <v>P.2 (2)</v>
      </c>
      <c r="O63" s="16" t="str">
        <f t="shared" ca="1" si="187"/>
        <v>P.2 (2)</v>
      </c>
      <c r="P63" s="16"/>
      <c r="Q63" s="16" t="str">
        <f t="shared" ca="1" si="188"/>
        <v>P.2 (2)</v>
      </c>
      <c r="R63" s="16" t="str">
        <f t="shared" ca="1" si="189"/>
        <v>P.2 (2)</v>
      </c>
      <c r="S63" s="16"/>
      <c r="T63" s="16" t="str">
        <f t="shared" ca="1" si="190"/>
        <v>P.2 (2)</v>
      </c>
      <c r="U63" s="16" t="str">
        <f t="shared" ca="1" si="191"/>
        <v>P.2 (2)</v>
      </c>
      <c r="V63" s="17"/>
      <c r="W63" s="625"/>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2</v>
      </c>
      <c r="AN63" s="39">
        <f t="shared" ca="1" si="195"/>
        <v>2</v>
      </c>
      <c r="AO63" s="39">
        <f t="shared" ca="1" si="195"/>
        <v>0</v>
      </c>
      <c r="AP63" s="39">
        <f t="shared" ca="1" si="195"/>
        <v>2</v>
      </c>
      <c r="AQ63" s="39">
        <f t="shared" ca="1" si="195"/>
        <v>0</v>
      </c>
      <c r="AR63" s="39">
        <f t="shared" ca="1" si="195"/>
        <v>3</v>
      </c>
      <c r="AS63" s="39">
        <f t="shared" ca="1" si="195"/>
        <v>3</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1</v>
      </c>
      <c r="BN63" s="16">
        <f t="shared" ca="1" si="153"/>
        <v>1</v>
      </c>
      <c r="BO63" s="16" t="str">
        <f t="shared" si="154"/>
        <v>4F</v>
      </c>
      <c r="BP63" s="16"/>
      <c r="BQ63" s="16"/>
      <c r="BR63" s="16">
        <f t="shared" ca="1" si="155"/>
        <v>4</v>
      </c>
      <c r="BS63" s="16">
        <f t="shared" ca="1" si="156"/>
        <v>1</v>
      </c>
      <c r="BT63" s="16" t="str">
        <f t="shared" ca="1" si="157"/>
        <v>Pos. 1 (4)</v>
      </c>
      <c r="BU63" s="16">
        <f t="shared" ca="1" si="158"/>
        <v>0</v>
      </c>
      <c r="BV63" s="16">
        <f t="shared" ca="1" si="159"/>
        <v>1</v>
      </c>
      <c r="BW63" s="16" t="str">
        <f t="shared" ca="1" si="160"/>
        <v>Pos. 1 (2)</v>
      </c>
      <c r="BX63" s="16">
        <f t="shared" ca="1" si="161"/>
        <v>7</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Corea del Sur</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5"/>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Cabo Verde</v>
      </c>
      <c r="AM64" s="38">
        <f t="shared" ca="1" si="195"/>
        <v>2</v>
      </c>
      <c r="AN64" s="39">
        <f t="shared" ca="1" si="195"/>
        <v>2</v>
      </c>
      <c r="AO64" s="39">
        <f t="shared" ca="1" si="195"/>
        <v>0</v>
      </c>
      <c r="AP64" s="39">
        <f t="shared" ca="1" si="195"/>
        <v>2</v>
      </c>
      <c r="AQ64" s="39">
        <f t="shared" ca="1" si="195"/>
        <v>0</v>
      </c>
      <c r="AR64" s="39">
        <f t="shared" ca="1" si="195"/>
        <v>2</v>
      </c>
      <c r="AS64" s="39">
        <f t="shared" ca="1" si="195"/>
        <v>2</v>
      </c>
      <c r="AT64" s="43">
        <f t="shared" ca="1" si="195"/>
        <v>0</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Bélgica</v>
      </c>
      <c r="BE64" s="16">
        <f t="shared" ca="1" si="193"/>
        <v>2</v>
      </c>
      <c r="BF64" s="16">
        <f t="shared" ca="1" si="150"/>
        <v>2</v>
      </c>
      <c r="BG64" s="16">
        <f t="shared" ca="1" si="174"/>
        <v>0</v>
      </c>
      <c r="BH64" s="16">
        <f t="shared" ca="1" si="175"/>
        <v>2</v>
      </c>
      <c r="BI64" s="16">
        <f t="shared" ca="1" si="176"/>
        <v>0</v>
      </c>
      <c r="BJ64" s="16">
        <f t="shared" ca="1" si="177"/>
        <v>1</v>
      </c>
      <c r="BK64" s="16">
        <f t="shared" ca="1" si="178"/>
        <v>1</v>
      </c>
      <c r="BL64" s="16">
        <f t="shared" ca="1" si="151"/>
        <v>0</v>
      </c>
      <c r="BM64" s="16">
        <f t="shared" ca="1" si="152"/>
        <v>10</v>
      </c>
      <c r="BN64" s="16">
        <f t="shared" ca="1" si="153"/>
        <v>10</v>
      </c>
      <c r="BO64" s="16" t="str">
        <f t="shared" si="154"/>
        <v>4G</v>
      </c>
      <c r="BP64" s="16"/>
      <c r="BQ64" s="16"/>
      <c r="BR64" s="16">
        <f t="shared" ca="1" si="155"/>
        <v>2</v>
      </c>
      <c r="BS64" s="16">
        <f t="shared" ca="1" si="156"/>
        <v>9</v>
      </c>
      <c r="BT64" s="16" t="str">
        <f t="shared" ca="1" si="157"/>
        <v>Pos. 9 (2)</v>
      </c>
      <c r="BU64" s="16">
        <f t="shared" ca="1" si="158"/>
        <v>0</v>
      </c>
      <c r="BV64" s="16">
        <f t="shared" ca="1" si="159"/>
        <v>9</v>
      </c>
      <c r="BW64" s="16" t="str">
        <f t="shared" ca="1" si="160"/>
        <v>Pos. 9 (2)</v>
      </c>
      <c r="BX64" s="16">
        <f t="shared" ca="1" si="161"/>
        <v>1</v>
      </c>
      <c r="BY64" s="16">
        <f t="shared" ca="1" si="162"/>
        <v>10</v>
      </c>
      <c r="BZ64" s="16" t="str">
        <f t="shared" ca="1" si="163"/>
        <v>-</v>
      </c>
      <c r="CA64" s="16" t="str">
        <f t="shared" ca="1" si="164"/>
        <v>-</v>
      </c>
      <c r="CB64" s="16">
        <f t="shared" ca="1" si="165"/>
        <v>10</v>
      </c>
      <c r="CC64" s="16"/>
      <c r="CD64" s="16">
        <f t="shared" ca="1" si="166"/>
        <v>10</v>
      </c>
      <c r="CE64" s="16" t="str">
        <f t="shared" ca="1" si="167"/>
        <v>-</v>
      </c>
      <c r="CF64" s="16">
        <f t="shared" ca="1" si="168"/>
        <v>10</v>
      </c>
      <c r="DJ64" s="16">
        <f t="shared" ca="1" si="169"/>
        <v>7</v>
      </c>
      <c r="DK64" s="16"/>
      <c r="DL64" s="16">
        <f t="shared" ca="1" si="170"/>
        <v>1</v>
      </c>
      <c r="DM64" s="16" t="str">
        <f t="shared" ca="1" si="171"/>
        <v>7.1</v>
      </c>
      <c r="DN64" s="16">
        <f t="array" aca="1" ref="DN64" ca="1">OFFSET(Horarios!$P$3,DJ64-1,0,DL64,1)</f>
        <v>7</v>
      </c>
      <c r="DO64" s="16"/>
      <c r="DP64" s="16">
        <v>7</v>
      </c>
      <c r="DQ64" s="16" t="str">
        <f t="shared" ca="1" si="172"/>
        <v>Argelia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6"/>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Arabia Saudita</v>
      </c>
      <c r="AM65" s="46">
        <f t="shared" ca="1" si="195"/>
        <v>1</v>
      </c>
      <c r="AN65" s="47">
        <f t="shared" ca="1" si="195"/>
        <v>2</v>
      </c>
      <c r="AO65" s="47">
        <f t="shared" ca="1" si="195"/>
        <v>0</v>
      </c>
      <c r="AP65" s="47">
        <f t="shared" ca="1" si="195"/>
        <v>1</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2</v>
      </c>
      <c r="BF65" s="16">
        <f t="shared" ca="1" si="150"/>
        <v>2</v>
      </c>
      <c r="BG65" s="16">
        <f t="shared" ca="1" si="174"/>
        <v>0</v>
      </c>
      <c r="BH65" s="16">
        <f t="shared" ca="1" si="175"/>
        <v>2</v>
      </c>
      <c r="BI65" s="16">
        <f t="shared" ca="1" si="176"/>
        <v>0</v>
      </c>
      <c r="BJ65" s="16">
        <f t="shared" ca="1" si="177"/>
        <v>2</v>
      </c>
      <c r="BK65" s="16">
        <f t="shared" ca="1" si="178"/>
        <v>2</v>
      </c>
      <c r="BL65" s="16">
        <f t="shared" ca="1" si="151"/>
        <v>0</v>
      </c>
      <c r="BM65" s="16">
        <f t="shared" ca="1" si="152"/>
        <v>9</v>
      </c>
      <c r="BN65" s="16">
        <f t="shared" ca="1" si="153"/>
        <v>9</v>
      </c>
      <c r="BO65" s="16" t="str">
        <f t="shared" si="154"/>
        <v>4H</v>
      </c>
      <c r="BP65" s="16"/>
      <c r="BQ65" s="16"/>
      <c r="BR65" s="16">
        <f t="shared" ca="1" si="155"/>
        <v>2</v>
      </c>
      <c r="BS65" s="16">
        <f t="shared" ca="1" si="156"/>
        <v>9</v>
      </c>
      <c r="BT65" s="16" t="str">
        <f t="shared" ca="1" si="157"/>
        <v>Pos. 9 (2)</v>
      </c>
      <c r="BU65" s="16">
        <f t="shared" ca="1" si="158"/>
        <v>0</v>
      </c>
      <c r="BV65" s="16">
        <f t="shared" ca="1" si="159"/>
        <v>9</v>
      </c>
      <c r="BW65" s="16" t="str">
        <f t="shared" ca="1" si="160"/>
        <v>Pos. 9 (2)</v>
      </c>
      <c r="BX65" s="16">
        <f t="shared" ca="1" si="161"/>
        <v>2</v>
      </c>
      <c r="BY65" s="16">
        <f t="shared" ca="1" si="162"/>
        <v>9</v>
      </c>
      <c r="BZ65" s="16" t="str">
        <f t="shared" ca="1" si="163"/>
        <v>-</v>
      </c>
      <c r="CA65" s="16" t="str">
        <f t="shared" ca="1" si="164"/>
        <v>-</v>
      </c>
      <c r="CB65" s="16">
        <f t="shared" ca="1" si="165"/>
        <v>9</v>
      </c>
      <c r="CC65" s="16"/>
      <c r="CD65" s="16">
        <f t="shared" ca="1" si="166"/>
        <v>9</v>
      </c>
      <c r="CE65" s="16" t="str">
        <f t="shared" ca="1" si="167"/>
        <v>-</v>
      </c>
      <c r="CF65" s="16">
        <f t="shared" ca="1" si="168"/>
        <v>9</v>
      </c>
      <c r="DJ65" s="16">
        <f t="shared" ca="1" si="169"/>
        <v>8</v>
      </c>
      <c r="DK65" s="16"/>
      <c r="DL65" s="16">
        <f t="shared" ca="1" si="170"/>
        <v>1</v>
      </c>
      <c r="DM65" s="16" t="str">
        <f t="shared" ca="1" si="171"/>
        <v>8.1</v>
      </c>
      <c r="DN65" s="16">
        <f t="array" aca="1" ref="DN65" ca="1">OFFSET(Horarios!$P$3,DJ65-1,0,DL65,1)</f>
        <v>8</v>
      </c>
      <c r="DO65" s="16"/>
      <c r="DP65" s="16">
        <v>8</v>
      </c>
      <c r="DQ65" s="16" t="str">
        <f t="shared" ca="1" si="172"/>
        <v>Escocia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2</v>
      </c>
      <c r="BG66" s="16">
        <f t="shared" ca="1" si="174"/>
        <v>0</v>
      </c>
      <c r="BH66" s="16">
        <f t="shared" ca="1" si="175"/>
        <v>0</v>
      </c>
      <c r="BI66" s="16">
        <f t="shared" ca="1" si="176"/>
        <v>2</v>
      </c>
      <c r="BJ66" s="16">
        <f t="shared" ca="1" si="177"/>
        <v>3</v>
      </c>
      <c r="BK66" s="16">
        <f t="shared" ca="1" si="178"/>
        <v>6</v>
      </c>
      <c r="BL66" s="16">
        <f t="shared" ca="1" si="151"/>
        <v>-3</v>
      </c>
      <c r="BM66" s="16">
        <f t="shared" ca="1" si="152"/>
        <v>12</v>
      </c>
      <c r="BN66" s="16">
        <f t="shared" ca="1" si="153"/>
        <v>12</v>
      </c>
      <c r="BO66" s="16" t="str">
        <f t="shared" si="154"/>
        <v>4I</v>
      </c>
      <c r="BP66" s="16"/>
      <c r="BQ66" s="16"/>
      <c r="BR66" s="16">
        <f t="shared" ca="1" si="155"/>
        <v>0</v>
      </c>
      <c r="BS66" s="16">
        <f t="shared" ca="1" si="156"/>
        <v>12</v>
      </c>
      <c r="BT66" s="16" t="str">
        <f t="shared" ca="1" si="157"/>
        <v>-</v>
      </c>
      <c r="BU66" s="16" t="str">
        <f t="shared" ca="1" si="158"/>
        <v>-</v>
      </c>
      <c r="BV66" s="16">
        <f t="shared" ca="1" si="159"/>
        <v>12</v>
      </c>
      <c r="BW66" s="16" t="str">
        <f t="shared" ca="1" si="160"/>
        <v>-</v>
      </c>
      <c r="BX66" s="16" t="str">
        <f t="shared" ca="1" si="161"/>
        <v>-</v>
      </c>
      <c r="BY66" s="16">
        <f t="shared" ca="1" si="162"/>
        <v>12</v>
      </c>
      <c r="BZ66" s="16" t="str">
        <f t="shared" ca="1" si="163"/>
        <v>-</v>
      </c>
      <c r="CA66" s="16" t="str">
        <f t="shared" ca="1" si="164"/>
        <v>-</v>
      </c>
      <c r="CB66" s="16">
        <f t="shared" ca="1" si="165"/>
        <v>12</v>
      </c>
      <c r="CC66" s="16"/>
      <c r="CD66" s="16">
        <f t="shared" ca="1" si="166"/>
        <v>12</v>
      </c>
      <c r="CE66" s="16" t="str">
        <f t="shared" ca="1" si="167"/>
        <v>-</v>
      </c>
      <c r="CF66" s="16">
        <f t="shared" ca="1" si="168"/>
        <v>12</v>
      </c>
      <c r="DJ66" s="16">
        <f t="shared" ca="1" si="169"/>
        <v>9</v>
      </c>
      <c r="DK66" s="16"/>
      <c r="DL66" s="16">
        <f t="shared" ca="1" si="170"/>
        <v>1</v>
      </c>
      <c r="DM66" s="16" t="str">
        <f t="shared" ca="1" si="171"/>
        <v>9.1</v>
      </c>
      <c r="DN66" s="16">
        <f t="array" aca="1" ref="DN66" ca="1">OFFSET(Horarios!$P$3,DJ66-1,0,DL66,1)</f>
        <v>9</v>
      </c>
      <c r="DO66" s="16"/>
      <c r="DP66" s="16">
        <v>9</v>
      </c>
      <c r="DQ66" s="16" t="str">
        <f t="shared" ca="1" si="172"/>
        <v>Cabo Verde</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3</v>
      </c>
      <c r="BF67" s="16">
        <f t="shared" ca="1" si="150"/>
        <v>2</v>
      </c>
      <c r="BG67" s="16">
        <f t="shared" ca="1" si="174"/>
        <v>1</v>
      </c>
      <c r="BH67" s="16">
        <f t="shared" ca="1" si="175"/>
        <v>0</v>
      </c>
      <c r="BI67" s="16">
        <f t="shared" ca="1" si="176"/>
        <v>1</v>
      </c>
      <c r="BJ67" s="16">
        <f t="shared" ca="1" si="177"/>
        <v>2</v>
      </c>
      <c r="BK67" s="16">
        <f t="shared" ca="1" si="178"/>
        <v>4</v>
      </c>
      <c r="BL67" s="16">
        <f t="shared" ca="1" si="151"/>
        <v>-2</v>
      </c>
      <c r="BM67" s="16">
        <f t="shared" ca="1" si="152"/>
        <v>7</v>
      </c>
      <c r="BN67" s="16">
        <f t="shared" ca="1" si="153"/>
        <v>7</v>
      </c>
      <c r="BO67" s="16" t="str">
        <f t="shared" si="154"/>
        <v>4J</v>
      </c>
      <c r="BP67" s="16"/>
      <c r="BQ67" s="16"/>
      <c r="BR67" s="16">
        <f t="shared" ca="1" si="155"/>
        <v>3</v>
      </c>
      <c r="BS67" s="16">
        <f t="shared" ca="1" si="156"/>
        <v>5</v>
      </c>
      <c r="BT67" s="16" t="str">
        <f t="shared" ca="1" si="157"/>
        <v>Pos. 5 (4)</v>
      </c>
      <c r="BU67" s="16">
        <f t="shared" ca="1" si="158"/>
        <v>-2</v>
      </c>
      <c r="BV67" s="16">
        <f t="shared" ca="1" si="159"/>
        <v>7</v>
      </c>
      <c r="BW67" s="16" t="str">
        <f t="shared" ca="1" si="160"/>
        <v>-</v>
      </c>
      <c r="BX67" s="16" t="str">
        <f t="shared" ca="1" si="161"/>
        <v>-</v>
      </c>
      <c r="BY67" s="16">
        <f t="shared" ca="1" si="162"/>
        <v>7</v>
      </c>
      <c r="BZ67" s="16" t="str">
        <f t="shared" ca="1" si="163"/>
        <v>-</v>
      </c>
      <c r="CA67" s="16" t="str">
        <f t="shared" ca="1" si="164"/>
        <v>-</v>
      </c>
      <c r="CB67" s="16">
        <f t="shared" ca="1" si="165"/>
        <v>7</v>
      </c>
      <c r="CC67" s="16"/>
      <c r="CD67" s="16">
        <f t="shared" ca="1" si="166"/>
        <v>7</v>
      </c>
      <c r="CE67" s="16" t="str">
        <f t="shared" ca="1" si="167"/>
        <v>-</v>
      </c>
      <c r="CF67" s="16">
        <f t="shared" ca="1" si="168"/>
        <v>7</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Bélgica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35"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2</v>
      </c>
      <c r="BG68" s="16">
        <f t="shared" ca="1" si="174"/>
        <v>0</v>
      </c>
      <c r="BH68" s="16">
        <f t="shared" ca="1" si="175"/>
        <v>1</v>
      </c>
      <c r="BI68" s="16">
        <f t="shared" ca="1" si="176"/>
        <v>1</v>
      </c>
      <c r="BJ68" s="16">
        <f t="shared" ca="1" si="177"/>
        <v>1</v>
      </c>
      <c r="BK68" s="16">
        <f t="shared" ca="1" si="178"/>
        <v>2</v>
      </c>
      <c r="BL68" s="16">
        <f t="shared" ca="1" si="151"/>
        <v>-1</v>
      </c>
      <c r="BM68" s="16">
        <f t="shared" ca="1" si="152"/>
        <v>11</v>
      </c>
      <c r="BN68" s="16">
        <f t="shared" ca="1" si="153"/>
        <v>11</v>
      </c>
      <c r="BO68" s="16" t="str">
        <f t="shared" si="154"/>
        <v>4K</v>
      </c>
      <c r="BP68" s="16"/>
      <c r="BQ68" s="16"/>
      <c r="BR68" s="16">
        <f t="shared" ca="1" si="155"/>
        <v>1</v>
      </c>
      <c r="BS68" s="16">
        <f t="shared" ca="1" si="156"/>
        <v>11</v>
      </c>
      <c r="BT68" s="16" t="str">
        <f t="shared" ca="1" si="157"/>
        <v>-</v>
      </c>
      <c r="BU68" s="16" t="str">
        <f t="shared" ca="1" si="158"/>
        <v>-</v>
      </c>
      <c r="BV68" s="16">
        <f t="shared" ca="1" si="159"/>
        <v>11</v>
      </c>
      <c r="BW68" s="16" t="str">
        <f t="shared" ca="1" si="160"/>
        <v>-</v>
      </c>
      <c r="BX68" s="16" t="str">
        <f t="shared" ca="1" si="161"/>
        <v>-</v>
      </c>
      <c r="BY68" s="16">
        <f t="shared" ca="1" si="162"/>
        <v>11</v>
      </c>
      <c r="BZ68" s="16" t="str">
        <f t="shared" ca="1" si="163"/>
        <v>-</v>
      </c>
      <c r="CA68" s="16" t="str">
        <f t="shared" ca="1" si="164"/>
        <v>-</v>
      </c>
      <c r="CB68" s="16">
        <f t="shared" ca="1" si="165"/>
        <v>11</v>
      </c>
      <c r="CC68" s="16"/>
      <c r="CD68" s="16">
        <f t="shared" ca="1" si="166"/>
        <v>11</v>
      </c>
      <c r="CE68" s="16" t="str">
        <f t="shared" ca="1" si="167"/>
        <v>-</v>
      </c>
      <c r="CF68" s="16">
        <f t="shared" ca="1" si="168"/>
        <v>11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RD Congo</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5"/>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Croacia</v>
      </c>
      <c r="BE69" s="16">
        <f t="shared" ca="1" si="193"/>
        <v>3</v>
      </c>
      <c r="BF69" s="16">
        <f t="shared" ca="1" si="150"/>
        <v>2</v>
      </c>
      <c r="BG69" s="16">
        <f t="shared" ca="1" si="174"/>
        <v>1</v>
      </c>
      <c r="BH69" s="16">
        <f t="shared" ca="1" si="175"/>
        <v>0</v>
      </c>
      <c r="BI69" s="16">
        <f t="shared" ca="1" si="176"/>
        <v>1</v>
      </c>
      <c r="BJ69" s="16">
        <f t="shared" ca="1" si="177"/>
        <v>3</v>
      </c>
      <c r="BK69" s="16">
        <f t="shared" ca="1" si="178"/>
        <v>4</v>
      </c>
      <c r="BL69" s="16">
        <f t="shared" ca="1" si="151"/>
        <v>-1</v>
      </c>
      <c r="BM69" s="16">
        <f t="shared" ca="1" si="152"/>
        <v>5</v>
      </c>
      <c r="BN69" s="16">
        <f t="shared" ca="1" si="153"/>
        <v>5</v>
      </c>
      <c r="BO69" s="16" t="str">
        <f t="shared" si="154"/>
        <v>4L</v>
      </c>
      <c r="BP69" s="16"/>
      <c r="BQ69" s="16"/>
      <c r="BR69" s="16">
        <f t="shared" ca="1" si="155"/>
        <v>3</v>
      </c>
      <c r="BS69" s="16">
        <f t="shared" ca="1" si="156"/>
        <v>5</v>
      </c>
      <c r="BT69" s="16" t="str">
        <f t="shared" ca="1" si="157"/>
        <v>Pos. 5 (4)</v>
      </c>
      <c r="BU69" s="16">
        <f t="shared" ca="1" si="158"/>
        <v>-1</v>
      </c>
      <c r="BV69" s="16">
        <f t="shared" ca="1" si="159"/>
        <v>5</v>
      </c>
      <c r="BW69" s="16" t="str">
        <f t="shared" ca="1" si="160"/>
        <v>Pos. 5 (2)</v>
      </c>
      <c r="BX69" s="16">
        <f t="shared" ca="1" si="161"/>
        <v>3</v>
      </c>
      <c r="BY69" s="16">
        <f t="shared" ca="1" si="162"/>
        <v>5</v>
      </c>
      <c r="BZ69" s="16" t="str">
        <f t="shared" ca="1" si="163"/>
        <v>-</v>
      </c>
      <c r="CA69" s="16" t="str">
        <f t="shared" ca="1" si="164"/>
        <v>-</v>
      </c>
      <c r="CB69" s="16">
        <f t="shared" ca="1" si="165"/>
        <v>5</v>
      </c>
      <c r="CC69" s="16"/>
      <c r="CD69" s="16">
        <f t="shared" ca="1" si="166"/>
        <v>5</v>
      </c>
      <c r="CE69" s="16" t="str">
        <f t="shared" ca="1" si="167"/>
        <v>-</v>
      </c>
      <c r="CF69" s="16">
        <f t="shared" ca="1" si="168"/>
        <v>5</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Senegal</v>
      </c>
    </row>
    <row r="70" spans="1:121" ht="16" customHeight="1" x14ac:dyDescent="0.2">
      <c r="A70" s="16" t="str">
        <f ca="1">+Equipos!B35</f>
        <v>Senegal</v>
      </c>
      <c r="B70" s="16"/>
      <c r="C70" s="16"/>
      <c r="D70" s="16" t="str">
        <f t="shared" si="196"/>
        <v>Local</v>
      </c>
      <c r="E70" s="16" t="str">
        <f t="shared" ca="1" si="197"/>
        <v>P.1 (2)</v>
      </c>
      <c r="F70" s="16" t="str">
        <f t="shared" ca="1" si="198"/>
        <v>P.3 (2)</v>
      </c>
      <c r="G70" s="16"/>
      <c r="H70" s="16" t="str">
        <f t="shared" ca="1" si="199"/>
        <v>P.1 (2)</v>
      </c>
      <c r="I70" s="16" t="str">
        <f t="shared" ca="1" si="200"/>
        <v>P.3 (2)</v>
      </c>
      <c r="J70" s="16"/>
      <c r="K70" s="16" t="str">
        <f t="shared" ca="1" si="201"/>
        <v>P.1 (2)</v>
      </c>
      <c r="L70" s="16" t="str">
        <f t="shared" ca="1" si="202"/>
        <v>P.3 (2)</v>
      </c>
      <c r="M70" s="16"/>
      <c r="N70" s="16" t="str">
        <f t="shared" ca="1" si="203"/>
        <v>P.1 (2)</v>
      </c>
      <c r="O70" s="16" t="str">
        <f t="shared" ca="1" si="204"/>
        <v>P.3 (2)</v>
      </c>
      <c r="P70" s="16"/>
      <c r="Q70" s="16" t="str">
        <f t="shared" ca="1" si="205"/>
        <v>P.1 (2)</v>
      </c>
      <c r="R70" s="16" t="str">
        <f t="shared" ca="1" si="206"/>
        <v>P.3 (2)</v>
      </c>
      <c r="S70" s="16"/>
      <c r="T70" s="16" t="str">
        <f t="shared" ca="1" si="207"/>
        <v>P.1 (2)</v>
      </c>
      <c r="U70" s="16" t="str">
        <f t="shared" ca="1" si="208"/>
        <v>P.3 (2)</v>
      </c>
      <c r="V70" s="17"/>
      <c r="W70" s="625"/>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6</v>
      </c>
      <c r="AN70" s="36">
        <f t="shared" ca="1" si="211"/>
        <v>2</v>
      </c>
      <c r="AO70" s="36">
        <f t="shared" ca="1" si="211"/>
        <v>2</v>
      </c>
      <c r="AP70" s="36">
        <f t="shared" ca="1" si="211"/>
        <v>0</v>
      </c>
      <c r="AQ70" s="36">
        <f t="shared" ca="1" si="211"/>
        <v>0</v>
      </c>
      <c r="AR70" s="36">
        <f t="shared" ca="1" si="211"/>
        <v>6</v>
      </c>
      <c r="AS70" s="36">
        <f t="shared" ca="1" si="211"/>
        <v>1</v>
      </c>
      <c r="AT70" s="41">
        <f t="shared" ca="1" si="211"/>
        <v>5</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P.1 (2)</v>
      </c>
      <c r="F71" s="16" t="str">
        <f t="shared" ca="1" si="198"/>
        <v>P.3 (2)</v>
      </c>
      <c r="G71" s="16"/>
      <c r="H71" s="16" t="str">
        <f t="shared" ca="1" si="199"/>
        <v>P.1 (2)</v>
      </c>
      <c r="I71" s="16" t="str">
        <f t="shared" ca="1" si="200"/>
        <v>P.3 (2)</v>
      </c>
      <c r="J71" s="16"/>
      <c r="K71" s="16" t="str">
        <f t="shared" ca="1" si="201"/>
        <v>P.1 (2)</v>
      </c>
      <c r="L71" s="16" t="str">
        <f t="shared" ca="1" si="202"/>
        <v>P.3 (2)</v>
      </c>
      <c r="M71" s="16"/>
      <c r="N71" s="16" t="str">
        <f t="shared" ca="1" si="203"/>
        <v>P.1 (2)</v>
      </c>
      <c r="O71" s="16" t="str">
        <f t="shared" ca="1" si="204"/>
        <v>P.3 (2)</v>
      </c>
      <c r="P71" s="16"/>
      <c r="Q71" s="16" t="str">
        <f t="shared" ca="1" si="205"/>
        <v>P.1 (2)</v>
      </c>
      <c r="R71" s="16" t="str">
        <f t="shared" ca="1" si="206"/>
        <v>P.3 (2)</v>
      </c>
      <c r="S71" s="16"/>
      <c r="T71" s="16" t="str">
        <f t="shared" ca="1" si="207"/>
        <v>P.1 (2)</v>
      </c>
      <c r="U71" s="16" t="str">
        <f t="shared" ca="1" si="208"/>
        <v>P.3 (2)</v>
      </c>
      <c r="V71" s="17"/>
      <c r="W71" s="625"/>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2</v>
      </c>
      <c r="AO71" s="39">
        <f t="shared" ca="1" si="211"/>
        <v>2</v>
      </c>
      <c r="AP71" s="39">
        <f t="shared" ca="1" si="211"/>
        <v>0</v>
      </c>
      <c r="AQ71" s="39">
        <f t="shared" ca="1" si="211"/>
        <v>0</v>
      </c>
      <c r="AR71" s="39">
        <f t="shared" ca="1" si="211"/>
        <v>7</v>
      </c>
      <c r="AS71" s="39">
        <f t="shared" ca="1" si="211"/>
        <v>3</v>
      </c>
      <c r="AT71" s="43">
        <f t="shared" ca="1" si="211"/>
        <v>4</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5"/>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2</v>
      </c>
      <c r="AO72" s="39">
        <f t="shared" ca="1" si="211"/>
        <v>0</v>
      </c>
      <c r="AP72" s="39">
        <f t="shared" ca="1" si="211"/>
        <v>0</v>
      </c>
      <c r="AQ72" s="39">
        <f t="shared" ca="1" si="211"/>
        <v>2</v>
      </c>
      <c r="AR72" s="39">
        <f t="shared" ca="1" si="211"/>
        <v>3</v>
      </c>
      <c r="AS72" s="39">
        <f t="shared" ca="1" si="211"/>
        <v>6</v>
      </c>
      <c r="AT72" s="43">
        <f t="shared" ca="1" si="211"/>
        <v>-3</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6"/>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2</v>
      </c>
      <c r="AO73" s="47">
        <f t="shared" ca="1" si="211"/>
        <v>0</v>
      </c>
      <c r="AP73" s="47">
        <f t="shared" ca="1" si="211"/>
        <v>0</v>
      </c>
      <c r="AQ73" s="47">
        <f t="shared" ca="1" si="211"/>
        <v>2</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3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5"/>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5"/>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6</v>
      </c>
      <c r="AN78" s="36">
        <f t="shared" ca="1" si="227"/>
        <v>2</v>
      </c>
      <c r="AO78" s="36">
        <f t="shared" ca="1" si="227"/>
        <v>2</v>
      </c>
      <c r="AP78" s="36">
        <f t="shared" ca="1" si="227"/>
        <v>0</v>
      </c>
      <c r="AQ78" s="36">
        <f t="shared" ca="1" si="227"/>
        <v>0</v>
      </c>
      <c r="AR78" s="36">
        <f t="shared" ca="1" si="227"/>
        <v>5</v>
      </c>
      <c r="AS78" s="36">
        <f t="shared" ca="1" si="227"/>
        <v>0</v>
      </c>
      <c r="AT78" s="41">
        <f t="shared" ca="1" si="227"/>
        <v>5</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5"/>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2</v>
      </c>
      <c r="AO79" s="39">
        <f t="shared" ca="1" si="227"/>
        <v>1</v>
      </c>
      <c r="AP79" s="39">
        <f t="shared" ca="1" si="227"/>
        <v>0</v>
      </c>
      <c r="AQ79" s="39">
        <f t="shared" ca="1" si="227"/>
        <v>1</v>
      </c>
      <c r="AR79" s="39">
        <f t="shared" ca="1" si="227"/>
        <v>3</v>
      </c>
      <c r="AS79" s="39">
        <f t="shared" ca="1" si="227"/>
        <v>3</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5"/>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Argelia</v>
      </c>
      <c r="AM80" s="38">
        <f t="shared" ca="1" si="227"/>
        <v>3</v>
      </c>
      <c r="AN80" s="39">
        <f t="shared" ca="1" si="227"/>
        <v>2</v>
      </c>
      <c r="AO80" s="39">
        <f t="shared" ca="1" si="227"/>
        <v>1</v>
      </c>
      <c r="AP80" s="39">
        <f t="shared" ca="1" si="227"/>
        <v>0</v>
      </c>
      <c r="AQ80" s="39">
        <f t="shared" ca="1" si="227"/>
        <v>1</v>
      </c>
      <c r="AR80" s="39">
        <f t="shared" ca="1" si="227"/>
        <v>2</v>
      </c>
      <c r="AS80" s="39">
        <f t="shared" ca="1" si="227"/>
        <v>4</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6"/>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2</v>
      </c>
      <c r="AO81" s="47">
        <f t="shared" ca="1" si="227"/>
        <v>0</v>
      </c>
      <c r="AP81" s="47">
        <f t="shared" ca="1" si="227"/>
        <v>0</v>
      </c>
      <c r="AQ81" s="47">
        <f t="shared" ca="1" si="227"/>
        <v>2</v>
      </c>
      <c r="AR81" s="47">
        <f t="shared" ca="1" si="227"/>
        <v>2</v>
      </c>
      <c r="AS81" s="47">
        <f t="shared" ca="1" si="227"/>
        <v>5</v>
      </c>
      <c r="AT81" s="48">
        <f t="shared" ca="1" si="227"/>
        <v>-3</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0"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5"/>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5"/>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6</v>
      </c>
      <c r="AN86" s="36">
        <f t="shared" ca="1" si="243"/>
        <v>2</v>
      </c>
      <c r="AO86" s="36">
        <f t="shared" ca="1" si="243"/>
        <v>2</v>
      </c>
      <c r="AP86" s="36">
        <f t="shared" ca="1" si="243"/>
        <v>0</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5"/>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4</v>
      </c>
      <c r="AN87" s="39">
        <f t="shared" ca="1" si="243"/>
        <v>2</v>
      </c>
      <c r="AO87" s="39">
        <f t="shared" ca="1" si="243"/>
        <v>1</v>
      </c>
      <c r="AP87" s="39">
        <f t="shared" ca="1" si="243"/>
        <v>1</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5"/>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2</v>
      </c>
      <c r="AO88" s="39">
        <f t="shared" ca="1" si="243"/>
        <v>0</v>
      </c>
      <c r="AP88" s="39">
        <f t="shared" ca="1" si="243"/>
        <v>1</v>
      </c>
      <c r="AQ88" s="39">
        <f t="shared" ca="1" si="243"/>
        <v>1</v>
      </c>
      <c r="AR88" s="39">
        <f t="shared" ca="1" si="243"/>
        <v>1</v>
      </c>
      <c r="AS88" s="39">
        <f t="shared" ca="1" si="243"/>
        <v>2</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6"/>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2</v>
      </c>
      <c r="AO89" s="47">
        <f t="shared" ca="1" si="243"/>
        <v>0</v>
      </c>
      <c r="AP89" s="47">
        <f t="shared" ca="1" si="243"/>
        <v>0</v>
      </c>
      <c r="AQ89" s="47">
        <f t="shared" ca="1" si="243"/>
        <v>2</v>
      </c>
      <c r="AR89" s="47">
        <f t="shared" ca="1" si="243"/>
        <v>1</v>
      </c>
      <c r="AS89" s="47">
        <f t="shared" ca="1" si="243"/>
        <v>8</v>
      </c>
      <c r="AT89" s="48">
        <f t="shared" ca="1" si="243"/>
        <v>-7</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v>
      </c>
      <c r="G92" s="16"/>
      <c r="H92" s="16" t="str">
        <f t="shared" ref="H92:H97" ca="1" si="247">IF(D92="Pendiente","-",INDEX($BZ$6:$BZ$53,MATCH($AA92,$BD$6:$BD$53,0)))</f>
        <v>P.1 (2)</v>
      </c>
      <c r="I92" s="16" t="str">
        <f t="shared" ref="I92:I97" ca="1" si="248">IF(D92="Pendiente","-",INDEX($BZ$6:$BZ$53,MATCH($AF92,$BD$6:$BD$53,0)))</f>
        <v>-</v>
      </c>
      <c r="J92" s="16"/>
      <c r="K92" s="16" t="str">
        <f t="shared" ref="K92:K97" ca="1" si="249">IF(D92="Pendiente","-",INDEX($CE$6:$CE$53,MATCH($AA92,$BD$6:$BD$53,0)))</f>
        <v>P.1 (2)</v>
      </c>
      <c r="L92" s="16" t="str">
        <f t="shared" ref="L92:L97" ca="1" si="250">IF(D92="Pendiente","-",INDEX($CE$6:$CE$53,MATCH($AF92,$BD$6:$BD$53,0)))</f>
        <v>-</v>
      </c>
      <c r="M92" s="16"/>
      <c r="N92" s="16" t="str">
        <f t="shared" ref="N92:N97" ca="1" si="251">IF(D92="Pendiente","-",INDEX($CH$6:$CH$53,MATCH($AA92,$BD$6:$BD$53,0)))</f>
        <v>P.1 (2)</v>
      </c>
      <c r="O92" s="16" t="str">
        <f t="shared" ref="O92:O97" ca="1" si="252">IF(D92="Pendiente","-",INDEX($CH$6:$CH$53,MATCH($AF92,$BD$6:$BD$53,0)))</f>
        <v>-</v>
      </c>
      <c r="P92" s="16"/>
      <c r="Q92" s="16" t="str">
        <f t="shared" ref="Q92:Q97" ca="1" si="253">IF(D92="Pendiente","-",INDEX($CN$6:$CN$53,MATCH($AA92,$BD$6:$BD$53,0)))</f>
        <v>P.1 (2)</v>
      </c>
      <c r="R92" s="16" t="str">
        <f t="shared" ref="R92:R97" ca="1" si="254">IF(D92="Pendiente","-",INDEX($CN$6:$CN$53,MATCH($AF92,$BD$6:$BD$53,0)))</f>
        <v>-</v>
      </c>
      <c r="S92" s="16"/>
      <c r="T92" s="16" t="str">
        <f t="shared" ref="T92:T97" ca="1" si="255">IF(D92="Pendiente","-",INDEX($CS$6:$CS$53,MATCH($AA92,$BD$6:$BD$53,0)))</f>
        <v>P.1 (2)</v>
      </c>
      <c r="U92" s="16" t="str">
        <f t="shared" ref="U92:U97" ca="1" si="256">IF(D92="Pendiente","-",INDEX($CS$6:$CS$53,MATCH($AF92,$BD$6:$BD$53,0)))</f>
        <v>-</v>
      </c>
      <c r="V92" s="17"/>
      <c r="W92" s="633"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v>
      </c>
      <c r="G93" s="16"/>
      <c r="H93" s="16" t="str">
        <f t="shared" ca="1" si="247"/>
        <v>P.1 (2)</v>
      </c>
      <c r="I93" s="16" t="str">
        <f t="shared" ca="1" si="248"/>
        <v>-</v>
      </c>
      <c r="J93" s="16"/>
      <c r="K93" s="16" t="str">
        <f t="shared" ca="1" si="249"/>
        <v>P.1 (2)</v>
      </c>
      <c r="L93" s="16" t="str">
        <f t="shared" ca="1" si="250"/>
        <v>-</v>
      </c>
      <c r="M93" s="16"/>
      <c r="N93" s="16" t="str">
        <f t="shared" ca="1" si="251"/>
        <v>P.1 (2)</v>
      </c>
      <c r="O93" s="16" t="str">
        <f t="shared" ca="1" si="252"/>
        <v>-</v>
      </c>
      <c r="P93" s="16"/>
      <c r="Q93" s="16" t="str">
        <f t="shared" ca="1" si="253"/>
        <v>P.1 (2)</v>
      </c>
      <c r="R93" s="16" t="str">
        <f t="shared" ca="1" si="254"/>
        <v>-</v>
      </c>
      <c r="S93" s="16"/>
      <c r="T93" s="16" t="str">
        <f t="shared" ca="1" si="255"/>
        <v>P.1 (2)</v>
      </c>
      <c r="U93" s="16" t="str">
        <f t="shared" ca="1" si="256"/>
        <v>-</v>
      </c>
      <c r="V93" s="17"/>
      <c r="W93" s="625"/>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P.1 (2)</v>
      </c>
      <c r="F94" s="16" t="str">
        <f t="shared" ca="1" si="246"/>
        <v>P.1 (2)</v>
      </c>
      <c r="G94" s="16"/>
      <c r="H94" s="16" t="str">
        <f t="shared" ca="1" si="247"/>
        <v>P.1 (2)</v>
      </c>
      <c r="I94" s="16" t="str">
        <f t="shared" ca="1" si="248"/>
        <v>P.1 (2)</v>
      </c>
      <c r="J94" s="16"/>
      <c r="K94" s="16" t="str">
        <f t="shared" ca="1" si="249"/>
        <v>P.1 (2)</v>
      </c>
      <c r="L94" s="16" t="str">
        <f t="shared" ca="1" si="250"/>
        <v>P.1 (2)</v>
      </c>
      <c r="M94" s="16"/>
      <c r="N94" s="16" t="str">
        <f t="shared" ca="1" si="251"/>
        <v>P.1 (2)</v>
      </c>
      <c r="O94" s="16" t="str">
        <f t="shared" ca="1" si="252"/>
        <v>P.1 (2)</v>
      </c>
      <c r="P94" s="16"/>
      <c r="Q94" s="16" t="str">
        <f t="shared" ca="1" si="253"/>
        <v>P.1 (2)</v>
      </c>
      <c r="R94" s="16" t="str">
        <f t="shared" ca="1" si="254"/>
        <v>P.1 (2)</v>
      </c>
      <c r="S94" s="16"/>
      <c r="T94" s="16" t="str">
        <f t="shared" ca="1" si="255"/>
        <v>P.1 (2)</v>
      </c>
      <c r="U94" s="16" t="str">
        <f t="shared" ca="1" si="256"/>
        <v>P.1 (2)</v>
      </c>
      <c r="V94" s="17"/>
      <c r="W94" s="625"/>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4</v>
      </c>
      <c r="AN94" s="36">
        <f t="shared" ca="1" si="259"/>
        <v>2</v>
      </c>
      <c r="AO94" s="36">
        <f t="shared" ca="1" si="259"/>
        <v>1</v>
      </c>
      <c r="AP94" s="36">
        <f t="shared" ca="1" si="259"/>
        <v>1</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5"/>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Ghana</v>
      </c>
      <c r="AM95" s="38">
        <f t="shared" ca="1" si="259"/>
        <v>4</v>
      </c>
      <c r="AN95" s="39">
        <f t="shared" ca="1" si="259"/>
        <v>2</v>
      </c>
      <c r="AO95" s="39">
        <f t="shared" ca="1" si="259"/>
        <v>1</v>
      </c>
      <c r="AP95" s="39">
        <f t="shared" ca="1" si="259"/>
        <v>1</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5"/>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Croacia</v>
      </c>
      <c r="AM96" s="38">
        <f t="shared" ca="1" si="259"/>
        <v>3</v>
      </c>
      <c r="AN96" s="39">
        <f t="shared" ca="1" si="259"/>
        <v>2</v>
      </c>
      <c r="AO96" s="39">
        <f t="shared" ca="1" si="259"/>
        <v>1</v>
      </c>
      <c r="AP96" s="39">
        <f t="shared" ca="1" si="259"/>
        <v>0</v>
      </c>
      <c r="AQ96" s="39">
        <f t="shared" ca="1" si="259"/>
        <v>1</v>
      </c>
      <c r="AR96" s="39">
        <f t="shared" ca="1" si="259"/>
        <v>3</v>
      </c>
      <c r="AS96" s="39">
        <f t="shared" ca="1" si="259"/>
        <v>4</v>
      </c>
      <c r="AT96" s="43">
        <f t="shared" ca="1" si="259"/>
        <v>-1</v>
      </c>
      <c r="AU96" s="323">
        <f ca="1">INDEX($DL$6:$DL$53,MATCH(AI96,$DP$6:$DP$53,0))</f>
        <v>1</v>
      </c>
      <c r="AV96" s="182" t="str">
        <f ca="1">INDEX($BD$6:$BD$53,MATCH(AI96,$BM$6:$BM$53,0))</f>
        <v>Croacia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6"/>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2</v>
      </c>
      <c r="AO97" s="47">
        <f t="shared" ca="1" si="259"/>
        <v>0</v>
      </c>
      <c r="AP97" s="47">
        <f t="shared" ca="1" si="259"/>
        <v>0</v>
      </c>
      <c r="AQ97" s="47">
        <f t="shared" ca="1" si="259"/>
        <v>2</v>
      </c>
      <c r="AR97" s="47">
        <f t="shared" ca="1" si="259"/>
        <v>0</v>
      </c>
      <c r="AS97" s="47">
        <f t="shared" ca="1" si="259"/>
        <v>2</v>
      </c>
      <c r="AT97" s="48">
        <f t="shared" ca="1" si="259"/>
        <v>-2</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24"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ABCDEFJL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5"/>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Suecia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7</v>
      </c>
      <c r="AS102" s="83">
        <f t="shared" ca="1" si="269"/>
        <v>7</v>
      </c>
      <c r="AT102" s="84">
        <f t="shared" ca="1" si="269"/>
        <v>0</v>
      </c>
      <c r="AU102" s="323" t="str">
        <f t="shared" ref="AU102:AU113" ca="1" si="270">IF($H$113=144,INDEX($DL$58:$DL$69,MATCH(AI102,$DP$58:$DP$69,0)),"")</f>
        <v/>
      </c>
      <c r="AV102" s="182" t="str">
        <f t="shared" ref="AV102:AV113" ca="1" si="271">INDEX($BD$58:$BD$69,MATCH(AI102,$BM$58:$BM$69,0))</f>
        <v>Suecia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5"/>
      <c r="X103" s="24">
        <f ca="1">Horarios!C103</f>
        <v>46202.6875</v>
      </c>
      <c r="Y103" s="25">
        <f ca="1">Horarios!C103</f>
        <v>46202.6875</v>
      </c>
      <c r="Z103" s="274">
        <f t="shared" si="263"/>
        <v>74</v>
      </c>
      <c r="AA103" s="88" t="str">
        <f t="shared" ca="1" si="264"/>
        <v>Alemania</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Ecuador</v>
      </c>
      <c r="AM103" s="576">
        <f t="shared" ca="1" si="269"/>
        <v>4</v>
      </c>
      <c r="AN103" s="86">
        <f t="shared" ca="1" si="269"/>
        <v>3</v>
      </c>
      <c r="AO103" s="86">
        <f t="shared" ca="1" si="269"/>
        <v>1</v>
      </c>
      <c r="AP103" s="86">
        <f t="shared" ca="1" si="269"/>
        <v>1</v>
      </c>
      <c r="AQ103" s="86">
        <f t="shared" ca="1" si="269"/>
        <v>1</v>
      </c>
      <c r="AR103" s="86">
        <f t="shared" ca="1" si="269"/>
        <v>2</v>
      </c>
      <c r="AS103" s="86">
        <f t="shared" ca="1" si="269"/>
        <v>2</v>
      </c>
      <c r="AT103" s="87">
        <f t="shared" ca="1" si="269"/>
        <v>0</v>
      </c>
      <c r="AU103" s="323" t="str">
        <f t="shared" ca="1" si="270"/>
        <v/>
      </c>
      <c r="AV103" s="182" t="str">
        <f t="shared" ca="1" si="271"/>
        <v>Ecuador</v>
      </c>
      <c r="AW103" s="215"/>
      <c r="AX103" s="170"/>
      <c r="AY103" s="270"/>
      <c r="AZ103" s="273" t="str">
        <f t="shared" ref="AZ103:AZ110" ca="1" si="272">+IF(OR($H$113&gt;=48,$AJ$99=144),BF117&amp;" - "&amp;BG117,"")</f>
        <v>1A - 3C</v>
      </c>
      <c r="BA103" s="176"/>
      <c r="BF103" t="str">
        <f t="shared" ref="BF103:BF110" ca="1" si="273">IFERROR(INDEX($BC$6:$BC$53,MATCH(AL102,$BD$6:$BD$53,0)),"")</f>
        <v>F</v>
      </c>
      <c r="BG103">
        <f t="shared" ref="BG103:BG110" ca="1" si="274">COUNTIF($BF$103:$BF$110,"&lt;="&amp;BF103)</f>
        <v>6</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5"/>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Bosnia y Herzegovina</v>
      </c>
      <c r="AM104" s="576">
        <f t="shared" ca="1" si="269"/>
        <v>4</v>
      </c>
      <c r="AN104" s="86">
        <f t="shared" ca="1" si="269"/>
        <v>3</v>
      </c>
      <c r="AO104" s="86">
        <f t="shared" ca="1" si="269"/>
        <v>1</v>
      </c>
      <c r="AP104" s="86">
        <f t="shared" ca="1" si="269"/>
        <v>1</v>
      </c>
      <c r="AQ104" s="86">
        <f t="shared" ca="1" si="269"/>
        <v>1</v>
      </c>
      <c r="AR104" s="86">
        <f t="shared" ca="1" si="269"/>
        <v>5</v>
      </c>
      <c r="AS104" s="86">
        <f t="shared" ca="1" si="269"/>
        <v>6</v>
      </c>
      <c r="AT104" s="87">
        <f t="shared" ca="1" si="269"/>
        <v>-1</v>
      </c>
      <c r="AU104" s="323" t="str">
        <f t="shared" ca="1" si="270"/>
        <v/>
      </c>
      <c r="AV104" s="182" t="str">
        <f t="shared" ca="1" si="271"/>
        <v>Bosnia y Herzegovina</v>
      </c>
      <c r="AW104" s="215"/>
      <c r="AX104" s="170"/>
      <c r="AY104" s="270"/>
      <c r="AZ104" s="273" t="str">
        <f t="shared" ca="1" si="272"/>
        <v>1B - 3J</v>
      </c>
      <c r="BA104" s="176"/>
      <c r="BF104" t="str">
        <f t="shared" ca="1" si="273"/>
        <v>E</v>
      </c>
      <c r="BG104">
        <f t="shared" ca="1" si="274"/>
        <v>5</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5"/>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Paraguay</v>
      </c>
      <c r="AM105" s="576">
        <f t="shared" ca="1" si="269"/>
        <v>4</v>
      </c>
      <c r="AN105" s="86">
        <f t="shared" ca="1" si="269"/>
        <v>3</v>
      </c>
      <c r="AO105" s="86">
        <f t="shared" ca="1" si="269"/>
        <v>1</v>
      </c>
      <c r="AP105" s="86">
        <f t="shared" ca="1" si="269"/>
        <v>1</v>
      </c>
      <c r="AQ105" s="86">
        <f t="shared" ca="1" si="269"/>
        <v>1</v>
      </c>
      <c r="AR105" s="86">
        <f t="shared" ca="1" si="269"/>
        <v>2</v>
      </c>
      <c r="AS105" s="86">
        <f t="shared" ca="1" si="269"/>
        <v>4</v>
      </c>
      <c r="AT105" s="87">
        <f t="shared" ca="1" si="269"/>
        <v>-2</v>
      </c>
      <c r="AU105" s="323" t="str">
        <f t="shared" ca="1" si="270"/>
        <v/>
      </c>
      <c r="AV105" s="182" t="str">
        <f t="shared" ca="1" si="271"/>
        <v>Paraguay</v>
      </c>
      <c r="AW105" s="215"/>
      <c r="AX105" s="170"/>
      <c r="AY105" s="270"/>
      <c r="AZ105" s="273" t="str">
        <f t="shared" ca="1" si="272"/>
        <v>1D - 3B</v>
      </c>
      <c r="BA105" s="176"/>
      <c r="BF105" t="str">
        <f t="shared" ca="1" si="273"/>
        <v>B</v>
      </c>
      <c r="BG105">
        <f t="shared" ca="1" si="274"/>
        <v>2</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5"/>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Croacia</v>
      </c>
      <c r="AM106" s="576">
        <f t="shared" ca="1" si="269"/>
        <v>3</v>
      </c>
      <c r="AN106" s="86">
        <f t="shared" ca="1" si="269"/>
        <v>2</v>
      </c>
      <c r="AO106" s="86">
        <f t="shared" ca="1" si="269"/>
        <v>1</v>
      </c>
      <c r="AP106" s="86">
        <f t="shared" ca="1" si="269"/>
        <v>0</v>
      </c>
      <c r="AQ106" s="86">
        <f t="shared" ca="1" si="269"/>
        <v>1</v>
      </c>
      <c r="AR106" s="86">
        <f t="shared" ca="1" si="269"/>
        <v>3</v>
      </c>
      <c r="AS106" s="86">
        <f t="shared" ca="1" si="269"/>
        <v>4</v>
      </c>
      <c r="AT106" s="87">
        <f t="shared" ca="1" si="269"/>
        <v>-1</v>
      </c>
      <c r="AU106" s="323" t="str">
        <f t="shared" ca="1" si="270"/>
        <v/>
      </c>
      <c r="AV106" s="182" t="str">
        <f t="shared" ca="1" si="271"/>
        <v>Croacia</v>
      </c>
      <c r="AW106" s="215"/>
      <c r="AX106" s="170"/>
      <c r="AY106" s="270"/>
      <c r="AZ106" s="273" t="str">
        <f t="shared" ca="1" si="272"/>
        <v>1E - 3D</v>
      </c>
      <c r="BA106" s="176"/>
      <c r="BF106" t="str">
        <f t="shared" ca="1" si="273"/>
        <v>D</v>
      </c>
      <c r="BG106">
        <f t="shared" ca="1" si="274"/>
        <v>4</v>
      </c>
      <c r="BI106">
        <v>4</v>
      </c>
      <c r="BJ106" t="str">
        <f t="shared" ca="1" si="275"/>
        <v>D</v>
      </c>
    </row>
    <row r="107" spans="1:62" ht="16" customHeight="1" x14ac:dyDescent="0.2">
      <c r="A107" s="16" t="s">
        <v>70</v>
      </c>
      <c r="B107" s="16" t="s">
        <v>153</v>
      </c>
      <c r="C107" s="16"/>
      <c r="D107" s="16" t="str">
        <f t="shared" si="260"/>
        <v>W79</v>
      </c>
      <c r="E107" s="16" t="s">
        <v>16</v>
      </c>
      <c r="F107" s="16" t="s">
        <v>142</v>
      </c>
      <c r="G107" s="16" t="s">
        <v>121</v>
      </c>
      <c r="H107" s="16">
        <f t="shared" ca="1" si="261"/>
        <v>8</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5"/>
      <c r="X107" s="24">
        <f ca="1">Horarios!C107</f>
        <v>46203.875</v>
      </c>
      <c r="Y107" s="25">
        <f ca="1">Horarios!C107</f>
        <v>46203.875</v>
      </c>
      <c r="Z107" s="274">
        <f t="shared" si="263"/>
        <v>79</v>
      </c>
      <c r="AA107" s="88" t="str">
        <f t="shared" ca="1" si="264"/>
        <v>México</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Corea del Sur</v>
      </c>
      <c r="AM107" s="576">
        <f t="shared" ca="1" si="269"/>
        <v>3</v>
      </c>
      <c r="AN107" s="86">
        <f t="shared" ca="1" si="269"/>
        <v>3</v>
      </c>
      <c r="AO107" s="86">
        <f t="shared" ca="1" si="269"/>
        <v>1</v>
      </c>
      <c r="AP107" s="86">
        <f t="shared" ca="1" si="269"/>
        <v>0</v>
      </c>
      <c r="AQ107" s="86">
        <f t="shared" ca="1" si="269"/>
        <v>2</v>
      </c>
      <c r="AR107" s="86">
        <f t="shared" ca="1" si="269"/>
        <v>2</v>
      </c>
      <c r="AS107" s="86">
        <f t="shared" ca="1" si="269"/>
        <v>3</v>
      </c>
      <c r="AT107" s="87">
        <f t="shared" ca="1" si="269"/>
        <v>-1</v>
      </c>
      <c r="AU107" s="323" t="str">
        <f t="shared" ca="1" si="270"/>
        <v/>
      </c>
      <c r="AV107" s="182" t="str">
        <f t="shared" ca="1" si="271"/>
        <v>Corea del Sur</v>
      </c>
      <c r="AW107" s="215"/>
      <c r="AX107" s="170"/>
      <c r="AY107" s="270"/>
      <c r="AZ107" s="273" t="str">
        <f t="shared" ca="1" si="272"/>
        <v>1G - 3A</v>
      </c>
      <c r="BA107" s="176"/>
      <c r="BF107" t="str">
        <f t="shared" ca="1" si="273"/>
        <v>L</v>
      </c>
      <c r="BG107">
        <f t="shared" ca="1" si="274"/>
        <v>8</v>
      </c>
      <c r="BI107">
        <v>5</v>
      </c>
      <c r="BJ107" t="str">
        <f t="shared" ca="1" si="275"/>
        <v>E</v>
      </c>
    </row>
    <row r="108" spans="1:62" ht="16" customHeight="1" x14ac:dyDescent="0.2">
      <c r="A108" s="16" t="s">
        <v>119</v>
      </c>
      <c r="B108" s="16" t="s">
        <v>155</v>
      </c>
      <c r="C108" s="16"/>
      <c r="D108" s="16" t="str">
        <f t="shared" si="260"/>
        <v>W80</v>
      </c>
      <c r="E108" s="16" t="s">
        <v>130</v>
      </c>
      <c r="F108" s="16" t="s">
        <v>142</v>
      </c>
      <c r="G108" s="16" t="s">
        <v>126</v>
      </c>
      <c r="H108" s="16">
        <f t="shared" ca="1" si="261"/>
        <v>8</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5"/>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Argelia</v>
      </c>
      <c r="AM108" s="576">
        <f t="shared" ca="1" si="269"/>
        <v>3</v>
      </c>
      <c r="AN108" s="86">
        <f t="shared" ca="1" si="269"/>
        <v>2</v>
      </c>
      <c r="AO108" s="86">
        <f t="shared" ca="1" si="269"/>
        <v>1</v>
      </c>
      <c r="AP108" s="86">
        <f t="shared" ca="1" si="269"/>
        <v>0</v>
      </c>
      <c r="AQ108" s="86">
        <f t="shared" ca="1" si="269"/>
        <v>1</v>
      </c>
      <c r="AR108" s="86">
        <f t="shared" ca="1" si="269"/>
        <v>2</v>
      </c>
      <c r="AS108" s="86">
        <f t="shared" ca="1" si="269"/>
        <v>4</v>
      </c>
      <c r="AT108" s="87">
        <f t="shared" ca="1" si="269"/>
        <v>-2</v>
      </c>
      <c r="AU108" s="323" t="str">
        <f t="shared" ca="1" si="270"/>
        <v/>
      </c>
      <c r="AV108" s="182" t="str">
        <f t="shared" ca="1" si="271"/>
        <v>Argelia</v>
      </c>
      <c r="AW108" s="215"/>
      <c r="AX108" s="170"/>
      <c r="AY108" s="270"/>
      <c r="AZ108" s="273" t="str">
        <f t="shared" ca="1" si="272"/>
        <v>1I - 3F</v>
      </c>
      <c r="BA108" s="176"/>
      <c r="BF108" t="str">
        <f t="shared" ca="1" si="273"/>
        <v>A</v>
      </c>
      <c r="BG108">
        <f t="shared" ca="1" si="274"/>
        <v>1</v>
      </c>
      <c r="BI108">
        <v>6</v>
      </c>
      <c r="BJ108" t="str">
        <f t="shared" ca="1" si="275"/>
        <v>F</v>
      </c>
    </row>
    <row r="109" spans="1:62" ht="16" customHeight="1" x14ac:dyDescent="0.2">
      <c r="A109" s="16" t="s">
        <v>83</v>
      </c>
      <c r="B109" s="16" t="s">
        <v>157</v>
      </c>
      <c r="C109" s="16"/>
      <c r="D109" s="16" t="str">
        <f t="shared" si="260"/>
        <v>W82</v>
      </c>
      <c r="E109" s="16" t="s">
        <v>94</v>
      </c>
      <c r="F109" s="16" t="s">
        <v>142</v>
      </c>
      <c r="G109" s="16" t="s">
        <v>127</v>
      </c>
      <c r="H109" s="16">
        <f t="shared" ca="1" si="261"/>
        <v>8</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5"/>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Escocia</v>
      </c>
      <c r="AM109" s="576">
        <f t="shared" ca="1" si="269"/>
        <v>3</v>
      </c>
      <c r="AN109" s="86">
        <f t="shared" ca="1" si="269"/>
        <v>3</v>
      </c>
      <c r="AO109" s="86">
        <f t="shared" ca="1" si="269"/>
        <v>1</v>
      </c>
      <c r="AP109" s="86">
        <f t="shared" ca="1" si="269"/>
        <v>0</v>
      </c>
      <c r="AQ109" s="86">
        <f t="shared" ca="1" si="269"/>
        <v>2</v>
      </c>
      <c r="AR109" s="86">
        <f t="shared" ca="1" si="269"/>
        <v>1</v>
      </c>
      <c r="AS109" s="86">
        <f t="shared" ca="1" si="269"/>
        <v>4</v>
      </c>
      <c r="AT109" s="87">
        <f t="shared" ca="1" si="269"/>
        <v>-3</v>
      </c>
      <c r="AU109" s="323" t="str">
        <f t="shared" ca="1" si="270"/>
        <v/>
      </c>
      <c r="AV109" s="182" t="str">
        <f t="shared" ca="1" si="271"/>
        <v>Escocia</v>
      </c>
      <c r="AW109" s="215"/>
      <c r="AX109" s="170"/>
      <c r="AY109" s="270"/>
      <c r="AZ109" s="273" t="str">
        <f t="shared" ca="1" si="272"/>
        <v>1K - 3L</v>
      </c>
      <c r="BA109" s="176"/>
      <c r="BF109" t="str">
        <f t="shared" ca="1" si="273"/>
        <v>J</v>
      </c>
      <c r="BG109">
        <f t="shared" ca="1" si="274"/>
        <v>7</v>
      </c>
      <c r="BI109">
        <v>7</v>
      </c>
      <c r="BJ109" t="str">
        <f t="shared" ca="1" si="275"/>
        <v>J</v>
      </c>
    </row>
    <row r="110" spans="1:62" ht="16" customHeight="1" x14ac:dyDescent="0.2">
      <c r="A110" s="16" t="s">
        <v>97</v>
      </c>
      <c r="B110" s="16" t="s">
        <v>159</v>
      </c>
      <c r="C110" s="16"/>
      <c r="D110" s="16" t="str">
        <f t="shared" si="260"/>
        <v>W81</v>
      </c>
      <c r="E110" s="16" t="s">
        <v>121</v>
      </c>
      <c r="F110" s="16" t="s">
        <v>142</v>
      </c>
      <c r="G110" s="16" t="s">
        <v>128</v>
      </c>
      <c r="H110" s="16">
        <f t="shared" ca="1" si="261"/>
        <v>8</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5"/>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Cabo Verde</v>
      </c>
      <c r="AM110" s="576">
        <f t="shared" ca="1" si="269"/>
        <v>2</v>
      </c>
      <c r="AN110" s="86">
        <f t="shared" ca="1" si="269"/>
        <v>2</v>
      </c>
      <c r="AO110" s="86">
        <f t="shared" ca="1" si="269"/>
        <v>0</v>
      </c>
      <c r="AP110" s="86">
        <f t="shared" ca="1" si="269"/>
        <v>2</v>
      </c>
      <c r="AQ110" s="86">
        <f t="shared" ca="1" si="269"/>
        <v>0</v>
      </c>
      <c r="AR110" s="86">
        <f t="shared" ca="1" si="269"/>
        <v>2</v>
      </c>
      <c r="AS110" s="86">
        <f t="shared" ca="1" si="269"/>
        <v>2</v>
      </c>
      <c r="AT110" s="87">
        <f t="shared" ca="1" si="269"/>
        <v>0</v>
      </c>
      <c r="AU110" s="323" t="str">
        <f t="shared" ca="1" si="270"/>
        <v/>
      </c>
      <c r="AV110" s="182" t="str">
        <f t="shared" ca="1" si="271"/>
        <v>Cabo Verde</v>
      </c>
      <c r="AW110" s="215"/>
      <c r="AX110" s="170"/>
      <c r="AY110" s="270"/>
      <c r="AZ110" s="273" t="str">
        <f t="shared" ca="1" si="272"/>
        <v>1L - 3E</v>
      </c>
      <c r="BA110" s="176"/>
      <c r="BF110" t="str">
        <f t="shared" ca="1" si="273"/>
        <v>C</v>
      </c>
      <c r="BG110">
        <f t="shared" ca="1" si="274"/>
        <v>3</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8</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5"/>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Bélgica</v>
      </c>
      <c r="AM111" s="576">
        <f t="shared" ca="1" si="269"/>
        <v>2</v>
      </c>
      <c r="AN111" s="86">
        <f t="shared" ca="1" si="269"/>
        <v>2</v>
      </c>
      <c r="AO111" s="86">
        <f t="shared" ca="1" si="269"/>
        <v>0</v>
      </c>
      <c r="AP111" s="86">
        <f t="shared" ca="1" si="269"/>
        <v>2</v>
      </c>
      <c r="AQ111" s="86">
        <f t="shared" ca="1" si="269"/>
        <v>0</v>
      </c>
      <c r="AR111" s="86">
        <f t="shared" ca="1" si="269"/>
        <v>1</v>
      </c>
      <c r="AS111" s="86">
        <f t="shared" ca="1" si="269"/>
        <v>1</v>
      </c>
      <c r="AT111" s="87">
        <f t="shared" ca="1" si="269"/>
        <v>0</v>
      </c>
      <c r="AU111" s="323" t="str">
        <f t="shared" ca="1" si="270"/>
        <v/>
      </c>
      <c r="AV111" s="182" t="str">
        <f t="shared" ca="1" si="271"/>
        <v>Bélgica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8</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5"/>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RD Congo</v>
      </c>
      <c r="AM112" s="576">
        <f t="shared" ca="1" si="269"/>
        <v>1</v>
      </c>
      <c r="AN112" s="86">
        <f t="shared" ca="1" si="269"/>
        <v>2</v>
      </c>
      <c r="AO112" s="86">
        <f t="shared" ca="1" si="269"/>
        <v>0</v>
      </c>
      <c r="AP112" s="86">
        <f t="shared" ca="1" si="269"/>
        <v>1</v>
      </c>
      <c r="AQ112" s="86">
        <f t="shared" ca="1" si="269"/>
        <v>1</v>
      </c>
      <c r="AR112" s="86">
        <f t="shared" ca="1" si="269"/>
        <v>1</v>
      </c>
      <c r="AS112" s="86">
        <f t="shared" ca="1" si="269"/>
        <v>2</v>
      </c>
      <c r="AT112" s="87">
        <f t="shared" ca="1" si="269"/>
        <v>-1</v>
      </c>
      <c r="AU112" s="323" t="str">
        <f t="shared" ca="1" si="270"/>
        <v/>
      </c>
      <c r="AV112" s="182" t="str">
        <f t="shared" ca="1" si="271"/>
        <v>RD Congo</v>
      </c>
      <c r="AW112" s="215"/>
      <c r="AX112" s="170"/>
      <c r="AY112" s="269"/>
      <c r="AZ112" s="269"/>
      <c r="BA112" s="176"/>
      <c r="BI112" t="str">
        <f ca="1">IFERROR(CONCATENATE(BJ103,BJ104,BJ105,BJ106,BJ107,BJ108,BJ109,BJ110),"¿A/B/C/D/E/F/G/H/I/J/K/L?")</f>
        <v>ABCDEFJL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120</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5"/>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Senegal</v>
      </c>
      <c r="AM113" s="577">
        <f t="shared" ca="1" si="269"/>
        <v>0</v>
      </c>
      <c r="AN113" s="47">
        <f t="shared" ca="1" si="269"/>
        <v>2</v>
      </c>
      <c r="AO113" s="47">
        <f t="shared" ca="1" si="269"/>
        <v>0</v>
      </c>
      <c r="AP113" s="47">
        <f t="shared" ca="1" si="269"/>
        <v>0</v>
      </c>
      <c r="AQ113" s="47">
        <f t="shared" ca="1" si="269"/>
        <v>2</v>
      </c>
      <c r="AR113" s="47">
        <f t="shared" ca="1" si="269"/>
        <v>3</v>
      </c>
      <c r="AS113" s="47">
        <f t="shared" ca="1" si="269"/>
        <v>6</v>
      </c>
      <c r="AT113" s="48">
        <f t="shared" ca="1" si="269"/>
        <v>-3</v>
      </c>
      <c r="AU113" s="323" t="str">
        <f t="shared" ca="1" si="270"/>
        <v/>
      </c>
      <c r="AV113" s="182" t="str">
        <f t="shared" ca="1" si="271"/>
        <v>Senegal</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5"/>
      <c r="X114" s="24">
        <f ca="1">Horarios!C114</f>
        <v>46206.583333333343</v>
      </c>
      <c r="Y114" s="25">
        <f ca="1">Horarios!C114</f>
        <v>46206.583333333343</v>
      </c>
      <c r="Z114" s="274">
        <f t="shared" si="263"/>
        <v>88</v>
      </c>
      <c r="AA114" s="88" t="str">
        <f t="shared" ca="1" si="264"/>
        <v>Australia</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5"/>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6"/>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8"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2"/>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2"/>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2"/>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2"/>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3E</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2"/>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2"/>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3"/>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1"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2"/>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2"/>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3"/>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40"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41"/>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Sudáfrica</v>
      </c>
      <c r="D81" s="656"/>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Corea del Sur</v>
      </c>
      <c r="D82" s="656"/>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República Checa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Marruecos</v>
      </c>
      <c r="D89" s="656"/>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Estados Unidos</v>
      </c>
      <c r="D92" s="656"/>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Australia</v>
      </c>
      <c r="D93" s="656"/>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Paraguay</v>
      </c>
      <c r="D94" s="656"/>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Turquía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Alemania</v>
      </c>
      <c r="D96" s="656"/>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Costa de Marfil</v>
      </c>
      <c r="D97" s="656"/>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Ecuador</v>
      </c>
      <c r="D98" s="656"/>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Sudáfrica</v>
      </c>
      <c r="D130" s="656"/>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Alemania</v>
      </c>
      <c r="D132" s="656"/>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Costa de Marfil</v>
      </c>
      <c r="D134" s="656"/>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Estados Unidos</v>
      </c>
      <c r="D139" s="656"/>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Australia</v>
      </c>
      <c r="D143" s="656"/>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Marruecos</v>
      </c>
      <c r="D149" s="656"/>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0"/>
      <c r="E165" s="656"/>
      <c r="F165" s="656"/>
      <c r="G165" s="656"/>
      <c r="H165" s="656"/>
      <c r="I165" s="345"/>
      <c r="J165" s="361"/>
      <c r="K165" s="361"/>
      <c r="L165" s="361"/>
      <c r="M165" s="377"/>
      <c r="N165" s="368"/>
    </row>
    <row r="166" spans="1:14" ht="15" customHeight="1" x14ac:dyDescent="0.2">
      <c r="A166" s="620"/>
      <c r="B166" s="352" t="str">
        <f ca="1">CONCATENATE(WORLDCUP!AA103,"-",WORLDCUP!AF103)</f>
        <v>Alemania-3ABCDF</v>
      </c>
      <c r="C166" s="342" t="str">
        <f ca="1">CONCATENATE(WORLDCUP!AA103,"-",WORLDCUP!AF103,"·",IF(WORLDCUP!AC103&gt;WORLDCUP!AD103,1,IF(WORLDCUP!AC103&lt;WORLDCUP!AD103,2,IF(AND(WORLDCUP!AC103=WORLDCUP!AD103,WORLDCUP!AC103&lt;&gt;"",WORLDCUP!AD103&lt;&gt;""),"X",0))),"|",WORLDCUP!AC103,"-",WORLDCUP!AD103)</f>
        <v>Alemania-3ABCDF·0|-</v>
      </c>
      <c r="D166" s="620"/>
      <c r="E166" s="656"/>
      <c r="F166" s="656"/>
      <c r="G166" s="656"/>
      <c r="H166" s="656"/>
      <c r="I166" s="345"/>
      <c r="J166" s="361"/>
      <c r="K166" s="361"/>
      <c r="L166" s="361"/>
      <c r="M166" s="377"/>
      <c r="N166" s="368"/>
    </row>
    <row r="167" spans="1:14" ht="15" customHeight="1" x14ac:dyDescent="0.2">
      <c r="A167" s="620"/>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0"/>
      <c r="E167" s="656"/>
      <c r="F167" s="656"/>
      <c r="G167" s="656"/>
      <c r="H167" s="656"/>
      <c r="I167" s="345"/>
      <c r="J167" s="361"/>
      <c r="K167" s="361"/>
      <c r="L167" s="361"/>
      <c r="M167" s="377"/>
      <c r="N167" s="368"/>
    </row>
    <row r="168" spans="1:14" ht="15" customHeight="1" x14ac:dyDescent="0.2">
      <c r="A168" s="620"/>
      <c r="B168" s="352" t="str">
        <f ca="1">CONCATENATE(WORLDCUP!AA105,"-",WORLDCUP!AF105)</f>
        <v>Costa de Marfil-2I</v>
      </c>
      <c r="C168" s="342" t="str">
        <f ca="1">CONCATENATE(WORLDCUP!AA105,"-",WORLDCUP!AF105,"·",IF(WORLDCUP!AC105&gt;WORLDCUP!AD105,1,IF(WORLDCUP!AC105&lt;WORLDCUP!AD105,2,IF(AND(WORLDCUP!AC105=WORLDCUP!AD105,WORLDCUP!AC105&lt;&gt;"",WORLDCUP!AD105&lt;&gt;""),"X",0))),"|",WORLDCUP!AC105,"-",WORLDCUP!AD105)</f>
        <v>Costa de Marfil-2I·0|-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México-3CEFHI</v>
      </c>
      <c r="C170" s="342" t="str">
        <f ca="1">CONCATENATE(WORLDCUP!AA107,"-",WORLDCUP!AF107,"·",IF(WORLDCUP!AC107&gt;WORLDCUP!AD107,1,IF(WORLDCUP!AC107&lt;WORLDCUP!AD107,2,IF(AND(WORLDCUP!AC107=WORLDCUP!AD107,WORLDCUP!AC107&lt;&gt;"",WORLDCUP!AD107&lt;&gt;""),"X",0))),"|",WORLDCUP!AC107,"-",WORLDCUP!AD107)</f>
        <v>México-3CEFHI·0|-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Estados Unidos-3BEFIJ</v>
      </c>
      <c r="C173" s="342" t="str">
        <f ca="1">CONCATENATE(WORLDCUP!AA110,"-",WORLDCUP!AF110,"·",IF(WORLDCUP!AC110&gt;WORLDCUP!AD110,1,IF(WORLDCUP!AC110&lt;WORLDCUP!AD110,2,IF(AND(WORLDCUP!AC110=WORLDCUP!AD110,WORLDCUP!AC110&lt;&gt;"",WORLDCUP!AD110&lt;&gt;""),"X",0))),"|",WORLDCUP!AC110,"-",WORLDCUP!AD110)</f>
        <v>Estados Unidos-3BEFIJ·0|-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Suiza-3EFGIJ</v>
      </c>
      <c r="C176" s="342" t="str">
        <f ca="1">CONCATENATE(WORLDCUP!AA113,"-",WORLDCUP!AF113,"·",IF(WORLDCUP!AC113&gt;WORLDCUP!AD113,1,IF(WORLDCUP!AC113&lt;WORLDCUP!AD113,2,IF(AND(WORLDCUP!AC113=WORLDCUP!AD113,WORLDCUP!AC113&lt;&gt;"",WORLDCUP!AD113&lt;&gt;""),"X",0))),"|",WORLDCUP!AC113,"-",WORLDCUP!AD113)</f>
        <v>Suiza-3EFGIJ·0|-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Australia-2G</v>
      </c>
      <c r="C177" s="342" t="str">
        <f ca="1">CONCATENATE(WORLDCUP!AA114,"-",WORLDCUP!AF114,"·",IF(WORLDCUP!AC114&gt;WORLDCUP!AD114,1,IF(WORLDCUP!AC114&lt;WORLDCUP!AD114,2,IF(AND(WORLDCUP!AC114=WORLDCUP!AD114,WORLDCUP!AC114&lt;&gt;"",WORLDCUP!AD114&lt;&gt;""),"X",0))),"|",WORLDCUP!AC114,"-",WORLDCUP!AD114)</f>
        <v>Australia-2G·0|-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6"/>
      <c r="F201" s="656"/>
      <c r="G201" s="656"/>
      <c r="H201" s="656"/>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6"/>
      <c r="F202" s="656"/>
      <c r="G202" s="656"/>
      <c r="H202" s="656"/>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6"/>
      <c r="F203" s="656"/>
      <c r="G203" s="656"/>
      <c r="H203" s="656"/>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6"/>
      <c r="F221" s="656"/>
      <c r="G221" s="656"/>
      <c r="H221" s="656"/>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6"/>
      <c r="F222" s="656"/>
      <c r="G222" s="656"/>
      <c r="H222" s="656"/>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6"/>
      <c r="F223" s="656"/>
      <c r="G223" s="656"/>
      <c r="H223" s="656"/>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6"/>
      <c r="F233" s="656"/>
      <c r="G233" s="656"/>
      <c r="H233" s="656"/>
      <c r="I233" s="345"/>
      <c r="J233" s="361"/>
      <c r="K233" s="361"/>
      <c r="L233" s="361"/>
      <c r="M233" s="377"/>
      <c r="N233" s="368"/>
    </row>
    <row r="234" spans="1:14" ht="15" customHeight="1" x14ac:dyDescent="0.2">
      <c r="A234" s="223"/>
      <c r="B234" s="223"/>
      <c r="C234" s="343"/>
      <c r="D234" s="620"/>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0"/>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0"/>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Egi</v>
      </c>
      <c r="U4" s="437">
        <f ca="1">+INDEX(WORLDCUP!$AM$6:$AM$97,MATCH(X4,WORLDCUP!$AI$6:$AI$97,0))</f>
        <v>4</v>
      </c>
      <c r="V4" s="438">
        <f ca="1">+INDEX(WORLDCUP!$AT$6:$AT$97,MATCH(X4,WORLDCUP!$AI$6:$AI$97,0))</f>
        <v>2</v>
      </c>
      <c r="W4" s="439" t="str">
        <f ca="1">+INDEX(WORLDCUP!$AR$6:$AR$97,MATCH(X4,WORLDCUP!$AI$6:$AI$97,0))&amp;"-"&amp;INDEX(WORLDCUP!$AS$6:$AS$97,MATCH(X4,WORLDCUP!$AI$6:$AI$97,0))</f>
        <v>4-2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Irá</v>
      </c>
      <c r="U5" s="38">
        <f ca="1">+INDEX(WORLDCUP!$AM$6:$AM$97,MATCH(X5,WORLDCUP!$AI$6:$AI$97,0))</f>
        <v>2</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Bél</v>
      </c>
      <c r="U6" s="38">
        <f ca="1">+INDEX(WORLDCUP!$AM$6:$AM$97,MATCH(X6,WORLDCUP!$AI$6:$AI$97,0))</f>
        <v>2</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-2</v>
      </c>
      <c r="W7" s="467" t="str">
        <f ca="1">+INDEX(WORLDCUP!$AR$6:$AR$97,MATCH(X7,WORLDCUP!$AI$6:$AI$97,0))&amp;"-"&amp;INDEX(WORLDCUP!$AS$6:$AS$97,MATCH(X7,WORLDCUP!$AI$6:$AI$97,0))</f>
        <v>3-5</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4</v>
      </c>
      <c r="V12" s="438">
        <f ca="1">+INDEX(WORLDCUP!$AT$6:$AT$97,MATCH(X12,WORLDCUP!$AI$6:$AI$97,0))</f>
        <v>4</v>
      </c>
      <c r="W12" s="439" t="str">
        <f ca="1">+INDEX(WORLDCUP!$AR$6:$AR$97,MATCH(X12,WORLDCUP!$AI$6:$AI$97,0))&amp;"-"&amp;INDEX(WORLDCUP!$AS$6:$AS$97,MATCH(X12,WORLDCUP!$AI$6:$AI$97,0))</f>
        <v>4-0</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2</v>
      </c>
      <c r="V13" s="39">
        <f ca="1">+INDEX(WORLDCUP!$AT$6:$AT$97,MATCH(X13,WORLDCUP!$AI$6:$AI$97,0))</f>
        <v>0</v>
      </c>
      <c r="W13" s="43" t="str">
        <f ca="1">+INDEX(WORLDCUP!$AR$6:$AR$97,MATCH(X13,WORLDCUP!$AI$6:$AI$97,0))&amp;"-"&amp;INDEX(WORLDCUP!$AS$6:$AS$97,MATCH(X13,WORLDCUP!$AI$6:$AI$97,0))</f>
        <v>3-3</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Cab</v>
      </c>
      <c r="U14" s="38">
        <f ca="1">+INDEX(WORLDCUP!$AM$6:$AM$97,MATCH(X14,WORLDCUP!$AI$6:$AI$97,0))</f>
        <v>2</v>
      </c>
      <c r="V14" s="39">
        <f ca="1">+INDEX(WORLDCUP!$AT$6:$AT$97,MATCH(X14,WORLDCUP!$AI$6:$AI$97,0))</f>
        <v>0</v>
      </c>
      <c r="W14" s="43" t="str">
        <f ca="1">+INDEX(WORLDCUP!$AR$6:$AR$97,MATCH(X14,WORLDCUP!$AI$6:$AI$97,0))&amp;"-"&amp;INDEX(WORLDCUP!$AS$6:$AS$97,MATCH(X14,WORLDCUP!$AI$6:$AI$97,0))</f>
        <v>2-2</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Ara</v>
      </c>
      <c r="U15" s="465">
        <f ca="1">+INDEX(WORLDCUP!$AM$6:$AM$97,MATCH(X15,WORLDCUP!$AI$6:$AI$97,0))</f>
        <v>1</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6</v>
      </c>
      <c r="V20" s="438">
        <f ca="1">+INDEX(WORLDCUP!$AT$6:$AT$97,MATCH(X20,WORLDCUP!$AI$6:$AI$97,0))</f>
        <v>5</v>
      </c>
      <c r="W20" s="439" t="str">
        <f ca="1">+INDEX(WORLDCUP!$AR$6:$AR$97,MATCH(X20,WORLDCUP!$AI$6:$AI$97,0))&amp;"-"&amp;INDEX(WORLDCUP!$AS$6:$AS$97,MATCH(X20,WORLDCUP!$AI$6:$AI$97,0))</f>
        <v>6-1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4</v>
      </c>
      <c r="W21" s="43" t="str">
        <f ca="1">+INDEX(WORLDCUP!$AR$6:$AR$97,MATCH(X21,WORLDCUP!$AI$6:$AI$97,0))&amp;"-"&amp;INDEX(WORLDCUP!$AS$6:$AS$97,MATCH(X21,WORLDCUP!$AI$6:$AI$97,0))</f>
        <v>7-3</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-3</v>
      </c>
      <c r="W22" s="43" t="str">
        <f ca="1">+INDEX(WORLDCUP!$AR$6:$AR$97,MATCH(X22,WORLDCUP!$AI$6:$AI$97,0))&amp;"-"&amp;INDEX(WORLDCUP!$AS$6:$AS$97,MATCH(X22,WORLDCUP!$AI$6:$AI$97,0))</f>
        <v>3-6</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6</v>
      </c>
      <c r="V28" s="438">
        <f ca="1">+INDEX(WORLDCUP!$AT$6:$AT$97,MATCH(X28,WORLDCUP!$AI$6:$AI$97,0))</f>
        <v>5</v>
      </c>
      <c r="W28" s="439" t="str">
        <f ca="1">+INDEX(WORLDCUP!$AR$6:$AR$97,MATCH(X28,WORLDCUP!$AI$6:$AI$97,0))&amp;"-"&amp;INDEX(WORLDCUP!$AS$6:$AS$97,MATCH(X28,WORLDCUP!$AI$6:$AI$97,0))</f>
        <v>5-0</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2-4</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-3</v>
      </c>
      <c r="W31" s="467" t="str">
        <f ca="1">+INDEX(WORLDCUP!$AR$6:$AR$97,MATCH(X31,WORLDCUP!$AI$6:$AI$97,0))&amp;"-"&amp;INDEX(WORLDCUP!$AS$6:$AS$97,MATCH(X31,WORLDCUP!$AI$6:$AI$97,0))</f>
        <v>2-5</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6</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4</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-1</v>
      </c>
      <c r="W38" s="43" t="str">
        <f ca="1">+INDEX(WORLDCUP!$AR$6:$AR$97,MATCH(X38,WORLDCUP!$AI$6:$AI$97,0))&amp;"-"&amp;INDEX(WORLDCUP!$AS$6:$AS$97,MATCH(X38,WORLDCUP!$AI$6:$AI$97,0))</f>
        <v>1-2</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-7</v>
      </c>
      <c r="W39" s="467" t="str">
        <f ca="1">+INDEX(WORLDCUP!$AR$6:$AR$97,MATCH(X39,WORLDCUP!$AI$6:$AI$97,0))&amp;"-"&amp;INDEX(WORLDCUP!$AS$6:$AS$97,MATCH(X39,WORLDCUP!$AI$6:$AI$97,0))</f>
        <v>1-8</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4</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Gha</v>
      </c>
      <c r="U45" s="38">
        <f ca="1">+INDEX(WORLDCUP!$AM$6:$AM$97,MATCH(X45,WORLDCUP!$AI$6:$AI$97,0))</f>
        <v>4</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Cro</v>
      </c>
      <c r="U46" s="38">
        <f ca="1">+INDEX(WORLDCUP!$AM$6:$AM$97,MATCH(X46,WORLDCUP!$AI$6:$AI$97,0))</f>
        <v>3</v>
      </c>
      <c r="V46" s="39">
        <f ca="1">+INDEX(WORLDCUP!$AT$6:$AT$97,MATCH(X46,WORLDCUP!$AI$6:$AI$97,0))</f>
        <v>-1</v>
      </c>
      <c r="W46" s="43" t="str">
        <f ca="1">+INDEX(WORLDCUP!$AR$6:$AR$97,MATCH(X46,WORLDCUP!$AI$6:$AI$97,0))&amp;"-"&amp;INDEX(WORLDCUP!$AS$6:$AS$97,MATCH(X46,WORLDCUP!$AI$6:$AI$97,0))</f>
        <v>3-4</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-2</v>
      </c>
      <c r="W47" s="467" t="str">
        <f ca="1">+INDEX(WORLDCUP!$AR$6:$AR$97,MATCH(X47,WORLDCUP!$AI$6:$AI$97,0))&amp;"-"&amp;INDEX(WORLDCUP!$AS$6:$AS$97,MATCH(X47,WORLDCUP!$AI$6:$AI$97,0))</f>
        <v>0-2</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Cabo Verde</v>
      </c>
      <c r="H2" s="9" t="str">
        <f ca="1">+WORLDCUP!BD64</f>
        <v>Bélgica</v>
      </c>
      <c r="I2" s="9" t="str">
        <f ca="1">+WORLDCUP!BD69</f>
        <v>Croacia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Bélgica</v>
      </c>
      <c r="E3" s="9" t="str">
        <f ca="1">+WORLDCUP!BD66</f>
        <v>Senegal</v>
      </c>
      <c r="F3" s="9" t="str">
        <f ca="1">+WORLDCUP!BD61</f>
        <v>Paraguay</v>
      </c>
      <c r="G3" s="9" t="str">
        <f ca="1">+WORLDCUP!BD67</f>
        <v>Argelia</v>
      </c>
      <c r="H3" s="9" t="str">
        <f ca="1">+WORLDCUP!BD63</f>
        <v>Suecia</v>
      </c>
      <c r="I3" s="9" t="str">
        <f ca="1">+WORLDCUP!BD69</f>
        <v>Croacia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Cabo Verde</v>
      </c>
      <c r="H4" s="9" t="str">
        <f ca="1">+WORLDCUP!BD64</f>
        <v>Bélgica</v>
      </c>
      <c r="I4" s="9" t="str">
        <f ca="1">+WORLDCUP!BD69</f>
        <v>Croacia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Cabo Verde</v>
      </c>
      <c r="H5" s="9" t="str">
        <f ca="1">+WORLDCUP!BD63</f>
        <v>Suecia</v>
      </c>
      <c r="I5" s="9" t="str">
        <f ca="1">+WORLDCUP!BD69</f>
        <v>Croacia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Paraguay</v>
      </c>
      <c r="G6" s="9" t="str">
        <f ca="1">+WORLDCUP!BD67</f>
        <v>Argelia</v>
      </c>
      <c r="H6" s="9" t="str">
        <f ca="1">+WORLDCUP!BD63</f>
        <v>Suecia</v>
      </c>
      <c r="I6" s="9" t="str">
        <f ca="1">+WORLDCUP!BD69</f>
        <v>Croacia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Argelia</v>
      </c>
      <c r="F7" s="9" t="str">
        <f ca="1">+WORLDCUP!BD61</f>
        <v>Paraguay</v>
      </c>
      <c r="G7" s="9" t="str">
        <f ca="1">+WORLDCUP!BD65</f>
        <v>Cabo Verde</v>
      </c>
      <c r="H7" s="9" t="str">
        <f ca="1">+WORLDCUP!BD63</f>
        <v>Suecia</v>
      </c>
      <c r="I7" s="9" t="str">
        <f ca="1">+WORLDCUP!BD69</f>
        <v>Croacia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Paraguay</v>
      </c>
      <c r="G8" s="9" t="str">
        <f ca="1">+WORLDCUP!BD65</f>
        <v>Cabo Verde</v>
      </c>
      <c r="H8" s="9" t="str">
        <f ca="1">+WORLDCUP!BD63</f>
        <v>Suecia</v>
      </c>
      <c r="I8" s="9" t="str">
        <f ca="1">+WORLDCUP!BD69</f>
        <v>Croacia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Argelia</v>
      </c>
      <c r="F9" s="9" t="str">
        <f ca="1">+WORLDCUP!BD61</f>
        <v>Paraguay</v>
      </c>
      <c r="G9" s="9" t="str">
        <f ca="1">+WORLDCUP!BD65</f>
        <v>Cabo Verde</v>
      </c>
      <c r="H9" s="9" t="str">
        <f ca="1">+WORLDCUP!BD63</f>
        <v>Suecia</v>
      </c>
      <c r="I9" s="9" t="str">
        <f ca="1">+WORLDCUP!BD69</f>
        <v>Croacia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Argelia</v>
      </c>
      <c r="F10" s="9" t="str">
        <f ca="1">+WORLDCUP!BD61</f>
        <v>Paraguay</v>
      </c>
      <c r="G10" s="9" t="str">
        <f ca="1">+WORLDCUP!BD65</f>
        <v>Cabo Verde</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Bélgica</v>
      </c>
      <c r="E11" s="9" t="str">
        <f ca="1">+WORLDCUP!BD66</f>
        <v>Senegal</v>
      </c>
      <c r="F11" s="9" t="str">
        <f ca="1">+WORLDCUP!BD60</f>
        <v>Escocia</v>
      </c>
      <c r="G11" s="9" t="str">
        <f ca="1">+WORLDCUP!BD67</f>
        <v>Argelia</v>
      </c>
      <c r="H11" s="9" t="str">
        <f ca="1">+WORLDCUP!BD63</f>
        <v>Suecia</v>
      </c>
      <c r="I11" s="9" t="str">
        <f ca="1">+WORLDCUP!BD69</f>
        <v>Croacia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Cabo Verde</v>
      </c>
      <c r="H12" s="9" t="str">
        <f ca="1">+WORLDCUP!BD64</f>
        <v>Bélgica</v>
      </c>
      <c r="I12" s="9" t="str">
        <f ca="1">+WORLDCUP!BD69</f>
        <v>Croacia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Cabo Verde</v>
      </c>
      <c r="H13" s="9" t="str">
        <f ca="1">+WORLDCUP!BD63</f>
        <v>Suecia</v>
      </c>
      <c r="I13" s="9" t="str">
        <f ca="1">+WORLDCUP!BD69</f>
        <v>Croacia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Escocia</v>
      </c>
      <c r="G14" s="9" t="str">
        <f ca="1">+WORLDCUP!BD67</f>
        <v>Argelia</v>
      </c>
      <c r="H14" s="9" t="str">
        <f ca="1">+WORLDCUP!BD63</f>
        <v>Suecia</v>
      </c>
      <c r="I14" s="9" t="str">
        <f ca="1">+WORLDCUP!BD69</f>
        <v>Croacia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Argelia</v>
      </c>
      <c r="F15" s="9" t="str">
        <f ca="1">+WORLDCUP!BD60</f>
        <v>Escocia</v>
      </c>
      <c r="G15" s="9" t="str">
        <f ca="1">+WORLDCUP!BD65</f>
        <v>Cabo Verde</v>
      </c>
      <c r="H15" s="9" t="str">
        <f ca="1">+WORLDCUP!BD63</f>
        <v>Suecia</v>
      </c>
      <c r="I15" s="9" t="str">
        <f ca="1">+WORLDCUP!BD69</f>
        <v>Croacia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Escocia</v>
      </c>
      <c r="G16" s="9" t="str">
        <f ca="1">+WORLDCUP!BD65</f>
        <v>Cabo Verde</v>
      </c>
      <c r="H16" s="9" t="str">
        <f ca="1">+WORLDCUP!BD63</f>
        <v>Suecia</v>
      </c>
      <c r="I16" s="9" t="str">
        <f ca="1">+WORLDCUP!BD69</f>
        <v>Croacia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Argelia</v>
      </c>
      <c r="F17" s="9" t="str">
        <f ca="1">+WORLDCUP!BD60</f>
        <v>Escocia</v>
      </c>
      <c r="G17" s="9" t="str">
        <f ca="1">+WORLDCUP!BD65</f>
        <v>Cabo Verde</v>
      </c>
      <c r="H17" s="9" t="str">
        <f ca="1">+WORLDCUP!BD63</f>
        <v>Suecia</v>
      </c>
      <c r="I17" s="9" t="str">
        <f ca="1">+WORLDCUP!BD69</f>
        <v>Croacia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Argelia</v>
      </c>
      <c r="F18" s="9" t="str">
        <f ca="1">+WORLDCUP!BD60</f>
        <v>Escocia</v>
      </c>
      <c r="G18" s="9" t="str">
        <f ca="1">+WORLDCUP!BD65</f>
        <v>Cabo Verde</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Bélgica</v>
      </c>
      <c r="E19" s="9" t="str">
        <f ca="1">+WORLDCUP!BD66</f>
        <v>Senegal</v>
      </c>
      <c r="F19" s="9" t="str">
        <f ca="1">+WORLDCUP!BD60</f>
        <v>Escocia</v>
      </c>
      <c r="G19" s="9" t="str">
        <f ca="1">+WORLDCUP!BD67</f>
        <v>Argelia</v>
      </c>
      <c r="H19" s="9" t="str">
        <f ca="1">+WORLDCUP!BD61</f>
        <v>Paraguay</v>
      </c>
      <c r="I19" s="9" t="str">
        <f ca="1">+WORLDCUP!BD69</f>
        <v>Croacia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Cabo Verde</v>
      </c>
      <c r="H20" s="9" t="str">
        <f ca="1">+WORLDCUP!BD63</f>
        <v>Suecia</v>
      </c>
      <c r="I20" s="9" t="str">
        <f ca="1">+WORLDCUP!BD69</f>
        <v>Croacia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Bélgica</v>
      </c>
      <c r="E21" s="9" t="str">
        <f ca="1">+WORLDCUP!BD66</f>
        <v>Senegal</v>
      </c>
      <c r="F21" s="9" t="str">
        <f ca="1">+WORLDCUP!BD61</f>
        <v>Paraguay</v>
      </c>
      <c r="G21" s="9" t="str">
        <f ca="1">+WORLDCUP!BD67</f>
        <v>Argelia</v>
      </c>
      <c r="H21" s="9" t="str">
        <f ca="1">+WORLDCUP!BD63</f>
        <v>Suecia</v>
      </c>
      <c r="I21" s="9" t="str">
        <f ca="1">+WORLDCUP!BD69</f>
        <v>Croacia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Bélgica</v>
      </c>
      <c r="E22" s="9" t="str">
        <f ca="1">+WORLDCUP!BD67</f>
        <v>Argelia</v>
      </c>
      <c r="F22" s="9" t="str">
        <f ca="1">+WORLDCUP!BD61</f>
        <v>Paraguay</v>
      </c>
      <c r="G22" s="9" t="str">
        <f ca="1">+WORLDCUP!BD65</f>
        <v>Cabo Verde</v>
      </c>
      <c r="H22" s="9" t="str">
        <f ca="1">+WORLDCUP!BD63</f>
        <v>Suecia</v>
      </c>
      <c r="I22" s="9" t="str">
        <f ca="1">+WORLDCUP!BD69</f>
        <v>Croacia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Bélgica</v>
      </c>
      <c r="E23" s="9" t="str">
        <f ca="1">+WORLDCUP!BD66</f>
        <v>Senegal</v>
      </c>
      <c r="F23" s="9" t="str">
        <f ca="1">+WORLDCUP!BD61</f>
        <v>Paraguay</v>
      </c>
      <c r="G23" s="9" t="str">
        <f ca="1">+WORLDCUP!BD65</f>
        <v>Cabo Verde</v>
      </c>
      <c r="H23" s="9" t="str">
        <f ca="1">+WORLDCUP!BD63</f>
        <v>Suecia</v>
      </c>
      <c r="I23" s="9" t="str">
        <f ca="1">+WORLDCUP!BD69</f>
        <v>Croacia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Bélgica</v>
      </c>
      <c r="E24" s="9" t="str">
        <f ca="1">+WORLDCUP!BD67</f>
        <v>Argelia</v>
      </c>
      <c r="F24" s="9" t="str">
        <f ca="1">+WORLDCUP!BD61</f>
        <v>Paraguay</v>
      </c>
      <c r="G24" s="9" t="str">
        <f ca="1">+WORLDCUP!BD65</f>
        <v>Cabo Verde</v>
      </c>
      <c r="H24" s="9" t="str">
        <f ca="1">+WORLDCUP!BD63</f>
        <v>Suecia</v>
      </c>
      <c r="I24" s="9" t="str">
        <f ca="1">+WORLDCUP!BD69</f>
        <v>Croacia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Bélgica</v>
      </c>
      <c r="E25" s="9" t="str">
        <f ca="1">+WORLDCUP!BD67</f>
        <v>Argelia</v>
      </c>
      <c r="F25" s="9" t="str">
        <f ca="1">+WORLDCUP!BD61</f>
        <v>Paraguay</v>
      </c>
      <c r="G25" s="9" t="str">
        <f ca="1">+WORLDCUP!BD65</f>
        <v>Cabo Verde</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Cabo Verde</v>
      </c>
      <c r="H26" s="9" t="str">
        <f ca="1">+WORLDCUP!BD61</f>
        <v>Paraguay</v>
      </c>
      <c r="I26" s="9" t="str">
        <f ca="1">+WORLDCUP!BD69</f>
        <v>Croacia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Escocia</v>
      </c>
      <c r="G27" s="9" t="str">
        <f ca="1">+WORLDCUP!BD67</f>
        <v>Argelia</v>
      </c>
      <c r="H27" s="9" t="str">
        <f ca="1">+WORLDCUP!BD61</f>
        <v>Paraguay</v>
      </c>
      <c r="I27" s="9" t="str">
        <f ca="1">+WORLDCUP!BD69</f>
        <v>Croacia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Argelia</v>
      </c>
      <c r="F28" s="9" t="str">
        <f ca="1">+WORLDCUP!BD60</f>
        <v>Escocia</v>
      </c>
      <c r="G28" s="9" t="str">
        <f ca="1">+WORLDCUP!BD65</f>
        <v>Cabo Verde</v>
      </c>
      <c r="H28" s="9" t="str">
        <f ca="1">+WORLDCUP!BD61</f>
        <v>Paraguay</v>
      </c>
      <c r="I28" s="9" t="str">
        <f ca="1">+WORLDCUP!BD69</f>
        <v>Croacia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Escocia</v>
      </c>
      <c r="G29" s="9" t="str">
        <f ca="1">+WORLDCUP!BD65</f>
        <v>Cabo Verde</v>
      </c>
      <c r="H29" s="9" t="str">
        <f ca="1">+WORLDCUP!BD61</f>
        <v>Paraguay</v>
      </c>
      <c r="I29" s="9" t="str">
        <f ca="1">+WORLDCUP!BD69</f>
        <v>Croacia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Argelia</v>
      </c>
      <c r="F30" s="9" t="str">
        <f ca="1">+WORLDCUP!BD60</f>
        <v>Escocia</v>
      </c>
      <c r="G30" s="9" t="str">
        <f ca="1">+WORLDCUP!BD65</f>
        <v>Cabo Verde</v>
      </c>
      <c r="H30" s="9" t="str">
        <f ca="1">+WORLDCUP!BD61</f>
        <v>Paraguay</v>
      </c>
      <c r="I30" s="9" t="str">
        <f ca="1">+WORLDCUP!BD69</f>
        <v>Croacia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Argelia</v>
      </c>
      <c r="F31" s="9" t="str">
        <f ca="1">+WORLDCUP!BD60</f>
        <v>Escocia</v>
      </c>
      <c r="G31" s="9" t="str">
        <f ca="1">+WORLDCUP!BD65</f>
        <v>Cabo Verde</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Croacia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Cabo Verde</v>
      </c>
      <c r="H33" s="9" t="str">
        <f ca="1">+WORLDCUP!BD63</f>
        <v>Suecia</v>
      </c>
      <c r="I33" s="9" t="str">
        <f ca="1">+WORLDCUP!BD69</f>
        <v>Croacia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Croacia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Cabo Verde</v>
      </c>
      <c r="H35" s="9" t="str">
        <f ca="1">+WORLDCUP!BD63</f>
        <v>Suecia</v>
      </c>
      <c r="I35" s="9" t="str">
        <f ca="1">+WORLDCUP!BD69</f>
        <v>Croacia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Bélgica</v>
      </c>
      <c r="E37" s="9" t="str">
        <f ca="1">+WORLDCUP!BD62</f>
        <v>Ecuador</v>
      </c>
      <c r="F37" s="9" t="str">
        <f ca="1">+WORLDCUP!BD61</f>
        <v>Paraguay</v>
      </c>
      <c r="G37" s="9" t="str">
        <f ca="1">+WORLDCUP!BD67</f>
        <v>Argelia</v>
      </c>
      <c r="H37" s="9" t="str">
        <f ca="1">+WORLDCUP!BD63</f>
        <v>Suecia</v>
      </c>
      <c r="I37" s="9" t="str">
        <f ca="1">+WORLDCUP!BD69</f>
        <v>Croacia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Croacia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Bélgica</v>
      </c>
      <c r="E39" s="9" t="str">
        <f ca="1">+WORLDCUP!BD62</f>
        <v>Ecuador</v>
      </c>
      <c r="F39" s="9" t="str">
        <f ca="1">+WORLDCUP!BD61</f>
        <v>Paraguay</v>
      </c>
      <c r="G39" s="9" t="str">
        <f ca="1">+WORLDCUP!BD67</f>
        <v>Argelia</v>
      </c>
      <c r="H39" s="9" t="str">
        <f ca="1">+WORLDCUP!BD63</f>
        <v>Suecia</v>
      </c>
      <c r="I39" s="9" t="str">
        <f ca="1">+WORLDCUP!BD69</f>
        <v>Croacia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Bélgica</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Bélgica</v>
      </c>
      <c r="E41" s="9" t="str">
        <f ca="1">+WORLDCUP!BD62</f>
        <v>Ecuador</v>
      </c>
      <c r="F41" s="9" t="str">
        <f ca="1">+WORLDCUP!BD61</f>
        <v>Paraguay</v>
      </c>
      <c r="G41" s="9" t="str">
        <f ca="1">+WORLDCUP!BD65</f>
        <v>Cabo Verde</v>
      </c>
      <c r="H41" s="9" t="str">
        <f ca="1">+WORLDCUP!BD63</f>
        <v>Suecia</v>
      </c>
      <c r="I41" s="9" t="str">
        <f ca="1">+WORLDCUP!BD69</f>
        <v>Croacia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Bélgica</v>
      </c>
      <c r="E42" s="9" t="str">
        <f ca="1">+WORLDCUP!BD67</f>
        <v>Argelia</v>
      </c>
      <c r="F42" s="9" t="str">
        <f ca="1">+WORLDCUP!BD61</f>
        <v>Paraguay</v>
      </c>
      <c r="G42" s="9" t="str">
        <f ca="1">+WORLDCUP!BD65</f>
        <v>Cabo Verde</v>
      </c>
      <c r="H42" s="9" t="str">
        <f ca="1">+WORLDCUP!BD63</f>
        <v>Suecia</v>
      </c>
      <c r="I42" s="9" t="str">
        <f ca="1">+WORLDCUP!BD69</f>
        <v>Croacia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Bélgica</v>
      </c>
      <c r="E43" s="9" t="str">
        <f ca="1">+WORLDCUP!BD67</f>
        <v>Argelia</v>
      </c>
      <c r="F43" s="9" t="str">
        <f ca="1">+WORLDCUP!BD61</f>
        <v>Paraguay</v>
      </c>
      <c r="G43" s="9" t="str">
        <f ca="1">+WORLDCUP!BD65</f>
        <v>Cabo Verde</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Bélgica</v>
      </c>
      <c r="E44" s="9" t="str">
        <f ca="1">+WORLDCUP!BD62</f>
        <v>Ecuador</v>
      </c>
      <c r="F44" s="9" t="str">
        <f ca="1">+WORLDCUP!BD61</f>
        <v>Paraguay</v>
      </c>
      <c r="G44" s="9" t="str">
        <f ca="1">+WORLDCUP!BD65</f>
        <v>Cabo Verde</v>
      </c>
      <c r="H44" s="9" t="str">
        <f ca="1">+WORLDCUP!BD63</f>
        <v>Suecia</v>
      </c>
      <c r="I44" s="9" t="str">
        <f ca="1">+WORLDCUP!BD69</f>
        <v>Croacia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Bélgica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Bélgica</v>
      </c>
      <c r="E46" s="9" t="str">
        <f ca="1">+WORLDCUP!BD67</f>
        <v>Argelia</v>
      </c>
      <c r="F46" s="9" t="str">
        <f ca="1">+WORLDCUP!BD61</f>
        <v>Paraguay</v>
      </c>
      <c r="G46" s="9" t="str">
        <f ca="1">+WORLDCUP!BD65</f>
        <v>Cabo Verde</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Argelia</v>
      </c>
      <c r="E47" s="9" t="str">
        <f ca="1">+WORLDCUP!BD59</f>
        <v>Bosnia y Herzegovina</v>
      </c>
      <c r="F47" s="9" t="str">
        <f ca="1">+WORLDCUP!BD63</f>
        <v>Suecia</v>
      </c>
      <c r="G47" s="9" t="str">
        <f ca="1">+WORLDCUP!BD66</f>
        <v>Senegal</v>
      </c>
      <c r="H47" s="9" t="str">
        <f ca="1">+WORLDCUP!BD64</f>
        <v>Bélgica</v>
      </c>
      <c r="I47" s="9" t="str">
        <f ca="1">+WORLDCUP!BD69</f>
        <v>Croacia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Cabo Verde</v>
      </c>
      <c r="H48" s="9" t="str">
        <f ca="1">+WORLDCUP!BD64</f>
        <v>Bélgica</v>
      </c>
      <c r="I48" s="9" t="str">
        <f ca="1">+WORLDCUP!BD69</f>
        <v>Croacia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Cabo Verde</v>
      </c>
      <c r="I49" s="9" t="str">
        <f ca="1">+WORLDCUP!BD69</f>
        <v>Croacia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Bélgica</v>
      </c>
      <c r="I50" s="9" t="str">
        <f ca="1">+WORLDCUP!BD69</f>
        <v>Croacia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Cabo Verde</v>
      </c>
      <c r="H51" s="9" t="str">
        <f ca="1">+WORLDCUP!BD64</f>
        <v>Bélgica</v>
      </c>
      <c r="I51" s="9" t="str">
        <f ca="1">+WORLDCUP!BD69</f>
        <v>Croacia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Cabo Verde</v>
      </c>
      <c r="I52" s="9" t="str">
        <f ca="1">+WORLDCUP!BD69</f>
        <v>Croacia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Cabo Verde</v>
      </c>
      <c r="H53" s="9" t="str">
        <f ca="1">+WORLDCUP!BD64</f>
        <v>Bélgica</v>
      </c>
      <c r="I53" s="9" t="str">
        <f ca="1">+WORLDCUP!BD69</f>
        <v>Croacia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Cabo Verde</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Argelia</v>
      </c>
      <c r="E55" s="9" t="str">
        <f ca="1">+WORLDCUP!BD59</f>
        <v>Bosnia y Herzegovina</v>
      </c>
      <c r="F55" s="9" t="str">
        <f ca="1">+WORLDCUP!BD61</f>
        <v>Paraguay</v>
      </c>
      <c r="G55" s="9" t="str">
        <f ca="1">+WORLDCUP!BD66</f>
        <v>Senegal</v>
      </c>
      <c r="H55" s="9" t="str">
        <f ca="1">+WORLDCUP!BD64</f>
        <v>Bélgica</v>
      </c>
      <c r="I55" s="9" t="str">
        <f ca="1">+WORLDCUP!BD69</f>
        <v>Croacia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Croacia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Argelia</v>
      </c>
      <c r="H57" s="9" t="str">
        <f ca="1">+WORLDCUP!BD63</f>
        <v>Suecia</v>
      </c>
      <c r="I57" s="9" t="str">
        <f ca="1">+WORLDCUP!BD69</f>
        <v>Croacia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Bélgica</v>
      </c>
      <c r="E58" s="9" t="str">
        <f ca="1">+WORLDCUP!BD59</f>
        <v>Bosnia y Herzegovina</v>
      </c>
      <c r="F58" s="9" t="str">
        <f ca="1">+WORLDCUP!BD61</f>
        <v>Paraguay</v>
      </c>
      <c r="G58" s="9" t="str">
        <f ca="1">+WORLDCUP!BD67</f>
        <v>Argelia</v>
      </c>
      <c r="H58" s="9" t="str">
        <f ca="1">+WORLDCUP!BD63</f>
        <v>Suecia</v>
      </c>
      <c r="I58" s="9" t="str">
        <f ca="1">+WORLDCUP!BD69</f>
        <v>Croacia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Croacia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Bélgica</v>
      </c>
      <c r="E60" s="9" t="str">
        <f ca="1">+WORLDCUP!BD59</f>
        <v>Bosnia y Herzegovina</v>
      </c>
      <c r="F60" s="9" t="str">
        <f ca="1">+WORLDCUP!BD61</f>
        <v>Paraguay</v>
      </c>
      <c r="G60" s="9" t="str">
        <f ca="1">+WORLDCUP!BD67</f>
        <v>Argelia</v>
      </c>
      <c r="H60" s="9" t="str">
        <f ca="1">+WORLDCUP!BD63</f>
        <v>Suecia</v>
      </c>
      <c r="I60" s="9" t="str">
        <f ca="1">+WORLDCUP!BD69</f>
        <v>Croacia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Bélgica</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Cabo Verde</v>
      </c>
      <c r="I62" s="9" t="str">
        <f ca="1">+WORLDCUP!BD69</f>
        <v>Croacia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Bélgica</v>
      </c>
      <c r="I63" s="9" t="str">
        <f ca="1">+WORLDCUP!BD69</f>
        <v>Croacia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Cabo Verde</v>
      </c>
      <c r="H64" s="9" t="str">
        <f ca="1">+WORLDCUP!BD64</f>
        <v>Bélgica</v>
      </c>
      <c r="I64" s="9" t="str">
        <f ca="1">+WORLDCUP!BD69</f>
        <v>Croacia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Cabo Verde</v>
      </c>
      <c r="I65" s="9" t="str">
        <f ca="1">+WORLDCUP!BD69</f>
        <v>Croacia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Cabo Verde</v>
      </c>
      <c r="H66" s="9" t="str">
        <f ca="1">+WORLDCUP!BD64</f>
        <v>Bélgica</v>
      </c>
      <c r="I66" s="9" t="str">
        <f ca="1">+WORLDCUP!BD69</f>
        <v>Croacia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Cabo Verde</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Croacia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Cabo Verde</v>
      </c>
      <c r="H69" s="9" t="str">
        <f ca="1">+WORLDCUP!BD63</f>
        <v>Suecia</v>
      </c>
      <c r="I69" s="9" t="str">
        <f ca="1">+WORLDCUP!BD69</f>
        <v>Croacia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Croacia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Cabo Verde</v>
      </c>
      <c r="H71" s="9" t="str">
        <f ca="1">+WORLDCUP!BD63</f>
        <v>Suecia</v>
      </c>
      <c r="I71" s="9" t="str">
        <f ca="1">+WORLDCUP!BD69</f>
        <v>Croacia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Argelia</v>
      </c>
      <c r="H73" s="9" t="str">
        <f ca="1">+WORLDCUP!BD63</f>
        <v>Suecia</v>
      </c>
      <c r="I73" s="9" t="str">
        <f ca="1">+WORLDCUP!BD69</f>
        <v>Croacia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Croacia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Argelia</v>
      </c>
      <c r="H75" s="9" t="str">
        <f ca="1">+WORLDCUP!BD63</f>
        <v>Suecia</v>
      </c>
      <c r="I75" s="9" t="str">
        <f ca="1">+WORLDCUP!BD69</f>
        <v>Croacia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Cabo Verde</v>
      </c>
      <c r="H77" s="9" t="str">
        <f ca="1">+WORLDCUP!BD63</f>
        <v>Suecia</v>
      </c>
      <c r="I77" s="9" t="str">
        <f ca="1">+WORLDCUP!BD69</f>
        <v>Croacia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Bélgica</v>
      </c>
      <c r="E78" s="9" t="str">
        <f ca="1">+WORLDCUP!BD59</f>
        <v>Bosnia y Herzegovina</v>
      </c>
      <c r="F78" s="9" t="str">
        <f ca="1">+WORLDCUP!BD61</f>
        <v>Paraguay</v>
      </c>
      <c r="G78" s="9" t="str">
        <f ca="1">+WORLDCUP!BD67</f>
        <v>Argelia</v>
      </c>
      <c r="H78" s="9" t="str">
        <f ca="1">+WORLDCUP!BD63</f>
        <v>Suecia</v>
      </c>
      <c r="I78" s="9" t="str">
        <f ca="1">+WORLDCUP!BD69</f>
        <v>Croacia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Bélgica</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Cabo Verde</v>
      </c>
      <c r="H80" s="9" t="str">
        <f ca="1">+WORLDCUP!BD63</f>
        <v>Suecia</v>
      </c>
      <c r="I80" s="9" t="str">
        <f ca="1">+WORLDCUP!BD69</f>
        <v>Croacia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Bélgica</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Argelia</v>
      </c>
      <c r="E83" s="9" t="str">
        <f ca="1">+WORLDCUP!BD59</f>
        <v>Bosnia y Herzegovina</v>
      </c>
      <c r="F83" s="9" t="str">
        <f ca="1">+WORLDCUP!BD60</f>
        <v>Escocia</v>
      </c>
      <c r="G83" s="9" t="str">
        <f ca="1">+WORLDCUP!BD66</f>
        <v>Senegal</v>
      </c>
      <c r="H83" s="9" t="str">
        <f ca="1">+WORLDCUP!BD64</f>
        <v>Bélgica</v>
      </c>
      <c r="I83" s="9" t="str">
        <f ca="1">+WORLDCUP!BD69</f>
        <v>Croacia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Croacia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Argelia</v>
      </c>
      <c r="H85" s="9" t="str">
        <f ca="1">+WORLDCUP!BD63</f>
        <v>Suecia</v>
      </c>
      <c r="I85" s="9" t="str">
        <f ca="1">+WORLDCUP!BD69</f>
        <v>Croacia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Bélgica</v>
      </c>
      <c r="E86" s="9" t="str">
        <f ca="1">+WORLDCUP!BD59</f>
        <v>Bosnia y Herzegovina</v>
      </c>
      <c r="F86" s="9" t="str">
        <f ca="1">+WORLDCUP!BD60</f>
        <v>Escocia</v>
      </c>
      <c r="G86" s="9" t="str">
        <f ca="1">+WORLDCUP!BD67</f>
        <v>Argelia</v>
      </c>
      <c r="H86" s="9" t="str">
        <f ca="1">+WORLDCUP!BD63</f>
        <v>Suecia</v>
      </c>
      <c r="I86" s="9" t="str">
        <f ca="1">+WORLDCUP!BD69</f>
        <v>Croacia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Croacia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Bélgica</v>
      </c>
      <c r="E88" s="9" t="str">
        <f ca="1">+WORLDCUP!BD59</f>
        <v>Bosnia y Herzegovina</v>
      </c>
      <c r="F88" s="9" t="str">
        <f ca="1">+WORLDCUP!BD60</f>
        <v>Escocia</v>
      </c>
      <c r="G88" s="9" t="str">
        <f ca="1">+WORLDCUP!BD67</f>
        <v>Argelia</v>
      </c>
      <c r="H88" s="9" t="str">
        <f ca="1">+WORLDCUP!BD63</f>
        <v>Suecia</v>
      </c>
      <c r="I88" s="9" t="str">
        <f ca="1">+WORLDCUP!BD69</f>
        <v>Croacia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Bélgica</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Cabo Verde</v>
      </c>
      <c r="I90" s="9" t="str">
        <f ca="1">+WORLDCUP!BD69</f>
        <v>Croacia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Bélgica</v>
      </c>
      <c r="I91" s="9" t="str">
        <f ca="1">+WORLDCUP!BD69</f>
        <v>Croacia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Cabo Verde</v>
      </c>
      <c r="H92" s="9" t="str">
        <f ca="1">+WORLDCUP!BD64</f>
        <v>Bélgica</v>
      </c>
      <c r="I92" s="9" t="str">
        <f ca="1">+WORLDCUP!BD69</f>
        <v>Croacia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Cabo Verde</v>
      </c>
      <c r="I93" s="9" t="str">
        <f ca="1">+WORLDCUP!BD69</f>
        <v>Croacia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Cabo Verde</v>
      </c>
      <c r="H94" s="9" t="str">
        <f ca="1">+WORLDCUP!BD64</f>
        <v>Bélgica</v>
      </c>
      <c r="I94" s="9" t="str">
        <f ca="1">+WORLDCUP!BD69</f>
        <v>Croacia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Cabo Verde</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Croacia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Cabo Verde</v>
      </c>
      <c r="H97" s="9" t="str">
        <f ca="1">+WORLDCUP!BD63</f>
        <v>Suecia</v>
      </c>
      <c r="I97" s="9" t="str">
        <f ca="1">+WORLDCUP!BD69</f>
        <v>Croacia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Croacia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Cabo Verde</v>
      </c>
      <c r="H99" s="9" t="str">
        <f ca="1">+WORLDCUP!BD63</f>
        <v>Suecia</v>
      </c>
      <c r="I99" s="9" t="str">
        <f ca="1">+WORLDCUP!BD69</f>
        <v>Croacia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Argelia</v>
      </c>
      <c r="H101" s="9" t="str">
        <f ca="1">+WORLDCUP!BD63</f>
        <v>Suecia</v>
      </c>
      <c r="I101" s="9" t="str">
        <f ca="1">+WORLDCUP!BD69</f>
        <v>Croacia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Croacia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Argelia</v>
      </c>
      <c r="H103" s="9" t="str">
        <f ca="1">+WORLDCUP!BD63</f>
        <v>Suecia</v>
      </c>
      <c r="I103" s="9" t="str">
        <f ca="1">+WORLDCUP!BD69</f>
        <v>Croacia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Cabo Verde</v>
      </c>
      <c r="H105" s="9" t="str">
        <f ca="1">+WORLDCUP!BD63</f>
        <v>Suecia</v>
      </c>
      <c r="I105" s="9" t="str">
        <f ca="1">+WORLDCUP!BD69</f>
        <v>Croacia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Bélgica</v>
      </c>
      <c r="E106" s="9" t="str">
        <f ca="1">+WORLDCUP!BD59</f>
        <v>Bosnia y Herzegovina</v>
      </c>
      <c r="F106" s="9" t="str">
        <f ca="1">+WORLDCUP!BD60</f>
        <v>Escocia</v>
      </c>
      <c r="G106" s="9" t="str">
        <f ca="1">+WORLDCUP!BD67</f>
        <v>Argelia</v>
      </c>
      <c r="H106" s="9" t="str">
        <f ca="1">+WORLDCUP!BD63</f>
        <v>Suecia</v>
      </c>
      <c r="I106" s="9" t="str">
        <f ca="1">+WORLDCUP!BD69</f>
        <v>Croacia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Bélgica</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Cabo Verde</v>
      </c>
      <c r="H108" s="9" t="str">
        <f ca="1">+WORLDCUP!BD63</f>
        <v>Suecia</v>
      </c>
      <c r="I108" s="9" t="str">
        <f ca="1">+WORLDCUP!BD69</f>
        <v>Croacia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Bélgica</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Croacia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Argelia</v>
      </c>
      <c r="H112" s="9" t="str">
        <f ca="1">+WORLDCUP!BD61</f>
        <v>Paraguay</v>
      </c>
      <c r="I112" s="9" t="str">
        <f ca="1">+WORLDCUP!BD69</f>
        <v>Croacia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Bélgica</v>
      </c>
      <c r="E113" s="9" t="str">
        <f ca="1">+WORLDCUP!BD59</f>
        <v>Bosnia y Herzegovina</v>
      </c>
      <c r="F113" s="9" t="str">
        <f ca="1">+WORLDCUP!BD60</f>
        <v>Escocia</v>
      </c>
      <c r="G113" s="9" t="str">
        <f ca="1">+WORLDCUP!BD67</f>
        <v>Argelia</v>
      </c>
      <c r="H113" s="9" t="str">
        <f ca="1">+WORLDCUP!BD61</f>
        <v>Paraguay</v>
      </c>
      <c r="I113" s="9" t="str">
        <f ca="1">+WORLDCUP!BD69</f>
        <v>Croacia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Croacia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Bélgica</v>
      </c>
      <c r="E115" s="9" t="str">
        <f ca="1">+WORLDCUP!BD59</f>
        <v>Bosnia y Herzegovina</v>
      </c>
      <c r="F115" s="9" t="str">
        <f ca="1">+WORLDCUP!BD60</f>
        <v>Escocia</v>
      </c>
      <c r="G115" s="9" t="str">
        <f ca="1">+WORLDCUP!BD67</f>
        <v>Argelia</v>
      </c>
      <c r="H115" s="9" t="str">
        <f ca="1">+WORLDCUP!BD61</f>
        <v>Paraguay</v>
      </c>
      <c r="I115" s="9" t="str">
        <f ca="1">+WORLDCUP!BD69</f>
        <v>Croacia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Bélgica</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Croacia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Cabo Verde</v>
      </c>
      <c r="H118" s="9" t="str">
        <f ca="1">+WORLDCUP!BD63</f>
        <v>Suecia</v>
      </c>
      <c r="I118" s="9" t="str">
        <f ca="1">+WORLDCUP!BD69</f>
        <v>Croacia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Croacia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Cabo Verde</v>
      </c>
      <c r="H120" s="9" t="str">
        <f ca="1">+WORLDCUP!BD63</f>
        <v>Suecia</v>
      </c>
      <c r="I120" s="9" t="str">
        <f ca="1">+WORLDCUP!BD69</f>
        <v>Croacia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Argelia</v>
      </c>
      <c r="H122" s="9" t="str">
        <f ca="1">+WORLDCUP!BD63</f>
        <v>Suecia</v>
      </c>
      <c r="I122" s="9" t="str">
        <f ca="1">+WORLDCUP!BD69</f>
        <v>Croacia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Croacia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Argelia</v>
      </c>
      <c r="H124" s="9" t="str">
        <f ca="1">+WORLDCUP!BD63</f>
        <v>Suecia</v>
      </c>
      <c r="I124" s="9" t="str">
        <f ca="1">+WORLDCUP!BD69</f>
        <v>Croacia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Cabo Verde</v>
      </c>
      <c r="H126" s="9" t="str">
        <f ca="1">+WORLDCUP!BD63</f>
        <v>Suecia</v>
      </c>
      <c r="I126" s="9" t="str">
        <f ca="1">+WORLDCUP!BD69</f>
        <v>Croacia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Cabo Verde</v>
      </c>
      <c r="H127" s="9" t="str">
        <f ca="1">+WORLDCUP!BD63</f>
        <v>Suecia</v>
      </c>
      <c r="I127" s="9" t="str">
        <f ca="1">+WORLDCUP!BD69</f>
        <v>Croacia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Bélgica</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Cabo Verde</v>
      </c>
      <c r="H129" s="9" t="str">
        <f ca="1">+WORLDCUP!BD63</f>
        <v>Suecia</v>
      </c>
      <c r="I129" s="9" t="str">
        <f ca="1">+WORLDCUP!BD69</f>
        <v>Croacia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Bélgica</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Croacia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Cabo Verde</v>
      </c>
      <c r="H133" s="9" t="str">
        <f ca="1">+WORLDCUP!BD61</f>
        <v>Paraguay</v>
      </c>
      <c r="I133" s="9" t="str">
        <f ca="1">+WORLDCUP!BD69</f>
        <v>Croacia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Croacia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Cabo Verde</v>
      </c>
      <c r="H135" s="9" t="str">
        <f ca="1">+WORLDCUP!BD61</f>
        <v>Paraguay</v>
      </c>
      <c r="I135" s="9" t="str">
        <f ca="1">+WORLDCUP!BD69</f>
        <v>Croacia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Argelia</v>
      </c>
      <c r="H137" s="9" t="str">
        <f ca="1">+WORLDCUP!BD61</f>
        <v>Paraguay</v>
      </c>
      <c r="I137" s="9" t="str">
        <f ca="1">+WORLDCUP!BD69</f>
        <v>Croacia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Croacia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Argelia</v>
      </c>
      <c r="H139" s="9" t="str">
        <f ca="1">+WORLDCUP!BD61</f>
        <v>Paraguay</v>
      </c>
      <c r="I139" s="9" t="str">
        <f ca="1">+WORLDCUP!BD69</f>
        <v>Croacia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Cabo Verde</v>
      </c>
      <c r="H141" s="9" t="str">
        <f ca="1">+WORLDCUP!BD61</f>
        <v>Paraguay</v>
      </c>
      <c r="I141" s="9" t="str">
        <f ca="1">+WORLDCUP!BD69</f>
        <v>Croacia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Bélgica</v>
      </c>
      <c r="E142" s="9" t="str">
        <f ca="1">+WORLDCUP!BD59</f>
        <v>Bosnia y Herzegovina</v>
      </c>
      <c r="F142" s="9" t="str">
        <f ca="1">+WORLDCUP!BD60</f>
        <v>Escocia</v>
      </c>
      <c r="G142" s="9" t="str">
        <f ca="1">+WORLDCUP!BD67</f>
        <v>Argelia</v>
      </c>
      <c r="H142" s="9" t="str">
        <f ca="1">+WORLDCUP!BD61</f>
        <v>Paraguay</v>
      </c>
      <c r="I142" s="9" t="str">
        <f ca="1">+WORLDCUP!BD69</f>
        <v>Croacia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Bélgica</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Cabo Verde</v>
      </c>
      <c r="H144" s="9" t="str">
        <f ca="1">+WORLDCUP!BD61</f>
        <v>Paraguay</v>
      </c>
      <c r="I144" s="9" t="str">
        <f ca="1">+WORLDCUP!BD69</f>
        <v>Croacia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Bélgica</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Croacia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Croacia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Croacia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Croacia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Cabo Verde</v>
      </c>
      <c r="H152" s="9" t="str">
        <f ca="1">+WORLDCUP!BD63</f>
        <v>Suecia</v>
      </c>
      <c r="I152" s="9" t="str">
        <f ca="1">+WORLDCUP!BD69</f>
        <v>Croacia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Croacia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Croacia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Argelia</v>
      </c>
      <c r="H158" s="9" t="str">
        <f ca="1">+WORLDCUP!BD63</f>
        <v>Suecia</v>
      </c>
      <c r="I158" s="9" t="str">
        <f ca="1">+WORLDCUP!BD69</f>
        <v>Croacia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Croacia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Cabo Verde</v>
      </c>
      <c r="H163" s="9" t="str">
        <f ca="1">+WORLDCUP!BD63</f>
        <v>Suecia</v>
      </c>
      <c r="I163" s="9" t="str">
        <f ca="1">+WORLDCUP!BD69</f>
        <v>Croacia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Bélgica</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Argelia</v>
      </c>
      <c r="E167" s="9" t="str">
        <f ca="1">+WORLDCUP!BD66</f>
        <v>Senegal</v>
      </c>
      <c r="F167" s="9" t="str">
        <f ca="1">+WORLDCUP!BD63</f>
        <v>Suecia</v>
      </c>
      <c r="G167" s="9" t="str">
        <f ca="1">+WORLDCUP!BD58</f>
        <v>Corea del Sur</v>
      </c>
      <c r="H167" s="9" t="str">
        <f ca="1">+WORLDCUP!BD64</f>
        <v>Bélgica</v>
      </c>
      <c r="I167" s="9" t="str">
        <f ca="1">+WORLDCUP!BD69</f>
        <v>Croacia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Cabo Verde</v>
      </c>
      <c r="H168" s="9" t="str">
        <f ca="1">+WORLDCUP!BD64</f>
        <v>Bélgica</v>
      </c>
      <c r="I168" s="9" t="str">
        <f ca="1">+WORLDCUP!BD69</f>
        <v>Croacia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Cabo Verde</v>
      </c>
      <c r="I169" s="9" t="str">
        <f ca="1">+WORLDCUP!BD69</f>
        <v>Croacia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Bélgica</v>
      </c>
      <c r="I170" s="9" t="str">
        <f ca="1">+WORLDCUP!BD69</f>
        <v>Croacia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Argelia</v>
      </c>
      <c r="F171" s="9" t="str">
        <f ca="1">+WORLDCUP!BD63</f>
        <v>Suecia</v>
      </c>
      <c r="G171" s="9" t="str">
        <f ca="1">+WORLDCUP!BD58</f>
        <v>Corea del Sur</v>
      </c>
      <c r="H171" s="9" t="str">
        <f ca="1">+WORLDCUP!BD65</f>
        <v>Cabo Verde</v>
      </c>
      <c r="I171" s="9" t="str">
        <f ca="1">+WORLDCUP!BD69</f>
        <v>Croacia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Suecia</v>
      </c>
      <c r="G172" s="9" t="str">
        <f ca="1">+WORLDCUP!BD58</f>
        <v>Corea del Sur</v>
      </c>
      <c r="H172" s="9" t="str">
        <f ca="1">+WORLDCUP!BD65</f>
        <v>Cabo Verde</v>
      </c>
      <c r="I172" s="9" t="str">
        <f ca="1">+WORLDCUP!BD69</f>
        <v>Croacia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Argelia</v>
      </c>
      <c r="F173" s="9" t="str">
        <f ca="1">+WORLDCUP!BD63</f>
        <v>Suecia</v>
      </c>
      <c r="G173" s="9" t="str">
        <f ca="1">+WORLDCUP!BD58</f>
        <v>Corea del Sur</v>
      </c>
      <c r="H173" s="9" t="str">
        <f ca="1">+WORLDCUP!BD65</f>
        <v>Cabo Verde</v>
      </c>
      <c r="I173" s="9" t="str">
        <f ca="1">+WORLDCUP!BD69</f>
        <v>Croacia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Argelia</v>
      </c>
      <c r="F174" s="9" t="str">
        <f ca="1">+WORLDCUP!BD63</f>
        <v>Suecia</v>
      </c>
      <c r="G174" s="9" t="str">
        <f ca="1">+WORLDCUP!BD58</f>
        <v>Corea del Sur</v>
      </c>
      <c r="H174" s="9" t="str">
        <f ca="1">+WORLDCUP!BD65</f>
        <v>Cabo Verde</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Argelia</v>
      </c>
      <c r="E175" s="9" t="str">
        <f ca="1">+WORLDCUP!BD66</f>
        <v>Senegal</v>
      </c>
      <c r="F175" s="9" t="str">
        <f ca="1">+WORLDCUP!BD61</f>
        <v>Paraguay</v>
      </c>
      <c r="G175" s="9" t="str">
        <f ca="1">+WORLDCUP!BD58</f>
        <v>Corea del Sur</v>
      </c>
      <c r="H175" s="9" t="str">
        <f ca="1">+WORLDCUP!BD64</f>
        <v>Bélgica</v>
      </c>
      <c r="I175" s="9" t="str">
        <f ca="1">+WORLDCUP!BD69</f>
        <v>Croacia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Croacia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Argelia</v>
      </c>
      <c r="F177" s="9" t="str">
        <f ca="1">+WORLDCUP!BD61</f>
        <v>Paraguay</v>
      </c>
      <c r="G177" s="9" t="str">
        <f ca="1">+WORLDCUP!BD58</f>
        <v>Corea del Sur</v>
      </c>
      <c r="H177" s="9" t="str">
        <f ca="1">+WORLDCUP!BD63</f>
        <v>Suecia</v>
      </c>
      <c r="I177" s="9" t="str">
        <f ca="1">+WORLDCUP!BD69</f>
        <v>Croacia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Bélgica</v>
      </c>
      <c r="E178" s="9" t="str">
        <f ca="1">+WORLDCUP!BD67</f>
        <v>Argelia</v>
      </c>
      <c r="F178" s="9" t="str">
        <f ca="1">+WORLDCUP!BD61</f>
        <v>Paraguay</v>
      </c>
      <c r="G178" s="9" t="str">
        <f ca="1">+WORLDCUP!BD58</f>
        <v>Corea del Sur</v>
      </c>
      <c r="H178" s="9" t="str">
        <f ca="1">+WORLDCUP!BD63</f>
        <v>Suecia</v>
      </c>
      <c r="I178" s="9" t="str">
        <f ca="1">+WORLDCUP!BD69</f>
        <v>Croacia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Bélgica</v>
      </c>
      <c r="E179" s="9" t="str">
        <f ca="1">+WORLDCUP!BD66</f>
        <v>Senegal</v>
      </c>
      <c r="F179" s="9" t="str">
        <f ca="1">+WORLDCUP!BD61</f>
        <v>Paraguay</v>
      </c>
      <c r="G179" s="9" t="str">
        <f ca="1">+WORLDCUP!BD58</f>
        <v>Corea del Sur</v>
      </c>
      <c r="H179" s="9" t="str">
        <f ca="1">+WORLDCUP!BD63</f>
        <v>Suecia</v>
      </c>
      <c r="I179" s="9" t="str">
        <f ca="1">+WORLDCUP!BD69</f>
        <v>Croacia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Bélgica</v>
      </c>
      <c r="E180" s="9" t="str">
        <f ca="1">+WORLDCUP!BD67</f>
        <v>Argelia</v>
      </c>
      <c r="F180" s="9" t="str">
        <f ca="1">+WORLDCUP!BD61</f>
        <v>Paraguay</v>
      </c>
      <c r="G180" s="9" t="str">
        <f ca="1">+WORLDCUP!BD58</f>
        <v>Corea del Sur</v>
      </c>
      <c r="H180" s="9" t="str">
        <f ca="1">+WORLDCUP!BD63</f>
        <v>Suecia</v>
      </c>
      <c r="I180" s="9" t="str">
        <f ca="1">+WORLDCUP!BD69</f>
        <v>Croacia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Bélgica</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Cabo Verde</v>
      </c>
      <c r="I182" s="9" t="str">
        <f ca="1">+WORLDCUP!BD69</f>
        <v>Croacia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Bélgica</v>
      </c>
      <c r="I183" s="9" t="str">
        <f ca="1">+WORLDCUP!BD69</f>
        <v>Croacia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Argelia</v>
      </c>
      <c r="F184" s="9" t="str">
        <f ca="1">+WORLDCUP!BD61</f>
        <v>Paraguay</v>
      </c>
      <c r="G184" s="9" t="str">
        <f ca="1">+WORLDCUP!BD58</f>
        <v>Corea del Sur</v>
      </c>
      <c r="H184" s="9" t="str">
        <f ca="1">+WORLDCUP!BD65</f>
        <v>Cabo Verde</v>
      </c>
      <c r="I184" s="9" t="str">
        <f ca="1">+WORLDCUP!BD69</f>
        <v>Croacia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Paraguay</v>
      </c>
      <c r="G185" s="9" t="str">
        <f ca="1">+WORLDCUP!BD58</f>
        <v>Corea del Sur</v>
      </c>
      <c r="H185" s="9" t="str">
        <f ca="1">+WORLDCUP!BD65</f>
        <v>Cabo Verde</v>
      </c>
      <c r="I185" s="9" t="str">
        <f ca="1">+WORLDCUP!BD69</f>
        <v>Croacia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Argelia</v>
      </c>
      <c r="F186" s="9" t="str">
        <f ca="1">+WORLDCUP!BD61</f>
        <v>Paraguay</v>
      </c>
      <c r="G186" s="9" t="str">
        <f ca="1">+WORLDCUP!BD58</f>
        <v>Corea del Sur</v>
      </c>
      <c r="H186" s="9" t="str">
        <f ca="1">+WORLDCUP!BD65</f>
        <v>Cabo Verde</v>
      </c>
      <c r="I186" s="9" t="str">
        <f ca="1">+WORLDCUP!BD69</f>
        <v>Croacia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Argelia</v>
      </c>
      <c r="F187" s="9" t="str">
        <f ca="1">+WORLDCUP!BD61</f>
        <v>Paraguay</v>
      </c>
      <c r="G187" s="9" t="str">
        <f ca="1">+WORLDCUP!BD58</f>
        <v>Corea del Sur</v>
      </c>
      <c r="H187" s="9" t="str">
        <f ca="1">+WORLDCUP!BD65</f>
        <v>Cabo Verde</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Croacia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Croacia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Croacia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Croacia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Argelia</v>
      </c>
      <c r="F193" s="9" t="str">
        <f ca="1">+WORLDCUP!BD61</f>
        <v>Paraguay</v>
      </c>
      <c r="G193" s="9" t="str">
        <f ca="1">+WORLDCUP!BD58</f>
        <v>Corea del Sur</v>
      </c>
      <c r="H193" s="9" t="str">
        <f ca="1">+WORLDCUP!BD63</f>
        <v>Suecia</v>
      </c>
      <c r="I193" s="9" t="str">
        <f ca="1">+WORLDCUP!BD69</f>
        <v>Croacia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Paraguay</v>
      </c>
      <c r="G194" s="9" t="str">
        <f ca="1">+WORLDCUP!BD58</f>
        <v>Corea del Sur</v>
      </c>
      <c r="H194" s="9" t="str">
        <f ca="1">+WORLDCUP!BD63</f>
        <v>Suecia</v>
      </c>
      <c r="I194" s="9" t="str">
        <f ca="1">+WORLDCUP!BD69</f>
        <v>Croacia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Argelia</v>
      </c>
      <c r="F195" s="9" t="str">
        <f ca="1">+WORLDCUP!BD61</f>
        <v>Paraguay</v>
      </c>
      <c r="G195" s="9" t="str">
        <f ca="1">+WORLDCUP!BD58</f>
        <v>Corea del Sur</v>
      </c>
      <c r="H195" s="9" t="str">
        <f ca="1">+WORLDCUP!BD63</f>
        <v>Suecia</v>
      </c>
      <c r="I195" s="9" t="str">
        <f ca="1">+WORLDCUP!BD69</f>
        <v>Croacia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Bélgica</v>
      </c>
      <c r="E197" s="9" t="str">
        <f ca="1">+WORLDCUP!BD62</f>
        <v>Ecuador</v>
      </c>
      <c r="F197" s="9" t="str">
        <f ca="1">+WORLDCUP!BD61</f>
        <v>Paraguay</v>
      </c>
      <c r="G197" s="9" t="str">
        <f ca="1">+WORLDCUP!BD58</f>
        <v>Corea del Sur</v>
      </c>
      <c r="H197" s="9" t="str">
        <f ca="1">+WORLDCUP!BD63</f>
        <v>Suecia</v>
      </c>
      <c r="I197" s="9" t="str">
        <f ca="1">+WORLDCUP!BD69</f>
        <v>Croacia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Bélgica</v>
      </c>
      <c r="E198" s="9" t="str">
        <f ca="1">+WORLDCUP!BD67</f>
        <v>Argelia</v>
      </c>
      <c r="F198" s="9" t="str">
        <f ca="1">+WORLDCUP!BD61</f>
        <v>Paraguay</v>
      </c>
      <c r="G198" s="9" t="str">
        <f ca="1">+WORLDCUP!BD58</f>
        <v>Corea del Sur</v>
      </c>
      <c r="H198" s="9" t="str">
        <f ca="1">+WORLDCUP!BD63</f>
        <v>Suecia</v>
      </c>
      <c r="I198" s="9" t="str">
        <f ca="1">+WORLDCUP!BD69</f>
        <v>Croacia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Bélgica</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Bélgica</v>
      </c>
      <c r="E200" s="9" t="str">
        <f ca="1">+WORLDCUP!BD62</f>
        <v>Ecuador</v>
      </c>
      <c r="F200" s="9" t="str">
        <f ca="1">+WORLDCUP!BD61</f>
        <v>Paraguay</v>
      </c>
      <c r="G200" s="9" t="str">
        <f ca="1">+WORLDCUP!BD58</f>
        <v>Corea del Sur</v>
      </c>
      <c r="H200" s="9" t="str">
        <f ca="1">+WORLDCUP!BD63</f>
        <v>Suecia</v>
      </c>
      <c r="I200" s="9" t="str">
        <f ca="1">+WORLDCUP!BD69</f>
        <v>Croacia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Bélgica</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Bélgica</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Argelia</v>
      </c>
      <c r="E203" s="9" t="str">
        <f ca="1">+WORLDCUP!BD66</f>
        <v>Senegal</v>
      </c>
      <c r="F203" s="9" t="str">
        <f ca="1">+WORLDCUP!BD60</f>
        <v>Escocia</v>
      </c>
      <c r="G203" s="9" t="str">
        <f ca="1">+WORLDCUP!BD58</f>
        <v>Corea del Sur</v>
      </c>
      <c r="H203" s="9" t="str">
        <f ca="1">+WORLDCUP!BD64</f>
        <v>Bélgica</v>
      </c>
      <c r="I203" s="9" t="str">
        <f ca="1">+WORLDCUP!BD69</f>
        <v>Croacia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Croacia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Argelia</v>
      </c>
      <c r="F205" s="9" t="str">
        <f ca="1">+WORLDCUP!BD60</f>
        <v>Escocia</v>
      </c>
      <c r="G205" s="9" t="str">
        <f ca="1">+WORLDCUP!BD58</f>
        <v>Corea del Sur</v>
      </c>
      <c r="H205" s="9" t="str">
        <f ca="1">+WORLDCUP!BD63</f>
        <v>Suecia</v>
      </c>
      <c r="I205" s="9" t="str">
        <f ca="1">+WORLDCUP!BD69</f>
        <v>Croacia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Bélgica</v>
      </c>
      <c r="E206" s="9" t="str">
        <f ca="1">+WORLDCUP!BD67</f>
        <v>Argelia</v>
      </c>
      <c r="F206" s="9" t="str">
        <f ca="1">+WORLDCUP!BD60</f>
        <v>Escocia</v>
      </c>
      <c r="G206" s="9" t="str">
        <f ca="1">+WORLDCUP!BD58</f>
        <v>Corea del Sur</v>
      </c>
      <c r="H206" s="9" t="str">
        <f ca="1">+WORLDCUP!BD63</f>
        <v>Suecia</v>
      </c>
      <c r="I206" s="9" t="str">
        <f ca="1">+WORLDCUP!BD69</f>
        <v>Croacia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Bélgica</v>
      </c>
      <c r="E207" s="9" t="str">
        <f ca="1">+WORLDCUP!BD66</f>
        <v>Senegal</v>
      </c>
      <c r="F207" s="9" t="str">
        <f ca="1">+WORLDCUP!BD60</f>
        <v>Escocia</v>
      </c>
      <c r="G207" s="9" t="str">
        <f ca="1">+WORLDCUP!BD58</f>
        <v>Corea del Sur</v>
      </c>
      <c r="H207" s="9" t="str">
        <f ca="1">+WORLDCUP!BD63</f>
        <v>Suecia</v>
      </c>
      <c r="I207" s="9" t="str">
        <f ca="1">+WORLDCUP!BD69</f>
        <v>Croacia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Bélgica</v>
      </c>
      <c r="E208" s="9" t="str">
        <f ca="1">+WORLDCUP!BD67</f>
        <v>Argelia</v>
      </c>
      <c r="F208" s="9" t="str">
        <f ca="1">+WORLDCUP!BD60</f>
        <v>Escocia</v>
      </c>
      <c r="G208" s="9" t="str">
        <f ca="1">+WORLDCUP!BD58</f>
        <v>Corea del Sur</v>
      </c>
      <c r="H208" s="9" t="str">
        <f ca="1">+WORLDCUP!BD63</f>
        <v>Suecia</v>
      </c>
      <c r="I208" s="9" t="str">
        <f ca="1">+WORLDCUP!BD69</f>
        <v>Croacia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Bélgica</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Cabo Verde</v>
      </c>
      <c r="I210" s="9" t="str">
        <f ca="1">+WORLDCUP!BD69</f>
        <v>Croacia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Bélgica</v>
      </c>
      <c r="I211" s="9" t="str">
        <f ca="1">+WORLDCUP!BD69</f>
        <v>Croacia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Argelia</v>
      </c>
      <c r="F212" s="9" t="str">
        <f ca="1">+WORLDCUP!BD60</f>
        <v>Escocia</v>
      </c>
      <c r="G212" s="9" t="str">
        <f ca="1">+WORLDCUP!BD58</f>
        <v>Corea del Sur</v>
      </c>
      <c r="H212" s="9" t="str">
        <f ca="1">+WORLDCUP!BD65</f>
        <v>Cabo Verde</v>
      </c>
      <c r="I212" s="9" t="str">
        <f ca="1">+WORLDCUP!BD69</f>
        <v>Croacia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Escocia</v>
      </c>
      <c r="G213" s="9" t="str">
        <f ca="1">+WORLDCUP!BD58</f>
        <v>Corea del Sur</v>
      </c>
      <c r="H213" s="9" t="str">
        <f ca="1">+WORLDCUP!BD65</f>
        <v>Cabo Verde</v>
      </c>
      <c r="I213" s="9" t="str">
        <f ca="1">+WORLDCUP!BD69</f>
        <v>Croacia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Argelia</v>
      </c>
      <c r="F214" s="9" t="str">
        <f ca="1">+WORLDCUP!BD60</f>
        <v>Escocia</v>
      </c>
      <c r="G214" s="9" t="str">
        <f ca="1">+WORLDCUP!BD58</f>
        <v>Corea del Sur</v>
      </c>
      <c r="H214" s="9" t="str">
        <f ca="1">+WORLDCUP!BD65</f>
        <v>Cabo Verde</v>
      </c>
      <c r="I214" s="9" t="str">
        <f ca="1">+WORLDCUP!BD69</f>
        <v>Croacia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Argelia</v>
      </c>
      <c r="F215" s="9" t="str">
        <f ca="1">+WORLDCUP!BD60</f>
        <v>Escocia</v>
      </c>
      <c r="G215" s="9" t="str">
        <f ca="1">+WORLDCUP!BD58</f>
        <v>Corea del Sur</v>
      </c>
      <c r="H215" s="9" t="str">
        <f ca="1">+WORLDCUP!BD65</f>
        <v>Cabo Verde</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Croacia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Croacia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Croacia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Croacia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Argelia</v>
      </c>
      <c r="F221" s="9" t="str">
        <f ca="1">+WORLDCUP!BD60</f>
        <v>Escocia</v>
      </c>
      <c r="G221" s="9" t="str">
        <f ca="1">+WORLDCUP!BD58</f>
        <v>Corea del Sur</v>
      </c>
      <c r="H221" s="9" t="str">
        <f ca="1">+WORLDCUP!BD63</f>
        <v>Suecia</v>
      </c>
      <c r="I221" s="9" t="str">
        <f ca="1">+WORLDCUP!BD69</f>
        <v>Croacia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Escocia</v>
      </c>
      <c r="G222" s="9" t="str">
        <f ca="1">+WORLDCUP!BD58</f>
        <v>Corea del Sur</v>
      </c>
      <c r="H222" s="9" t="str">
        <f ca="1">+WORLDCUP!BD63</f>
        <v>Suecia</v>
      </c>
      <c r="I222" s="9" t="str">
        <f ca="1">+WORLDCUP!BD69</f>
        <v>Croacia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Argelia</v>
      </c>
      <c r="F223" s="9" t="str">
        <f ca="1">+WORLDCUP!BD60</f>
        <v>Escocia</v>
      </c>
      <c r="G223" s="9" t="str">
        <f ca="1">+WORLDCUP!BD58</f>
        <v>Corea del Sur</v>
      </c>
      <c r="H223" s="9" t="str">
        <f ca="1">+WORLDCUP!BD63</f>
        <v>Suecia</v>
      </c>
      <c r="I223" s="9" t="str">
        <f ca="1">+WORLDCUP!BD69</f>
        <v>Croacia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Bélgica</v>
      </c>
      <c r="E225" s="9" t="str">
        <f ca="1">+WORLDCUP!BD62</f>
        <v>Ecuador</v>
      </c>
      <c r="F225" s="9" t="str">
        <f ca="1">+WORLDCUP!BD60</f>
        <v>Escocia</v>
      </c>
      <c r="G225" s="9" t="str">
        <f ca="1">+WORLDCUP!BD58</f>
        <v>Corea del Sur</v>
      </c>
      <c r="H225" s="9" t="str">
        <f ca="1">+WORLDCUP!BD63</f>
        <v>Suecia</v>
      </c>
      <c r="I225" s="9" t="str">
        <f ca="1">+WORLDCUP!BD69</f>
        <v>Croacia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Bélgica</v>
      </c>
      <c r="E226" s="9" t="str">
        <f ca="1">+WORLDCUP!BD67</f>
        <v>Argelia</v>
      </c>
      <c r="F226" s="9" t="str">
        <f ca="1">+WORLDCUP!BD60</f>
        <v>Escocia</v>
      </c>
      <c r="G226" s="9" t="str">
        <f ca="1">+WORLDCUP!BD58</f>
        <v>Corea del Sur</v>
      </c>
      <c r="H226" s="9" t="str">
        <f ca="1">+WORLDCUP!BD63</f>
        <v>Suecia</v>
      </c>
      <c r="I226" s="9" t="str">
        <f ca="1">+WORLDCUP!BD69</f>
        <v>Croacia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Bélgica</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Bélgica</v>
      </c>
      <c r="E228" s="9" t="str">
        <f ca="1">+WORLDCUP!BD62</f>
        <v>Ecuador</v>
      </c>
      <c r="F228" s="9" t="str">
        <f ca="1">+WORLDCUP!BD60</f>
        <v>Escocia</v>
      </c>
      <c r="G228" s="9" t="str">
        <f ca="1">+WORLDCUP!BD58</f>
        <v>Corea del Sur</v>
      </c>
      <c r="H228" s="9" t="str">
        <f ca="1">+WORLDCUP!BD63</f>
        <v>Suecia</v>
      </c>
      <c r="I228" s="9" t="str">
        <f ca="1">+WORLDCUP!BD69</f>
        <v>Croacia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Bélgica</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Bélgica</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Croacia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Argelia</v>
      </c>
      <c r="F232" s="9" t="str">
        <f ca="1">+WORLDCUP!BD60</f>
        <v>Escocia</v>
      </c>
      <c r="G232" s="9" t="str">
        <f ca="1">+WORLDCUP!BD58</f>
        <v>Corea del Sur</v>
      </c>
      <c r="H232" s="9" t="str">
        <f ca="1">+WORLDCUP!BD61</f>
        <v>Paraguay</v>
      </c>
      <c r="I232" s="9" t="str">
        <f ca="1">+WORLDCUP!BD69</f>
        <v>Croacia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Bélgica</v>
      </c>
      <c r="E233" s="9" t="str">
        <f ca="1">+WORLDCUP!BD67</f>
        <v>Argelia</v>
      </c>
      <c r="F233" s="9" t="str">
        <f ca="1">+WORLDCUP!BD60</f>
        <v>Escocia</v>
      </c>
      <c r="G233" s="9" t="str">
        <f ca="1">+WORLDCUP!BD58</f>
        <v>Corea del Sur</v>
      </c>
      <c r="H233" s="9" t="str">
        <f ca="1">+WORLDCUP!BD61</f>
        <v>Paraguay</v>
      </c>
      <c r="I233" s="9" t="str">
        <f ca="1">+WORLDCUP!BD69</f>
        <v>Croacia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Bélgica</v>
      </c>
      <c r="E234" s="9" t="str">
        <f ca="1">+WORLDCUP!BD66</f>
        <v>Senegal</v>
      </c>
      <c r="F234" s="9" t="str">
        <f ca="1">+WORLDCUP!BD60</f>
        <v>Escocia</v>
      </c>
      <c r="G234" s="9" t="str">
        <f ca="1">+WORLDCUP!BD58</f>
        <v>Corea del Sur</v>
      </c>
      <c r="H234" s="9" t="str">
        <f ca="1">+WORLDCUP!BD61</f>
        <v>Paraguay</v>
      </c>
      <c r="I234" s="9" t="str">
        <f ca="1">+WORLDCUP!BD69</f>
        <v>Croacia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Bélgica</v>
      </c>
      <c r="E235" s="9" t="str">
        <f ca="1">+WORLDCUP!BD67</f>
        <v>Argelia</v>
      </c>
      <c r="F235" s="9" t="str">
        <f ca="1">+WORLDCUP!BD60</f>
        <v>Escocia</v>
      </c>
      <c r="G235" s="9" t="str">
        <f ca="1">+WORLDCUP!BD58</f>
        <v>Corea del Sur</v>
      </c>
      <c r="H235" s="9" t="str">
        <f ca="1">+WORLDCUP!BD61</f>
        <v>Paraguay</v>
      </c>
      <c r="I235" s="9" t="str">
        <f ca="1">+WORLDCUP!BD69</f>
        <v>Croacia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Bélgica</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Croacia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Croacia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Croacia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Croacia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Bélgica</v>
      </c>
      <c r="E242" s="9" t="str">
        <f ca="1">+WORLDCUP!BD67</f>
        <v>Argelia</v>
      </c>
      <c r="F242" s="9" t="str">
        <f ca="1">+WORLDCUP!BD61</f>
        <v>Paraguay</v>
      </c>
      <c r="G242" s="9" t="str">
        <f ca="1">+WORLDCUP!BD58</f>
        <v>Corea del Sur</v>
      </c>
      <c r="H242" s="9" t="str">
        <f ca="1">+WORLDCUP!BD63</f>
        <v>Suecia</v>
      </c>
      <c r="I242" s="9" t="str">
        <f ca="1">+WORLDCUP!BD69</f>
        <v>Croacia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Bélgica</v>
      </c>
      <c r="E243" s="9" t="str">
        <f ca="1">+WORLDCUP!BD66</f>
        <v>Senegal</v>
      </c>
      <c r="F243" s="9" t="str">
        <f ca="1">+WORLDCUP!BD61</f>
        <v>Paraguay</v>
      </c>
      <c r="G243" s="9" t="str">
        <f ca="1">+WORLDCUP!BD58</f>
        <v>Corea del Sur</v>
      </c>
      <c r="H243" s="9" t="str">
        <f ca="1">+WORLDCUP!BD63</f>
        <v>Suecia</v>
      </c>
      <c r="I243" s="9" t="str">
        <f ca="1">+WORLDCUP!BD69</f>
        <v>Croacia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Bélgica</v>
      </c>
      <c r="E244" s="9" t="str">
        <f ca="1">+WORLDCUP!BD67</f>
        <v>Argelia</v>
      </c>
      <c r="F244" s="9" t="str">
        <f ca="1">+WORLDCUP!BD61</f>
        <v>Paraguay</v>
      </c>
      <c r="G244" s="9" t="str">
        <f ca="1">+WORLDCUP!BD58</f>
        <v>Corea del Sur</v>
      </c>
      <c r="H244" s="9" t="str">
        <f ca="1">+WORLDCUP!BD63</f>
        <v>Suecia</v>
      </c>
      <c r="I244" s="9" t="str">
        <f ca="1">+WORLDCUP!BD69</f>
        <v>Croacia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Bélgica</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Bélgica</v>
      </c>
      <c r="E246" s="9" t="str">
        <f ca="1">+WORLDCUP!BD63</f>
        <v>Suecia</v>
      </c>
      <c r="F246" s="9" t="str">
        <f ca="1">+WORLDCUP!BD60</f>
        <v>Escocia</v>
      </c>
      <c r="G246" s="9" t="str">
        <f ca="1">+WORLDCUP!BD58</f>
        <v>Corea del Sur</v>
      </c>
      <c r="H246" s="9" t="str">
        <f ca="1">+WORLDCUP!BD61</f>
        <v>Paraguay</v>
      </c>
      <c r="I246" s="9" t="str">
        <f ca="1">+WORLDCUP!BD69</f>
        <v>Croacia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Bélgica</v>
      </c>
      <c r="E247" s="9" t="str">
        <f ca="1">+WORLDCUP!BD67</f>
        <v>Argelia</v>
      </c>
      <c r="F247" s="9" t="str">
        <f ca="1">+WORLDCUP!BD61</f>
        <v>Paraguay</v>
      </c>
      <c r="G247" s="9" t="str">
        <f ca="1">+WORLDCUP!BD58</f>
        <v>Corea del Sur</v>
      </c>
      <c r="H247" s="9" t="str">
        <f ca="1">+WORLDCUP!BD63</f>
        <v>Suecia</v>
      </c>
      <c r="I247" s="9" t="str">
        <f ca="1">+WORLDCUP!BD69</f>
        <v>Croacia</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Bélgica</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Bélgica</v>
      </c>
      <c r="E249" s="9" t="str">
        <f ca="1">+WORLDCUP!BD63</f>
        <v>Suecia</v>
      </c>
      <c r="F249" s="9" t="str">
        <f ca="1">+WORLDCUP!BD60</f>
        <v>Escocia</v>
      </c>
      <c r="G249" s="9" t="str">
        <f ca="1">+WORLDCUP!BD58</f>
        <v>Corea del Sur</v>
      </c>
      <c r="H249" s="9" t="str">
        <f ca="1">+WORLDCUP!BD61</f>
        <v>Paraguay</v>
      </c>
      <c r="I249" s="9" t="str">
        <f ca="1">+WORLDCUP!BD69</f>
        <v>Croacia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Bélgica</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Bélgica</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Croacia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Croacia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Croacia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Croacia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Argelia</v>
      </c>
      <c r="F257" s="9" t="str">
        <f ca="1">+WORLDCUP!BD60</f>
        <v>Escocia</v>
      </c>
      <c r="G257" s="9" t="str">
        <f ca="1">+WORLDCUP!BD58</f>
        <v>Corea del Sur</v>
      </c>
      <c r="H257" s="9" t="str">
        <f ca="1">+WORLDCUP!BD61</f>
        <v>Paraguay</v>
      </c>
      <c r="I257" s="9" t="str">
        <f ca="1">+WORLDCUP!BD69</f>
        <v>Croacia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Escocia</v>
      </c>
      <c r="G258" s="9" t="str">
        <f ca="1">+WORLDCUP!BD58</f>
        <v>Corea del Sur</v>
      </c>
      <c r="H258" s="9" t="str">
        <f ca="1">+WORLDCUP!BD61</f>
        <v>Paraguay</v>
      </c>
      <c r="I258" s="9" t="str">
        <f ca="1">+WORLDCUP!BD69</f>
        <v>Croacia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Argelia</v>
      </c>
      <c r="F259" s="9" t="str">
        <f ca="1">+WORLDCUP!BD60</f>
        <v>Escocia</v>
      </c>
      <c r="G259" s="9" t="str">
        <f ca="1">+WORLDCUP!BD58</f>
        <v>Corea del Sur</v>
      </c>
      <c r="H259" s="9" t="str">
        <f ca="1">+WORLDCUP!BD61</f>
        <v>Paraguay</v>
      </c>
      <c r="I259" s="9" t="str">
        <f ca="1">+WORLDCUP!BD69</f>
        <v>Croacia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Bélgica</v>
      </c>
      <c r="E261" s="9" t="str">
        <f ca="1">+WORLDCUP!BD62</f>
        <v>Ecuador</v>
      </c>
      <c r="F261" s="9" t="str">
        <f ca="1">+WORLDCUP!BD60</f>
        <v>Escocia</v>
      </c>
      <c r="G261" s="9" t="str">
        <f ca="1">+WORLDCUP!BD58</f>
        <v>Corea del Sur</v>
      </c>
      <c r="H261" s="9" t="str">
        <f ca="1">+WORLDCUP!BD61</f>
        <v>Paraguay</v>
      </c>
      <c r="I261" s="9" t="str">
        <f ca="1">+WORLDCUP!BD69</f>
        <v>Croacia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Bélgica</v>
      </c>
      <c r="E262" s="9" t="str">
        <f ca="1">+WORLDCUP!BD67</f>
        <v>Argelia</v>
      </c>
      <c r="F262" s="9" t="str">
        <f ca="1">+WORLDCUP!BD60</f>
        <v>Escocia</v>
      </c>
      <c r="G262" s="9" t="str">
        <f ca="1">+WORLDCUP!BD58</f>
        <v>Corea del Sur</v>
      </c>
      <c r="H262" s="9" t="str">
        <f ca="1">+WORLDCUP!BD61</f>
        <v>Paraguay</v>
      </c>
      <c r="I262" s="9" t="str">
        <f ca="1">+WORLDCUP!BD69</f>
        <v>Croacia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Bélgica</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Bélgica</v>
      </c>
      <c r="E264" s="9" t="str">
        <f ca="1">+WORLDCUP!BD62</f>
        <v>Ecuador</v>
      </c>
      <c r="F264" s="9" t="str">
        <f ca="1">+WORLDCUP!BD60</f>
        <v>Escocia</v>
      </c>
      <c r="G264" s="9" t="str">
        <f ca="1">+WORLDCUP!BD58</f>
        <v>Corea del Sur</v>
      </c>
      <c r="H264" s="9" t="str">
        <f ca="1">+WORLDCUP!BD61</f>
        <v>Paraguay</v>
      </c>
      <c r="I264" s="9" t="str">
        <f ca="1">+WORLDCUP!BD69</f>
        <v>Croacia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Bélgica</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Bélgica</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Croacia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Croacia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Croacia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Croacia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Croacia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Croacia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Bélgica</v>
      </c>
      <c r="E277" s="9" t="str">
        <f ca="1">+WORLDCUP!BD62</f>
        <v>Ecuador</v>
      </c>
      <c r="F277" s="9" t="str">
        <f ca="1">+WORLDCUP!BD61</f>
        <v>Paraguay</v>
      </c>
      <c r="G277" s="9" t="str">
        <f ca="1">+WORLDCUP!BD58</f>
        <v>Corea del Sur</v>
      </c>
      <c r="H277" s="9" t="str">
        <f ca="1">+WORLDCUP!BD63</f>
        <v>Suecia</v>
      </c>
      <c r="I277" s="9" t="str">
        <f ca="1">+WORLDCUP!BD69</f>
        <v>Croacia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Bélgica</v>
      </c>
      <c r="E278" s="9" t="str">
        <f ca="1">+WORLDCUP!BD67</f>
        <v>Argelia</v>
      </c>
      <c r="F278" s="9" t="str">
        <f ca="1">+WORLDCUP!BD61</f>
        <v>Paraguay</v>
      </c>
      <c r="G278" s="9" t="str">
        <f ca="1">+WORLDCUP!BD58</f>
        <v>Corea del Sur</v>
      </c>
      <c r="H278" s="9" t="str">
        <f ca="1">+WORLDCUP!BD63</f>
        <v>Suecia</v>
      </c>
      <c r="I278" s="9" t="str">
        <f ca="1">+WORLDCUP!BD69</f>
        <v>Croacia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Bélgica</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Bélgica</v>
      </c>
      <c r="E280" s="9" t="str">
        <f ca="1">+WORLDCUP!BD62</f>
        <v>Ecuador</v>
      </c>
      <c r="F280" s="9" t="str">
        <f ca="1">+WORLDCUP!BD61</f>
        <v>Paraguay</v>
      </c>
      <c r="G280" s="9" t="str">
        <f ca="1">+WORLDCUP!BD58</f>
        <v>Corea del Sur</v>
      </c>
      <c r="H280" s="9" t="str">
        <f ca="1">+WORLDCUP!BD63</f>
        <v>Suecia</v>
      </c>
      <c r="I280" s="9" t="str">
        <f ca="1">+WORLDCUP!BD69</f>
        <v>Croacia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Bélgica</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Bélgica</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Bélgica</v>
      </c>
      <c r="E283" s="9" t="str">
        <f ca="1">+WORLDCUP!BD63</f>
        <v>Suecia</v>
      </c>
      <c r="F283" s="9" t="str">
        <f ca="1">+WORLDCUP!BD60</f>
        <v>Escocia</v>
      </c>
      <c r="G283" s="9" t="str">
        <f ca="1">+WORLDCUP!BD58</f>
        <v>Corea del Sur</v>
      </c>
      <c r="H283" s="9" t="str">
        <f ca="1">+WORLDCUP!BD61</f>
        <v>Paraguay</v>
      </c>
      <c r="I283" s="9" t="str">
        <f ca="1">+WORLDCUP!BD69</f>
        <v>Croacia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Bélgica</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Bélgica</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Bélgica</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Argelia</v>
      </c>
      <c r="E287" s="9" t="str">
        <f ca="1">+WORLDCUP!BD59</f>
        <v>Bosnia y Herzegovina</v>
      </c>
      <c r="F287" s="9" t="str">
        <f ca="1">+WORLDCUP!BD58</f>
        <v>Corea del Sur</v>
      </c>
      <c r="G287" s="9" t="str">
        <f ca="1">+WORLDCUP!BD66</f>
        <v>Senegal</v>
      </c>
      <c r="H287" s="9" t="str">
        <f ca="1">+WORLDCUP!BD64</f>
        <v>Bélgica</v>
      </c>
      <c r="I287" s="9" t="str">
        <f ca="1">+WORLDCUP!BD69</f>
        <v>Croacia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Croacia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Bélgica</v>
      </c>
      <c r="I289" s="9" t="str">
        <f ca="1">+WORLDCUP!BD69</f>
        <v>Croacia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Argelia</v>
      </c>
      <c r="E290" s="9" t="str">
        <f ca="1">+WORLDCUP!BD59</f>
        <v>Bosnia y Herzegovina</v>
      </c>
      <c r="F290" s="9" t="str">
        <f ca="1">+WORLDCUP!BD63</f>
        <v>Suecia</v>
      </c>
      <c r="G290" s="9" t="str">
        <f ca="1">+WORLDCUP!BD58</f>
        <v>Corea del Sur</v>
      </c>
      <c r="H290" s="9" t="str">
        <f ca="1">+WORLDCUP!BD64</f>
        <v>Bélgica</v>
      </c>
      <c r="I290" s="9" t="str">
        <f ca="1">+WORLDCUP!BD69</f>
        <v>Croacia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Bélgica</v>
      </c>
      <c r="E291" s="9" t="str">
        <f ca="1">+WORLDCUP!BD59</f>
        <v>Bosnia y Herzegovina</v>
      </c>
      <c r="F291" s="9" t="str">
        <f ca="1">+WORLDCUP!BD58</f>
        <v>Corea del Sur</v>
      </c>
      <c r="G291" s="9" t="str">
        <f ca="1">+WORLDCUP!BD66</f>
        <v>Senegal</v>
      </c>
      <c r="H291" s="9" t="str">
        <f ca="1">+WORLDCUP!BD63</f>
        <v>Suecia</v>
      </c>
      <c r="I291" s="9" t="str">
        <f ca="1">+WORLDCUP!BD69</f>
        <v>Croacia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Argelia</v>
      </c>
      <c r="E292" s="9" t="str">
        <f ca="1">+WORLDCUP!BD59</f>
        <v>Bosnia y Herzegovina</v>
      </c>
      <c r="F292" s="9" t="str">
        <f ca="1">+WORLDCUP!BD63</f>
        <v>Suecia</v>
      </c>
      <c r="G292" s="9" t="str">
        <f ca="1">+WORLDCUP!BD58</f>
        <v>Corea del Sur</v>
      </c>
      <c r="H292" s="9" t="str">
        <f ca="1">+WORLDCUP!BD64</f>
        <v>Bélgica</v>
      </c>
      <c r="I292" s="9" t="str">
        <f ca="1">+WORLDCUP!BD69</f>
        <v>Croacia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Argelia</v>
      </c>
      <c r="E293" s="9" t="str">
        <f ca="1">+WORLDCUP!BD59</f>
        <v>Bosnia y Herzegovina</v>
      </c>
      <c r="F293" s="9" t="str">
        <f ca="1">+WORLDCUP!BD63</f>
        <v>Suecia</v>
      </c>
      <c r="G293" s="9" t="str">
        <f ca="1">+WORLDCUP!BD58</f>
        <v>Corea del Sur</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Cabo Verde</v>
      </c>
      <c r="I294" s="9" t="str">
        <f ca="1">+WORLDCUP!BD69</f>
        <v>Croacia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Bélgica</v>
      </c>
      <c r="I295" s="9" t="str">
        <f ca="1">+WORLDCUP!BD69</f>
        <v>Croacia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Cabo Verde</v>
      </c>
      <c r="H296" s="9" t="str">
        <f ca="1">+WORLDCUP!BD64</f>
        <v>Bélgica</v>
      </c>
      <c r="I296" s="9" t="str">
        <f ca="1">+WORLDCUP!BD69</f>
        <v>Croacia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Bosnia y Herzegovina</v>
      </c>
      <c r="F297" s="9" t="str">
        <f ca="1">+WORLDCUP!BD58</f>
        <v>Corea del Sur</v>
      </c>
      <c r="G297" s="9" t="str">
        <f ca="1">+WORLDCUP!BD66</f>
        <v>Senegal</v>
      </c>
      <c r="H297" s="9" t="str">
        <f ca="1">+WORLDCUP!BD65</f>
        <v>Cabo Verde</v>
      </c>
      <c r="I297" s="9" t="str">
        <f ca="1">+WORLDCUP!BD69</f>
        <v>Croacia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Cabo Verde</v>
      </c>
      <c r="H298" s="9" t="str">
        <f ca="1">+WORLDCUP!BD64</f>
        <v>Bélgica</v>
      </c>
      <c r="I298" s="9" t="str">
        <f ca="1">+WORLDCUP!BD69</f>
        <v>Croacia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Cabo Verde</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Croacia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Cabo Verde</v>
      </c>
      <c r="I301" s="9" t="str">
        <f ca="1">+WORLDCUP!BD69</f>
        <v>Croacia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Cabo Verde</v>
      </c>
      <c r="I302" s="9" t="str">
        <f ca="1">+WORLDCUP!BD69</f>
        <v>Croacia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Cabo Verde</v>
      </c>
      <c r="I303" s="9" t="str">
        <f ca="1">+WORLDCUP!BD69</f>
        <v>Croacia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Cabo Verde</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Bélgica</v>
      </c>
      <c r="I305" s="9" t="str">
        <f ca="1">+WORLDCUP!BD69</f>
        <v>Croacia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Bosnia y Herzegovina</v>
      </c>
      <c r="F306" s="9" t="str">
        <f ca="1">+WORLDCUP!BD58</f>
        <v>Corea del Sur</v>
      </c>
      <c r="G306" s="9" t="str">
        <f ca="1">+WORLDCUP!BD66</f>
        <v>Senegal</v>
      </c>
      <c r="H306" s="9" t="str">
        <f ca="1">+WORLDCUP!BD63</f>
        <v>Suecia</v>
      </c>
      <c r="I306" s="9" t="str">
        <f ca="1">+WORLDCUP!BD69</f>
        <v>Croacia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Bélgica</v>
      </c>
      <c r="I307" s="9" t="str">
        <f ca="1">+WORLDCUP!BD69</f>
        <v>Croacia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Corea del Sur</v>
      </c>
      <c r="H309" s="9" t="str">
        <f ca="1">+WORLDCUP!BD65</f>
        <v>Cabo Verde</v>
      </c>
      <c r="I309" s="9" t="str">
        <f ca="1">+WORLDCUP!BD69</f>
        <v>Croacia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Argelia</v>
      </c>
      <c r="E310" s="9" t="str">
        <f ca="1">+WORLDCUP!BD59</f>
        <v>Bosnia y Herzegovina</v>
      </c>
      <c r="F310" s="9" t="str">
        <f ca="1">+WORLDCUP!BD63</f>
        <v>Suecia</v>
      </c>
      <c r="G310" s="9" t="str">
        <f ca="1">+WORLDCUP!BD58</f>
        <v>Corea del Sur</v>
      </c>
      <c r="H310" s="9" t="str">
        <f ca="1">+WORLDCUP!BD64</f>
        <v>Bélgica</v>
      </c>
      <c r="I310" s="9" t="str">
        <f ca="1">+WORLDCUP!BD69</f>
        <v>Croacia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Argelia</v>
      </c>
      <c r="E311" s="9" t="str">
        <f ca="1">+WORLDCUP!BD59</f>
        <v>Bosnia y Herzegovina</v>
      </c>
      <c r="F311" s="9" t="str">
        <f ca="1">+WORLDCUP!BD63</f>
        <v>Suecia</v>
      </c>
      <c r="G311" s="9" t="str">
        <f ca="1">+WORLDCUP!BD58</f>
        <v>Corea del Sur</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Corea del Sur</v>
      </c>
      <c r="H312" s="9" t="str">
        <f ca="1">+WORLDCUP!BD65</f>
        <v>Cabo Verde</v>
      </c>
      <c r="I312" s="9" t="str">
        <f ca="1">+WORLDCUP!BD69</f>
        <v>Croacia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Corea del Sur</v>
      </c>
      <c r="H313" s="9" t="str">
        <f ca="1">+WORLDCUP!BD65</f>
        <v>Cabo Verde</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Argelia</v>
      </c>
      <c r="E314" s="9" t="str">
        <f ca="1">+WORLDCUP!BD59</f>
        <v>Bosnia y Herzegovina</v>
      </c>
      <c r="F314" s="9" t="str">
        <f ca="1">+WORLDCUP!BD63</f>
        <v>Suecia</v>
      </c>
      <c r="G314" s="9" t="str">
        <f ca="1">+WORLDCUP!BD58</f>
        <v>Corea del Sur</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Cabo Verde</v>
      </c>
      <c r="I315" s="9" t="str">
        <f ca="1">+WORLDCUP!BD69</f>
        <v>Croacia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Bélgica</v>
      </c>
      <c r="I316" s="9" t="str">
        <f ca="1">+WORLDCUP!BD69</f>
        <v>Croacia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Argelia</v>
      </c>
      <c r="E317" s="9" t="str">
        <f ca="1">+WORLDCUP!BD59</f>
        <v>Bosnia y Herzegovina</v>
      </c>
      <c r="F317" s="9" t="str">
        <f ca="1">+WORLDCUP!BD61</f>
        <v>Paraguay</v>
      </c>
      <c r="G317" s="9" t="str">
        <f ca="1">+WORLDCUP!BD58</f>
        <v>Corea del Sur</v>
      </c>
      <c r="H317" s="9" t="str">
        <f ca="1">+WORLDCUP!BD64</f>
        <v>Bélgica</v>
      </c>
      <c r="I317" s="9" t="str">
        <f ca="1">+WORLDCUP!BD69</f>
        <v>Croacia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Corea del Sur</v>
      </c>
      <c r="H318" s="9" t="str">
        <f ca="1">+WORLDCUP!BD65</f>
        <v>Cabo Verde</v>
      </c>
      <c r="I318" s="9" t="str">
        <f ca="1">+WORLDCUP!BD69</f>
        <v>Croacia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Argelia</v>
      </c>
      <c r="E319" s="9" t="str">
        <f ca="1">+WORLDCUP!BD59</f>
        <v>Bosnia y Herzegovina</v>
      </c>
      <c r="F319" s="9" t="str">
        <f ca="1">+WORLDCUP!BD61</f>
        <v>Paraguay</v>
      </c>
      <c r="G319" s="9" t="str">
        <f ca="1">+WORLDCUP!BD58</f>
        <v>Corea del Sur</v>
      </c>
      <c r="H319" s="9" t="str">
        <f ca="1">+WORLDCUP!BD64</f>
        <v>Bélgica</v>
      </c>
      <c r="I319" s="9" t="str">
        <f ca="1">+WORLDCUP!BD69</f>
        <v>Croacia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Argelia</v>
      </c>
      <c r="E320" s="9" t="str">
        <f ca="1">+WORLDCUP!BD59</f>
        <v>Bosnia y Herzegovina</v>
      </c>
      <c r="F320" s="9" t="str">
        <f ca="1">+WORLDCUP!BD61</f>
        <v>Paraguay</v>
      </c>
      <c r="G320" s="9" t="str">
        <f ca="1">+WORLDCUP!BD58</f>
        <v>Corea del Sur</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Croacia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Croacia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Croacia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Croacia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Bélgica</v>
      </c>
      <c r="I326" s="9" t="str">
        <f ca="1">+WORLDCUP!BD69</f>
        <v>Croacia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Corea del Sur</v>
      </c>
      <c r="H327" s="9" t="str">
        <f ca="1">+WORLDCUP!BD63</f>
        <v>Suecia</v>
      </c>
      <c r="I327" s="9" t="str">
        <f ca="1">+WORLDCUP!BD69</f>
        <v>Croacia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Bélgica</v>
      </c>
      <c r="I328" s="9" t="str">
        <f ca="1">+WORLDCUP!BD69</f>
        <v>Croacia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Bélgica</v>
      </c>
      <c r="E330" s="9" t="str">
        <f ca="1">+WORLDCUP!BD59</f>
        <v>Bosnia y Herzegovina</v>
      </c>
      <c r="F330" s="9" t="str">
        <f ca="1">+WORLDCUP!BD61</f>
        <v>Paraguay</v>
      </c>
      <c r="G330" s="9" t="str">
        <f ca="1">+WORLDCUP!BD58</f>
        <v>Corea del Sur</v>
      </c>
      <c r="H330" s="9" t="str">
        <f ca="1">+WORLDCUP!BD63</f>
        <v>Suecia</v>
      </c>
      <c r="I330" s="9" t="str">
        <f ca="1">+WORLDCUP!BD69</f>
        <v>Croacia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Bélgica</v>
      </c>
      <c r="E331" s="9" t="str">
        <f ca="1">+WORLDCUP!BD59</f>
        <v>Bosnia y Herzegovina</v>
      </c>
      <c r="F331" s="9" t="str">
        <f ca="1">+WORLDCUP!BD61</f>
        <v>Paraguay</v>
      </c>
      <c r="G331" s="9" t="str">
        <f ca="1">+WORLDCUP!BD58</f>
        <v>Corea del Sur</v>
      </c>
      <c r="H331" s="9" t="str">
        <f ca="1">+WORLDCUP!BD63</f>
        <v>Suecia</v>
      </c>
      <c r="I331" s="9" t="str">
        <f ca="1">+WORLDCUP!BD69</f>
        <v>Croacia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Bélgica</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Bélgica</v>
      </c>
      <c r="E333" s="9" t="str">
        <f ca="1">+WORLDCUP!BD59</f>
        <v>Bosnia y Herzegovina</v>
      </c>
      <c r="F333" s="9" t="str">
        <f ca="1">+WORLDCUP!BD61</f>
        <v>Paraguay</v>
      </c>
      <c r="G333" s="9" t="str">
        <f ca="1">+WORLDCUP!BD58</f>
        <v>Corea del Sur</v>
      </c>
      <c r="H333" s="9" t="str">
        <f ca="1">+WORLDCUP!BD63</f>
        <v>Suecia</v>
      </c>
      <c r="I333" s="9" t="str">
        <f ca="1">+WORLDCUP!BD69</f>
        <v>Croacia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Bélgica</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Bélgica</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Croacia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Cabo Verde</v>
      </c>
      <c r="I337" s="9" t="str">
        <f ca="1">+WORLDCUP!BD69</f>
        <v>Croacia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Cabo Verde</v>
      </c>
      <c r="I338" s="9" t="str">
        <f ca="1">+WORLDCUP!BD69</f>
        <v>Croacia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Cabo Verde</v>
      </c>
      <c r="I339" s="9" t="str">
        <f ca="1">+WORLDCUP!BD69</f>
        <v>Croacia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Cabo Verde</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Bélgica</v>
      </c>
      <c r="I341" s="9" t="str">
        <f ca="1">+WORLDCUP!BD69</f>
        <v>Croacia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Bosnia y Herzegovina</v>
      </c>
      <c r="F342" s="9" t="str">
        <f ca="1">+WORLDCUP!BD58</f>
        <v>Corea del Sur</v>
      </c>
      <c r="G342" s="9" t="str">
        <f ca="1">+WORLDCUP!BD66</f>
        <v>Senegal</v>
      </c>
      <c r="H342" s="9" t="str">
        <f ca="1">+WORLDCUP!BD61</f>
        <v>Paraguay</v>
      </c>
      <c r="I342" s="9" t="str">
        <f ca="1">+WORLDCUP!BD69</f>
        <v>Croacia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Bélgica</v>
      </c>
      <c r="I343" s="9" t="str">
        <f ca="1">+WORLDCUP!BD69</f>
        <v>Croacia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Corea del Sur</v>
      </c>
      <c r="H345" s="9" t="str">
        <f ca="1">+WORLDCUP!BD65</f>
        <v>Cabo Verde</v>
      </c>
      <c r="I345" s="9" t="str">
        <f ca="1">+WORLDCUP!BD69</f>
        <v>Croacia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Argelia</v>
      </c>
      <c r="E346" s="9" t="str">
        <f ca="1">+WORLDCUP!BD59</f>
        <v>Bosnia y Herzegovina</v>
      </c>
      <c r="F346" s="9" t="str">
        <f ca="1">+WORLDCUP!BD61</f>
        <v>Paraguay</v>
      </c>
      <c r="G346" s="9" t="str">
        <f ca="1">+WORLDCUP!BD58</f>
        <v>Corea del Sur</v>
      </c>
      <c r="H346" s="9" t="str">
        <f ca="1">+WORLDCUP!BD64</f>
        <v>Bélgica</v>
      </c>
      <c r="I346" s="9" t="str">
        <f ca="1">+WORLDCUP!BD69</f>
        <v>Croacia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Argelia</v>
      </c>
      <c r="E347" s="9" t="str">
        <f ca="1">+WORLDCUP!BD59</f>
        <v>Bosnia y Herzegovina</v>
      </c>
      <c r="F347" s="9" t="str">
        <f ca="1">+WORLDCUP!BD61</f>
        <v>Paraguay</v>
      </c>
      <c r="G347" s="9" t="str">
        <f ca="1">+WORLDCUP!BD58</f>
        <v>Corea del Sur</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Corea del Sur</v>
      </c>
      <c r="H348" s="9" t="str">
        <f ca="1">+WORLDCUP!BD65</f>
        <v>Cabo Verde</v>
      </c>
      <c r="I348" s="9" t="str">
        <f ca="1">+WORLDCUP!BD69</f>
        <v>Croacia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Corea del Sur</v>
      </c>
      <c r="H349" s="9" t="str">
        <f ca="1">+WORLDCUP!BD65</f>
        <v>Cabo Verde</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Argelia</v>
      </c>
      <c r="E350" s="9" t="str">
        <f ca="1">+WORLDCUP!BD59</f>
        <v>Bosnia y Herzegovina</v>
      </c>
      <c r="F350" s="9" t="str">
        <f ca="1">+WORLDCUP!BD61</f>
        <v>Paraguay</v>
      </c>
      <c r="G350" s="9" t="str">
        <f ca="1">+WORLDCUP!BD58</f>
        <v>Corea del Sur</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Croacia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Croacia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Croacia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Croacia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Croacia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Croacia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Corea del Sur</v>
      </c>
      <c r="H361" s="9" t="str">
        <f ca="1">+WORLDCUP!BD63</f>
        <v>Suecia</v>
      </c>
      <c r="I361" s="9" t="str">
        <f ca="1">+WORLDCUP!BD69</f>
        <v>Croacia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Corea del Sur</v>
      </c>
      <c r="H362" s="9" t="str">
        <f ca="1">+WORLDCUP!BD63</f>
        <v>Suecia</v>
      </c>
      <c r="I362" s="9" t="str">
        <f ca="1">+WORLDCUP!BD69</f>
        <v>Croacia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Corea del Sur</v>
      </c>
      <c r="H364" s="9" t="str">
        <f ca="1">+WORLDCUP!BD63</f>
        <v>Suecia</v>
      </c>
      <c r="I364" s="9" t="str">
        <f ca="1">+WORLDCUP!BD69</f>
        <v>Croacia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Bélgica</v>
      </c>
      <c r="E367" s="9" t="str">
        <f ca="1">+WORLDCUP!BD59</f>
        <v>Bosnia y Herzegovina</v>
      </c>
      <c r="F367" s="9" t="str">
        <f ca="1">+WORLDCUP!BD61</f>
        <v>Paraguay</v>
      </c>
      <c r="G367" s="9" t="str">
        <f ca="1">+WORLDCUP!BD58</f>
        <v>Corea del Sur</v>
      </c>
      <c r="H367" s="9" t="str">
        <f ca="1">+WORLDCUP!BD63</f>
        <v>Suecia</v>
      </c>
      <c r="I367" s="9" t="str">
        <f ca="1">+WORLDCUP!BD69</f>
        <v>Croacia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Bélgica</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Bélgica</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Bélgica</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Cabo Verde</v>
      </c>
      <c r="I371" s="9" t="str">
        <f ca="1">+WORLDCUP!BD69</f>
        <v>Croacia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Bélgica</v>
      </c>
      <c r="I372" s="9" t="str">
        <f ca="1">+WORLDCUP!BD69</f>
        <v>Croacia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Argelia</v>
      </c>
      <c r="E373" s="9" t="str">
        <f ca="1">+WORLDCUP!BD59</f>
        <v>Bosnia y Herzegovina</v>
      </c>
      <c r="F373" s="9" t="str">
        <f ca="1">+WORLDCUP!BD60</f>
        <v>Escocia</v>
      </c>
      <c r="G373" s="9" t="str">
        <f ca="1">+WORLDCUP!BD58</f>
        <v>Corea del Sur</v>
      </c>
      <c r="H373" s="9" t="str">
        <f ca="1">+WORLDCUP!BD64</f>
        <v>Bélgica</v>
      </c>
      <c r="I373" s="9" t="str">
        <f ca="1">+WORLDCUP!BD69</f>
        <v>Croacia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Corea del Sur</v>
      </c>
      <c r="H374" s="9" t="str">
        <f ca="1">+WORLDCUP!BD65</f>
        <v>Cabo Verde</v>
      </c>
      <c r="I374" s="9" t="str">
        <f ca="1">+WORLDCUP!BD69</f>
        <v>Croacia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Argelia</v>
      </c>
      <c r="E375" s="9" t="str">
        <f ca="1">+WORLDCUP!BD59</f>
        <v>Bosnia y Herzegovina</v>
      </c>
      <c r="F375" s="9" t="str">
        <f ca="1">+WORLDCUP!BD60</f>
        <v>Escocia</v>
      </c>
      <c r="G375" s="9" t="str">
        <f ca="1">+WORLDCUP!BD58</f>
        <v>Corea del Sur</v>
      </c>
      <c r="H375" s="9" t="str">
        <f ca="1">+WORLDCUP!BD64</f>
        <v>Bélgica</v>
      </c>
      <c r="I375" s="9" t="str">
        <f ca="1">+WORLDCUP!BD69</f>
        <v>Croacia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Argelia</v>
      </c>
      <c r="E376" s="9" t="str">
        <f ca="1">+WORLDCUP!BD59</f>
        <v>Bosnia y Herzegovina</v>
      </c>
      <c r="F376" s="9" t="str">
        <f ca="1">+WORLDCUP!BD60</f>
        <v>Escocia</v>
      </c>
      <c r="G376" s="9" t="str">
        <f ca="1">+WORLDCUP!BD58</f>
        <v>Corea del Sur</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Croacia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Croacia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Croacia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Croacia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Bélgica</v>
      </c>
      <c r="I382" s="9" t="str">
        <f ca="1">+WORLDCUP!BD69</f>
        <v>Croacia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Corea del Sur</v>
      </c>
      <c r="H383" s="9" t="str">
        <f ca="1">+WORLDCUP!BD63</f>
        <v>Suecia</v>
      </c>
      <c r="I383" s="9" t="str">
        <f ca="1">+WORLDCUP!BD69</f>
        <v>Croacia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Bélgica</v>
      </c>
      <c r="I384" s="9" t="str">
        <f ca="1">+WORLDCUP!BD69</f>
        <v>Croacia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Bélgica</v>
      </c>
      <c r="E386" s="9" t="str">
        <f ca="1">+WORLDCUP!BD59</f>
        <v>Bosnia y Herzegovina</v>
      </c>
      <c r="F386" s="9" t="str">
        <f ca="1">+WORLDCUP!BD60</f>
        <v>Escocia</v>
      </c>
      <c r="G386" s="9" t="str">
        <f ca="1">+WORLDCUP!BD58</f>
        <v>Corea del Sur</v>
      </c>
      <c r="H386" s="9" t="str">
        <f ca="1">+WORLDCUP!BD63</f>
        <v>Suecia</v>
      </c>
      <c r="I386" s="9" t="str">
        <f ca="1">+WORLDCUP!BD69</f>
        <v>Croacia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Bélgica</v>
      </c>
      <c r="E387" s="9" t="str">
        <f ca="1">+WORLDCUP!BD59</f>
        <v>Bosnia y Herzegovina</v>
      </c>
      <c r="F387" s="9" t="str">
        <f ca="1">+WORLDCUP!BD60</f>
        <v>Escocia</v>
      </c>
      <c r="G387" s="9" t="str">
        <f ca="1">+WORLDCUP!BD58</f>
        <v>Corea del Sur</v>
      </c>
      <c r="H387" s="9" t="str">
        <f ca="1">+WORLDCUP!BD63</f>
        <v>Suecia</v>
      </c>
      <c r="I387" s="9" t="str">
        <f ca="1">+WORLDCUP!BD69</f>
        <v>Croacia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Bélgica</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Bélgica</v>
      </c>
      <c r="E389" s="9" t="str">
        <f ca="1">+WORLDCUP!BD59</f>
        <v>Bosnia y Herzegovina</v>
      </c>
      <c r="F389" s="9" t="str">
        <f ca="1">+WORLDCUP!BD60</f>
        <v>Escocia</v>
      </c>
      <c r="G389" s="9" t="str">
        <f ca="1">+WORLDCUP!BD58</f>
        <v>Corea del Sur</v>
      </c>
      <c r="H389" s="9" t="str">
        <f ca="1">+WORLDCUP!BD63</f>
        <v>Suecia</v>
      </c>
      <c r="I389" s="9" t="str">
        <f ca="1">+WORLDCUP!BD69</f>
        <v>Croacia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Bélgica</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Bélgica</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Croacia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Cabo Verde</v>
      </c>
      <c r="I393" s="9" t="str">
        <f ca="1">+WORLDCUP!BD69</f>
        <v>Croacia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Cabo Verde</v>
      </c>
      <c r="I394" s="9" t="str">
        <f ca="1">+WORLDCUP!BD69</f>
        <v>Croacia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Cabo Verde</v>
      </c>
      <c r="I395" s="9" t="str">
        <f ca="1">+WORLDCUP!BD69</f>
        <v>Croacia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Cabo Verde</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Bélgica</v>
      </c>
      <c r="I397" s="9" t="str">
        <f ca="1">+WORLDCUP!BD69</f>
        <v>Croacia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Bosnia y Herzegovina</v>
      </c>
      <c r="F398" s="9" t="str">
        <f ca="1">+WORLDCUP!BD58</f>
        <v>Corea del Sur</v>
      </c>
      <c r="G398" s="9" t="str">
        <f ca="1">+WORLDCUP!BD66</f>
        <v>Senegal</v>
      </c>
      <c r="H398" s="9" t="str">
        <f ca="1">+WORLDCUP!BD60</f>
        <v>Escocia</v>
      </c>
      <c r="I398" s="9" t="str">
        <f ca="1">+WORLDCUP!BD69</f>
        <v>Croacia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Bélgica</v>
      </c>
      <c r="I399" s="9" t="str">
        <f ca="1">+WORLDCUP!BD69</f>
        <v>Croacia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Corea del Sur</v>
      </c>
      <c r="H401" s="9" t="str">
        <f ca="1">+WORLDCUP!BD65</f>
        <v>Cabo Verde</v>
      </c>
      <c r="I401" s="9" t="str">
        <f ca="1">+WORLDCUP!BD69</f>
        <v>Croacia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Argelia</v>
      </c>
      <c r="E402" s="9" t="str">
        <f ca="1">+WORLDCUP!BD59</f>
        <v>Bosnia y Herzegovina</v>
      </c>
      <c r="F402" s="9" t="str">
        <f ca="1">+WORLDCUP!BD60</f>
        <v>Escocia</v>
      </c>
      <c r="G402" s="9" t="str">
        <f ca="1">+WORLDCUP!BD58</f>
        <v>Corea del Sur</v>
      </c>
      <c r="H402" s="9" t="str">
        <f ca="1">+WORLDCUP!BD64</f>
        <v>Bélgica</v>
      </c>
      <c r="I402" s="9" t="str">
        <f ca="1">+WORLDCUP!BD69</f>
        <v>Croacia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Argelia</v>
      </c>
      <c r="E403" s="9" t="str">
        <f ca="1">+WORLDCUP!BD59</f>
        <v>Bosnia y Herzegovina</v>
      </c>
      <c r="F403" s="9" t="str">
        <f ca="1">+WORLDCUP!BD60</f>
        <v>Escocia</v>
      </c>
      <c r="G403" s="9" t="str">
        <f ca="1">+WORLDCUP!BD58</f>
        <v>Corea del Sur</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Corea del Sur</v>
      </c>
      <c r="H404" s="9" t="str">
        <f ca="1">+WORLDCUP!BD65</f>
        <v>Cabo Verde</v>
      </c>
      <c r="I404" s="9" t="str">
        <f ca="1">+WORLDCUP!BD69</f>
        <v>Croacia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Corea del Sur</v>
      </c>
      <c r="H405" s="9" t="str">
        <f ca="1">+WORLDCUP!BD65</f>
        <v>Cabo Verde</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Argelia</v>
      </c>
      <c r="E406" s="9" t="str">
        <f ca="1">+WORLDCUP!BD59</f>
        <v>Bosnia y Herzegovina</v>
      </c>
      <c r="F406" s="9" t="str">
        <f ca="1">+WORLDCUP!BD60</f>
        <v>Escocia</v>
      </c>
      <c r="G406" s="9" t="str">
        <f ca="1">+WORLDCUP!BD58</f>
        <v>Corea del Sur</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Croacia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Croacia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Croacia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Croacia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Croacia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Croacia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Corea del Sur</v>
      </c>
      <c r="H417" s="9" t="str">
        <f ca="1">+WORLDCUP!BD63</f>
        <v>Suecia</v>
      </c>
      <c r="I417" s="9" t="str">
        <f ca="1">+WORLDCUP!BD69</f>
        <v>Croacia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Corea del Sur</v>
      </c>
      <c r="H418" s="9" t="str">
        <f ca="1">+WORLDCUP!BD63</f>
        <v>Suecia</v>
      </c>
      <c r="I418" s="9" t="str">
        <f ca="1">+WORLDCUP!BD69</f>
        <v>Croacia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Corea del Sur</v>
      </c>
      <c r="H420" s="9" t="str">
        <f ca="1">+WORLDCUP!BD63</f>
        <v>Suecia</v>
      </c>
      <c r="I420" s="9" t="str">
        <f ca="1">+WORLDCUP!BD69</f>
        <v>Croacia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Bélgica</v>
      </c>
      <c r="E423" s="9" t="str">
        <f ca="1">+WORLDCUP!BD59</f>
        <v>Bosnia y Herzegovina</v>
      </c>
      <c r="F423" s="9" t="str">
        <f ca="1">+WORLDCUP!BD60</f>
        <v>Escocia</v>
      </c>
      <c r="G423" s="9" t="str">
        <f ca="1">+WORLDCUP!BD58</f>
        <v>Corea del Sur</v>
      </c>
      <c r="H423" s="9" t="str">
        <f ca="1">+WORLDCUP!BD63</f>
        <v>Suecia</v>
      </c>
      <c r="I423" s="9" t="str">
        <f ca="1">+WORLDCUP!BD69</f>
        <v>Croacia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Bélgica</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Bélgica</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Bélgica</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Croacia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Croacia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Croacia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Croacia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Bélgica</v>
      </c>
      <c r="I432" s="9" t="str">
        <f ca="1">+WORLDCUP!BD69</f>
        <v>Croacia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Corea del Sur</v>
      </c>
      <c r="H433" s="9" t="str">
        <f ca="1">+WORLDCUP!BD61</f>
        <v>Paraguay</v>
      </c>
      <c r="I433" s="9" t="str">
        <f ca="1">+WORLDCUP!BD69</f>
        <v>Croacia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Bélgica</v>
      </c>
      <c r="I434" s="9" t="str">
        <f ca="1">+WORLDCUP!BD69</f>
        <v>Croacia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Bélgica</v>
      </c>
      <c r="E436" s="9" t="str">
        <f ca="1">+WORLDCUP!BD59</f>
        <v>Bosnia y Herzegovina</v>
      </c>
      <c r="F436" s="9" t="str">
        <f ca="1">+WORLDCUP!BD60</f>
        <v>Escocia</v>
      </c>
      <c r="G436" s="9" t="str">
        <f ca="1">+WORLDCUP!BD58</f>
        <v>Corea del Sur</v>
      </c>
      <c r="H436" s="9" t="str">
        <f ca="1">+WORLDCUP!BD61</f>
        <v>Paraguay</v>
      </c>
      <c r="I436" s="9" t="str">
        <f ca="1">+WORLDCUP!BD69</f>
        <v>Croacia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Bélgica</v>
      </c>
      <c r="E437" s="9" t="str">
        <f ca="1">+WORLDCUP!BD59</f>
        <v>Bosnia y Herzegovina</v>
      </c>
      <c r="F437" s="9" t="str">
        <f ca="1">+WORLDCUP!BD60</f>
        <v>Escocia</v>
      </c>
      <c r="G437" s="9" t="str">
        <f ca="1">+WORLDCUP!BD58</f>
        <v>Corea del Sur</v>
      </c>
      <c r="H437" s="9" t="str">
        <f ca="1">+WORLDCUP!BD61</f>
        <v>Paraguay</v>
      </c>
      <c r="I437" s="9" t="str">
        <f ca="1">+WORLDCUP!BD69</f>
        <v>Croacia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Bélgica</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Bélgica</v>
      </c>
      <c r="E439" s="9" t="str">
        <f ca="1">+WORLDCUP!BD59</f>
        <v>Bosnia y Herzegovina</v>
      </c>
      <c r="F439" s="9" t="str">
        <f ca="1">+WORLDCUP!BD60</f>
        <v>Escocia</v>
      </c>
      <c r="G439" s="9" t="str">
        <f ca="1">+WORLDCUP!BD58</f>
        <v>Corea del Sur</v>
      </c>
      <c r="H439" s="9" t="str">
        <f ca="1">+WORLDCUP!BD61</f>
        <v>Paraguay</v>
      </c>
      <c r="I439" s="9" t="str">
        <f ca="1">+WORLDCUP!BD69</f>
        <v>Croacia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Bélgica</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Bélgica</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Croacia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Croacia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Croacia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Croacia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Croacia</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Croacia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Corea del Sur</v>
      </c>
      <c r="H452" s="9" t="str">
        <f ca="1">+WORLDCUP!BD63</f>
        <v>Suecia</v>
      </c>
      <c r="I452" s="9" t="str">
        <f ca="1">+WORLDCUP!BD69</f>
        <v>Croacia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Corea del Sur</v>
      </c>
      <c r="H453" s="9" t="str">
        <f ca="1">+WORLDCUP!BD63</f>
        <v>Suecia</v>
      </c>
      <c r="I453" s="9" t="str">
        <f ca="1">+WORLDCUP!BD69</f>
        <v>Croacia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Corea del Sur</v>
      </c>
      <c r="H455" s="9" t="str">
        <f ca="1">+WORLDCUP!BD63</f>
        <v>Suecia</v>
      </c>
      <c r="I455" s="9" t="str">
        <f ca="1">+WORLDCUP!BD69</f>
        <v>Croacia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Corea del Sur</v>
      </c>
      <c r="H458" s="9" t="str">
        <f ca="1">+WORLDCUP!BD63</f>
        <v>Suecia</v>
      </c>
      <c r="I458" s="9" t="str">
        <f ca="1">+WORLDCUP!BD69</f>
        <v>Croacia</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Bélgica</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Bélgica</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Bélgica</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Croacia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Croacia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Croacia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Croacia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Croacia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Croacia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Corea del Sur</v>
      </c>
      <c r="H472" s="9" t="str">
        <f ca="1">+WORLDCUP!BD61</f>
        <v>Paraguay</v>
      </c>
      <c r="I472" s="9" t="str">
        <f ca="1">+WORLDCUP!BD69</f>
        <v>Croacia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Corea del Sur</v>
      </c>
      <c r="H473" s="9" t="str">
        <f ca="1">+WORLDCUP!BD61</f>
        <v>Paraguay</v>
      </c>
      <c r="I473" s="9" t="str">
        <f ca="1">+WORLDCUP!BD69</f>
        <v>Croacia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Corea del Sur</v>
      </c>
      <c r="H475" s="9" t="str">
        <f ca="1">+WORLDCUP!BD61</f>
        <v>Paraguay</v>
      </c>
      <c r="I475" s="9" t="str">
        <f ca="1">+WORLDCUP!BD69</f>
        <v>Croacia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Bélgica</v>
      </c>
      <c r="E478" s="9" t="str">
        <f ca="1">+WORLDCUP!BD59</f>
        <v>Bosnia y Herzegovina</v>
      </c>
      <c r="F478" s="9" t="str">
        <f ca="1">+WORLDCUP!BD60</f>
        <v>Escocia</v>
      </c>
      <c r="G478" s="9" t="str">
        <f ca="1">+WORLDCUP!BD58</f>
        <v>Corea del Sur</v>
      </c>
      <c r="H478" s="9" t="str">
        <f ca="1">+WORLDCUP!BD61</f>
        <v>Paraguay</v>
      </c>
      <c r="I478" s="9" t="str">
        <f ca="1">+WORLDCUP!BD69</f>
        <v>Croacia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Bélgica</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Bélgica</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Bélgica</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Croacia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1</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Croacia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Croacia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Croacia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Corea del Sur</v>
      </c>
      <c r="H492" s="9" t="str">
        <f ca="1">+WORLDCUP!BD63</f>
        <v>Suecia</v>
      </c>
      <c r="I492" s="9" t="str">
        <f ca="1">+WORLDCUP!BD69</f>
        <v>Croacia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Bélgica</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2026-06-26T13:03:56Z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
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A357DFC4-913F-5644-8A30-50F5B2C03BCF}"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Z133" i="2"/>
  <c r="Z132" i="2"/>
  <c r="Z131" i="2"/>
  <c r="Z127" i="2"/>
  <c r="Z126" i="2"/>
  <c r="Z125" i="2"/>
  <c r="Z124" i="2"/>
  <c r="Z123" i="2"/>
  <c r="Z122" i="2"/>
  <c r="Z121" i="2"/>
  <c r="Z120" i="2"/>
  <c r="Z116" i="2"/>
  <c r="AL115" i="2"/>
  <c r="Z115" i="2"/>
  <c r="Z114" i="2"/>
  <c r="AK113" i="2" a="1"/>
  <c r="AK113" i="2" s="1"/>
  <c r="Z113" i="2"/>
  <c r="AK112" i="2" a="1"/>
  <c r="AK112" i="2" s="1"/>
  <c r="Z112" i="2"/>
  <c r="AK111" i="2" a="1"/>
  <c r="AK111" i="2" s="1"/>
  <c r="Z111" i="2"/>
  <c r="AK110" i="2" a="1"/>
  <c r="AK110" i="2" s="1"/>
  <c r="Z110" i="2"/>
  <c r="AK109" i="2" a="1"/>
  <c r="AK109" i="2" s="1"/>
  <c r="Z109" i="2"/>
  <c r="AK108" i="2" a="1"/>
  <c r="AK108" i="2" s="1"/>
  <c r="Z108" i="2"/>
  <c r="AK107" i="2" a="1"/>
  <c r="AK107" i="2" s="1"/>
  <c r="Z107" i="2"/>
  <c r="AK106" i="2" a="1"/>
  <c r="AK106" i="2" s="1"/>
  <c r="Z106" i="2"/>
  <c r="AK105" i="2" a="1"/>
  <c r="AK105" i="2" s="1"/>
  <c r="Z105" i="2"/>
  <c r="AK104" i="2" a="1"/>
  <c r="AK104" i="2" s="1"/>
  <c r="Z104" i="2"/>
  <c r="AK103" i="2" a="1"/>
  <c r="AK103" i="2" s="1"/>
  <c r="Z103" i="2"/>
  <c r="AK102" i="2" a="1"/>
  <c r="AK102" i="2" s="1"/>
  <c r="Z102" i="2"/>
  <c r="Z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M143" i="2" l="1"/>
  <c r="D73" i="5"/>
  <c r="M147" i="2"/>
  <c r="D81" i="5"/>
  <c r="B16" i="7" s="1"/>
  <c r="D172" i="5"/>
  <c r="B112" i="3" s="1"/>
  <c r="AG152" i="2"/>
  <c r="D19" i="5"/>
  <c r="Z3" i="2" s="1"/>
  <c r="Z19" i="2" s="1"/>
  <c r="Z35" i="2" s="1"/>
  <c r="D140" i="5"/>
  <c r="B80" i="3" s="1"/>
  <c r="D21" i="5"/>
  <c r="D152" i="5"/>
  <c r="B92" i="3" s="1"/>
  <c r="AG150" i="2"/>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AG151" i="2"/>
  <c r="D75" i="5"/>
  <c r="D154" i="5"/>
  <c r="B94" i="3" s="1"/>
  <c r="D207" i="5"/>
  <c r="K7" i="8" s="1"/>
  <c r="C247" i="3"/>
  <c r="D22" i="5"/>
  <c r="AF3" i="2" s="1"/>
  <c r="AF19" i="2" s="1"/>
  <c r="AF35" i="2" s="1"/>
  <c r="D113" i="5"/>
  <c r="E162" i="3" s="1"/>
  <c r="D173" i="5"/>
  <c r="B113" i="3" s="1"/>
  <c r="D204" i="5"/>
  <c r="AB5" i="9" s="1"/>
  <c r="D43" i="5"/>
  <c r="AA156" i="2" s="1"/>
  <c r="D116" i="5"/>
  <c r="E200" i="3" s="1"/>
  <c r="D46" i="5"/>
  <c r="C9" i="1" s="1"/>
  <c r="D125" i="5"/>
  <c r="B5" i="3" s="1"/>
  <c r="L27" i="8"/>
  <c r="EU6144" i="7"/>
  <c r="G227" i="5" s="1"/>
  <c r="D227" i="5" s="1"/>
  <c r="M27" i="8"/>
  <c r="D48" i="5"/>
  <c r="AM148" i="2" s="1"/>
  <c r="D89" i="5"/>
  <c r="L13" i="7" s="1"/>
  <c r="D141" i="5"/>
  <c r="B81" i="3" s="1"/>
  <c r="D180" i="5"/>
  <c r="B120" i="3" s="1"/>
  <c r="D202" i="5"/>
  <c r="K2" i="8" s="1"/>
  <c r="D208" i="5"/>
  <c r="K8" i="8" s="1"/>
  <c r="D49" i="5"/>
  <c r="D91" i="5"/>
  <c r="L15" i="7" s="1"/>
  <c r="D142" i="5"/>
  <c r="B82" i="3" s="1"/>
  <c r="D182" i="5"/>
  <c r="B122" i="3" s="1"/>
  <c r="N147" i="2"/>
  <c r="D15" i="5"/>
  <c r="C7" i="1" s="1"/>
  <c r="D50" i="5"/>
  <c r="D108" i="5"/>
  <c r="E4" i="3" s="1"/>
  <c r="D143" i="5"/>
  <c r="B83" i="3" s="1"/>
  <c r="D252" i="5"/>
  <c r="L2" i="9" s="1"/>
  <c r="D203" i="5"/>
  <c r="AB4" i="9" s="1"/>
  <c r="D233" i="5"/>
  <c r="AB34" i="9" s="1"/>
  <c r="AG139" i="2"/>
  <c r="D17" i="5"/>
  <c r="X3" i="2" s="1"/>
  <c r="X19" i="2" s="1"/>
  <c r="X35" i="2" s="1"/>
  <c r="D51" i="5"/>
  <c r="AJ5" i="2" s="1"/>
  <c r="AJ93" i="2" s="1"/>
  <c r="D110" i="5"/>
  <c r="E6" i="3" s="1"/>
  <c r="D144" i="5"/>
  <c r="B84" i="3" s="1"/>
  <c r="D256" i="5"/>
  <c r="D216" i="5"/>
  <c r="AB17" i="9" s="1"/>
  <c r="D228" i="5"/>
  <c r="AB29" i="9" s="1"/>
  <c r="C240" i="3"/>
  <c r="BB23" i="4"/>
  <c r="D211" i="5"/>
  <c r="AB12" i="9" s="1"/>
  <c r="D229" i="5"/>
  <c r="AB30" i="9" s="1"/>
  <c r="B247" i="3"/>
  <c r="D29" i="5"/>
  <c r="W129" i="2" s="1"/>
  <c r="D76" i="5"/>
  <c r="D122" i="5"/>
  <c r="D6" i="3" s="1"/>
  <c r="D212" i="5"/>
  <c r="AB13" i="9" s="1"/>
  <c r="D224" i="5"/>
  <c r="K24" i="8" s="1"/>
  <c r="D219" i="5"/>
  <c r="AB20" i="9" s="1"/>
  <c r="D249" i="5"/>
  <c r="K49" i="8" s="1"/>
  <c r="AZ25" i="4"/>
  <c r="AN13" i="4"/>
  <c r="AK31" i="4"/>
  <c r="AF5" i="4"/>
  <c r="AC4" i="4"/>
  <c r="AK32" i="4"/>
  <c r="C244" i="3"/>
  <c r="B244" i="3"/>
  <c r="C236" i="3"/>
  <c r="AJ7" i="4"/>
  <c r="AB3" i="4"/>
  <c r="AU25" i="4"/>
  <c r="BA21" i="4"/>
  <c r="AB49" i="4"/>
  <c r="AB48" i="4"/>
  <c r="AG47" i="4"/>
  <c r="AB45"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S31" i="4"/>
  <c r="AC12" i="4"/>
  <c r="AB10" i="4"/>
  <c r="AB9" i="4"/>
  <c r="AJ8" i="4"/>
  <c r="AG46" i="4"/>
  <c r="AJ44" i="4"/>
  <c r="AC34" i="4"/>
  <c r="AC33" i="4"/>
  <c r="AS32" i="4"/>
  <c r="AR31" i="4"/>
  <c r="AC27" i="4"/>
  <c r="AC22" i="4"/>
  <c r="AC16" i="4"/>
  <c r="AO14" i="4"/>
  <c r="AB12" i="4"/>
  <c r="AC43" i="4"/>
  <c r="AO37" i="4"/>
  <c r="AF35" i="4"/>
  <c r="AB31" i="4"/>
  <c r="AF28" i="4"/>
  <c r="AU26" i="4"/>
  <c r="AV25" i="4"/>
  <c r="AF23" i="4"/>
  <c r="AB21" i="4"/>
  <c r="AK7" i="4"/>
  <c r="AC46" i="4"/>
  <c r="AK43" i="4"/>
  <c r="AJ31" i="4"/>
  <c r="AG23" i="4"/>
  <c r="AB16" i="4"/>
  <c r="AB4" i="4"/>
  <c r="AB46" i="4"/>
  <c r="AJ43" i="4"/>
  <c r="AB33" i="4"/>
  <c r="AC6" i="4"/>
  <c r="AC31" i="4"/>
  <c r="AG28" i="4"/>
  <c r="AB6" i="4"/>
  <c r="AC49" i="4"/>
  <c r="AB43" i="4"/>
  <c r="AG35" i="4"/>
  <c r="AK19" i="4"/>
  <c r="AN14" i="4"/>
  <c r="AF46" i="4"/>
  <c r="AO38" i="4"/>
  <c r="AJ32" i="4"/>
  <c r="AQ31" i="4"/>
  <c r="AW26" i="4"/>
  <c r="AC21" i="4"/>
  <c r="AC13" i="4"/>
  <c r="AG10" i="4"/>
  <c r="AC48" i="4"/>
  <c r="AB40" i="4"/>
  <c r="AG11" i="4"/>
  <c r="AB27" i="4"/>
  <c r="AJ19" i="4"/>
  <c r="AF11" i="4"/>
  <c r="AV26" i="4"/>
  <c r="AR32" i="4"/>
  <c r="AG29" i="4"/>
  <c r="AC19" i="4"/>
  <c r="AQ32" i="4"/>
  <c r="AF29" i="4"/>
  <c r="AW25" i="4"/>
  <c r="AB22" i="4"/>
  <c r="AB19" i="4"/>
  <c r="AO13" i="4"/>
  <c r="AG5" i="4"/>
  <c r="AN37" i="4"/>
  <c r="AC36" i="4"/>
  <c r="AG4" i="4"/>
  <c r="AN38" i="4"/>
  <c r="AB36" i="4"/>
  <c r="AF4" i="4"/>
  <c r="AC3" i="4"/>
  <c r="AC40" i="4"/>
  <c r="AB34" i="4"/>
  <c r="AC45" i="4"/>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Z91" i="2" l="1"/>
  <c r="AA155" i="2"/>
  <c r="C254" i="3" s="1"/>
  <c r="Z20" i="2"/>
  <c r="Z29" i="2"/>
  <c r="Z45" i="2"/>
  <c r="Z85" i="2"/>
  <c r="Z67" i="2"/>
  <c r="Z75" i="2"/>
  <c r="B5" i="8"/>
  <c r="A8" i="2" s="1"/>
  <c r="B32" i="8"/>
  <c r="BD36" i="2" s="1"/>
  <c r="B26" i="8"/>
  <c r="A53" i="2" s="1"/>
  <c r="AB9" i="9"/>
  <c r="AB3" i="9"/>
  <c r="AR53" i="2"/>
  <c r="Z28" i="2"/>
  <c r="K4" i="8"/>
  <c r="B39" i="8"/>
  <c r="A78" i="2" s="1"/>
  <c r="Z61" i="2"/>
  <c r="Z52" i="2"/>
  <c r="AB25" i="9"/>
  <c r="AH154" i="2"/>
  <c r="AA158" i="2"/>
  <c r="C256" i="3" s="1"/>
  <c r="B40" i="8"/>
  <c r="BD44" i="2" s="1"/>
  <c r="AR85" i="2"/>
  <c r="AA159" i="2"/>
  <c r="C257" i="3" s="1"/>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X119" i="2"/>
  <c r="K19" i="8"/>
  <c r="AR29" i="2"/>
  <c r="Z60" i="2"/>
  <c r="Z12" i="2"/>
  <c r="K29" i="8"/>
  <c r="AR61" i="2"/>
  <c r="Z37" i="2"/>
  <c r="AR21" i="2"/>
  <c r="AR37" i="2"/>
  <c r="Z93" i="2"/>
  <c r="AR101" i="2"/>
  <c r="Z44" i="2"/>
  <c r="X75" i="2"/>
  <c r="AF51" i="2"/>
  <c r="AB50" i="9"/>
  <c r="Z36" i="2"/>
  <c r="AR69" i="2"/>
  <c r="Z5" i="2"/>
  <c r="Z92" i="2"/>
  <c r="Y146" i="2"/>
  <c r="K28" i="8"/>
  <c r="X51" i="2"/>
  <c r="X83" i="2"/>
  <c r="X146" i="2"/>
  <c r="X11" i="2"/>
  <c r="X27" i="2" s="1"/>
  <c r="X43" i="2" s="1"/>
  <c r="X67" i="2"/>
  <c r="Z53" i="2"/>
  <c r="Z77" i="2"/>
  <c r="X59" i="2"/>
  <c r="X100" i="2"/>
  <c r="Z21" i="2"/>
  <c r="Z69" i="2"/>
  <c r="Y83" i="2"/>
  <c r="Y100" i="2"/>
  <c r="AF119" i="2"/>
  <c r="Y130" i="2"/>
  <c r="B23" i="8"/>
  <c r="A46" i="2" s="1"/>
  <c r="AJ13" i="2"/>
  <c r="AJ53" i="2"/>
  <c r="AJ21" i="2"/>
  <c r="AJ61" i="2"/>
  <c r="AR93" i="2"/>
  <c r="X91" i="2"/>
  <c r="AJ37" i="2"/>
  <c r="Y67" i="2"/>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F59" i="2"/>
  <c r="AJ101" i="2"/>
  <c r="AF146" i="2"/>
  <c r="AF130" i="2"/>
  <c r="K33" i="8"/>
  <c r="AB35" i="9"/>
  <c r="K34" i="8"/>
  <c r="B22" i="8"/>
  <c r="B17" i="8"/>
  <c r="K48" i="8"/>
  <c r="AB49" i="9"/>
  <c r="AB44" i="9"/>
  <c r="B44" i="8"/>
  <c r="K43" i="8"/>
  <c r="C255" i="3"/>
  <c r="AJ3" i="2"/>
  <c r="BC5" i="2"/>
  <c r="BC57" i="2" s="1"/>
  <c r="B31" i="8"/>
  <c r="K10" i="8"/>
  <c r="AB11" i="9"/>
  <c r="AB48" i="9"/>
  <c r="B24" i="8"/>
  <c r="K47" i="8"/>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K3" i="4"/>
  <c r="K11" i="4" s="1"/>
  <c r="K19" i="4" s="1"/>
  <c r="K27" i="4" s="1"/>
  <c r="K35" i="4" s="1"/>
  <c r="K43" i="4" s="1"/>
  <c r="W3" i="4" s="1"/>
  <c r="W11" i="4" s="1"/>
  <c r="W19" i="4" s="1"/>
  <c r="W27" i="4" s="1"/>
  <c r="W35" i="4" s="1"/>
  <c r="W43" i="4" s="1"/>
  <c r="AB6" i="9"/>
  <c r="K5" i="8"/>
  <c r="B38" i="8"/>
  <c r="AB41" i="9"/>
  <c r="K40" i="8"/>
  <c r="B9" i="8"/>
  <c r="AB32" i="9"/>
  <c r="K31" i="8"/>
  <c r="B2" i="8"/>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12" i="2" l="1"/>
  <c r="BC12" i="2" s="1"/>
  <c r="A37" i="2"/>
  <c r="AA36" i="2" s="1"/>
  <c r="AG155" i="2"/>
  <c r="A79" i="2"/>
  <c r="AF78" i="2" s="1"/>
  <c r="A54" i="2"/>
  <c r="AY55" i="2" s="1"/>
  <c r="BD30" i="2"/>
  <c r="BC30" i="2" s="1"/>
  <c r="A94" i="2"/>
  <c r="AY95" i="2" s="1"/>
  <c r="BD43" i="2"/>
  <c r="BC43" i="2" s="1"/>
  <c r="BD9" i="2"/>
  <c r="BC9" i="2" s="1"/>
  <c r="A63" i="2"/>
  <c r="AF64" i="2" s="1"/>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55" i="2"/>
  <c r="BD32" i="2"/>
  <c r="AI22" i="9"/>
  <c r="AI48" i="9"/>
  <c r="AI3" i="9"/>
  <c r="T76" i="9"/>
  <c r="R63" i="9"/>
  <c r="T73" i="9"/>
  <c r="T56" i="9"/>
  <c r="R79" i="9"/>
  <c r="T70" i="9"/>
  <c r="AI5" i="9"/>
  <c r="AI28" i="9"/>
  <c r="BD34" i="2"/>
  <c r="A61" i="2"/>
  <c r="A7" i="2"/>
  <c r="BD8" i="2"/>
  <c r="A38" i="2"/>
  <c r="BD23" i="2"/>
  <c r="AI11" i="9"/>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R83" i="9"/>
  <c r="S56" i="9"/>
  <c r="T74" i="9"/>
  <c r="R65" i="9"/>
  <c r="T86" i="9"/>
  <c r="S64" i="9"/>
  <c r="S72" i="9"/>
  <c r="R70" i="9"/>
  <c r="AI34" i="9"/>
  <c r="R54" i="9"/>
  <c r="S84" i="9"/>
  <c r="T54" i="9"/>
  <c r="R72" i="9"/>
  <c r="T72" i="9"/>
  <c r="S59" i="9"/>
  <c r="BD14" i="2"/>
  <c r="A21" i="2"/>
  <c r="A14" i="2"/>
  <c r="BD11"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77" i="2" l="1"/>
  <c r="AY80" i="2"/>
  <c r="AF80" i="2"/>
  <c r="R31" i="4" s="1"/>
  <c r="AF55" i="2"/>
  <c r="R6" i="4" s="1"/>
  <c r="AA56" i="2"/>
  <c r="O7" i="4" s="1"/>
  <c r="AF52" i="2"/>
  <c r="R3" i="4" s="1"/>
  <c r="AA38" i="2"/>
  <c r="C37" i="4" s="1"/>
  <c r="AF41" i="2"/>
  <c r="F40" i="4" s="1"/>
  <c r="AY38" i="2"/>
  <c r="AF95" i="2"/>
  <c r="R46" i="4" s="1"/>
  <c r="AF92" i="2"/>
  <c r="R43" i="4" s="1"/>
  <c r="AA97" i="2"/>
  <c r="O48" i="4" s="1"/>
  <c r="AA61" i="2"/>
  <c r="O12" i="4" s="1"/>
  <c r="AY64" i="2"/>
  <c r="AF62" i="2"/>
  <c r="R13" i="4" s="1"/>
  <c r="AY81" i="2"/>
  <c r="R48" i="4"/>
  <c r="AA81" i="2"/>
  <c r="O32" i="4" s="1"/>
  <c r="AY57" i="2"/>
  <c r="AF77" i="2"/>
  <c r="R28" i="4" s="1"/>
  <c r="AA55" i="2"/>
  <c r="O6" i="4" s="1"/>
  <c r="AF53" i="2"/>
  <c r="R4" i="4" s="1"/>
  <c r="AY14" i="2"/>
  <c r="AA93" i="2"/>
  <c r="O44" i="4" s="1"/>
  <c r="AY96" i="2"/>
  <c r="AF94" i="2"/>
  <c r="R45" i="4" s="1"/>
  <c r="AA12" i="2"/>
  <c r="C11" i="4" s="1"/>
  <c r="AA15" i="2"/>
  <c r="B33" i="3" s="1"/>
  <c r="R15" i="4"/>
  <c r="R8" i="4"/>
  <c r="F16" i="4"/>
  <c r="F15" i="4"/>
  <c r="R30" i="4"/>
  <c r="R29" i="4"/>
  <c r="F46" i="4"/>
  <c r="F14" i="4"/>
  <c r="R27" i="4"/>
  <c r="F43" i="4"/>
  <c r="F4" i="4"/>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BC19" i="2"/>
  <c r="O5" i="4"/>
  <c r="AA96" i="2"/>
  <c r="AY97" i="2"/>
  <c r="AF93" i="2"/>
  <c r="AA95" i="2"/>
  <c r="AY30" i="2"/>
  <c r="AA30" i="2"/>
  <c r="AF32" i="2"/>
  <c r="AA28" i="2"/>
  <c r="BC29" i="2"/>
  <c r="BC25" i="2"/>
  <c r="AY39" i="2"/>
  <c r="AA40" i="2"/>
  <c r="AF39" i="2"/>
  <c r="AF36" i="2"/>
  <c r="AF87" i="2"/>
  <c r="AA89" i="2"/>
  <c r="AF84" i="2"/>
  <c r="AY87" i="2"/>
  <c r="C5" i="4"/>
  <c r="O3"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72" i="3" l="1"/>
  <c r="B18" i="3"/>
  <c r="B77" i="3"/>
  <c r="R32" i="4"/>
  <c r="B43" i="3"/>
  <c r="B25" i="3"/>
  <c r="R47" i="4"/>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AG28" i="9" l="1"/>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BU43" i="2" s="1"/>
  <c r="F76" i="2"/>
  <c r="F79" i="2"/>
  <c r="F69" i="2"/>
  <c r="BW40" i="2" s="1"/>
  <c r="E71" i="2"/>
  <c r="BW39" i="2" s="1"/>
  <c r="F68" i="2"/>
  <c r="BU38" i="2" s="1"/>
  <c r="F71" i="2"/>
  <c r="E68" i="2"/>
  <c r="E70" i="2"/>
  <c r="E76" i="2"/>
  <c r="BW43" i="2" s="1"/>
  <c r="E78" i="2"/>
  <c r="BW44" i="2" s="1"/>
  <c r="E77" i="2"/>
  <c r="F78" i="2"/>
  <c r="F52" i="2"/>
  <c r="F55" i="2"/>
  <c r="F53" i="2"/>
  <c r="E55" i="2"/>
  <c r="BU31" i="2" s="1"/>
  <c r="F61" i="2"/>
  <c r="E63" i="2"/>
  <c r="F60" i="2"/>
  <c r="F63" i="2"/>
  <c r="E52" i="2"/>
  <c r="E54" i="2"/>
  <c r="E53" i="2"/>
  <c r="F54" i="2"/>
  <c r="E61" i="2"/>
  <c r="F62" i="2"/>
  <c r="E60" i="2"/>
  <c r="BV35" i="2" s="1"/>
  <c r="E62" i="2"/>
  <c r="BW36" i="2" s="1"/>
  <c r="F45" i="2"/>
  <c r="E47" i="2"/>
  <c r="F44" i="2"/>
  <c r="BV26" i="2" s="1"/>
  <c r="F47" i="2"/>
  <c r="F37" i="2"/>
  <c r="BU24" i="2" s="1"/>
  <c r="E39" i="2"/>
  <c r="BV23" i="2" s="1"/>
  <c r="F36" i="2"/>
  <c r="F39" i="2"/>
  <c r="BV25" i="2" s="1"/>
  <c r="E36" i="2"/>
  <c r="BW23" i="2" s="1"/>
  <c r="E38" i="2"/>
  <c r="BW24" i="2" s="1"/>
  <c r="E37" i="2"/>
  <c r="BW25" i="2" s="1"/>
  <c r="F38" i="2"/>
  <c r="E45" i="2"/>
  <c r="F46" i="2"/>
  <c r="BU26" i="2" s="1"/>
  <c r="E44" i="2"/>
  <c r="BV27" i="2" s="1"/>
  <c r="E46" i="2"/>
  <c r="F28" i="2"/>
  <c r="F31" i="2"/>
  <c r="F29" i="2"/>
  <c r="BU20" i="2" s="1"/>
  <c r="E31" i="2"/>
  <c r="BU19" i="2" s="1"/>
  <c r="E21" i="2"/>
  <c r="F23" i="2"/>
  <c r="BU14" i="2" s="1"/>
  <c r="E20" i="2"/>
  <c r="BV15" i="2" s="1"/>
  <c r="E23" i="2"/>
  <c r="F20" i="2"/>
  <c r="F22" i="2"/>
  <c r="F21" i="2"/>
  <c r="E22" i="2"/>
  <c r="BU15" i="2" s="1"/>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6" i="2"/>
  <c r="BU25" i="2"/>
  <c r="BV20" i="2"/>
  <c r="BW8" i="2"/>
  <c r="BV8" i="2"/>
  <c r="BW46" i="2"/>
  <c r="BV46" i="2"/>
  <c r="BU46" i="2"/>
  <c r="BV31" i="2"/>
  <c r="BW31" i="2"/>
  <c r="BW14" i="2"/>
  <c r="BV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W15" i="2"/>
  <c r="BV43" i="2"/>
  <c r="BW49" i="2"/>
  <c r="BV49" i="2"/>
  <c r="BU49" i="2"/>
  <c r="BU7" i="2"/>
  <c r="BU30" i="2"/>
  <c r="BW30" i="2"/>
  <c r="BU39" i="2"/>
  <c r="BV39" i="2"/>
  <c r="BU36" i="2"/>
  <c r="BV36" i="2"/>
  <c r="BW13" i="2"/>
  <c r="BV13" i="2"/>
  <c r="BU13" i="2"/>
  <c r="BW50" i="2"/>
  <c r="BW38" i="2"/>
  <c r="BV38" i="2"/>
  <c r="BV30" i="2" l="1"/>
  <c r="BX30" i="2" s="1"/>
  <c r="BU22" i="2"/>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H79" i="2" l="1"/>
  <c r="H81" i="2"/>
  <c r="H78" i="2"/>
  <c r="I81" i="2"/>
  <c r="I79" i="2"/>
  <c r="H80" i="2"/>
  <c r="I78" i="2"/>
  <c r="I80" i="2"/>
  <c r="I94" i="2"/>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I76" i="2"/>
  <c r="CB42" i="2" s="1"/>
  <c r="CB45" i="2"/>
  <c r="H76" i="2"/>
  <c r="CB43" i="2" s="1"/>
  <c r="I69" i="2"/>
  <c r="I68" i="2"/>
  <c r="H68" i="2"/>
  <c r="CB39" i="2" s="1"/>
  <c r="H53" i="2"/>
  <c r="CB33" i="2" s="1"/>
  <c r="I53" i="2"/>
  <c r="CB32" i="2" s="1"/>
  <c r="H61" i="2"/>
  <c r="I61" i="2"/>
  <c r="H52" i="2"/>
  <c r="I52" i="2"/>
  <c r="H60" i="2"/>
  <c r="CB35" i="2" s="1"/>
  <c r="I60" i="2"/>
  <c r="CA34" i="2" s="1"/>
  <c r="CB29" i="2"/>
  <c r="I45" i="2"/>
  <c r="CA28" i="2"/>
  <c r="H45" i="2"/>
  <c r="H37" i="2"/>
  <c r="CB25" i="2" s="1"/>
  <c r="I37" i="2"/>
  <c r="CA24" i="2" s="1"/>
  <c r="H44" i="2"/>
  <c r="CA27" i="2" s="1"/>
  <c r="I44" i="2"/>
  <c r="CB26" i="2" s="1"/>
  <c r="I36" i="2"/>
  <c r="CB22" i="2" s="1"/>
  <c r="H36" i="2"/>
  <c r="CB23" i="2" s="1"/>
  <c r="I29" i="2"/>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B30" i="2" l="1"/>
  <c r="CB44" i="2"/>
  <c r="CB20" i="2"/>
  <c r="CA19" i="2"/>
  <c r="CB36" i="2"/>
  <c r="CB37" i="2"/>
  <c r="CA37" i="2"/>
  <c r="CA31" i="2"/>
  <c r="CB15" i="2"/>
  <c r="CB14" i="2"/>
  <c r="CA44" i="2"/>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B19" i="2"/>
  <c r="CB24" i="2"/>
  <c r="CC24" i="2" s="1"/>
  <c r="CA26" i="2"/>
  <c r="CC26" i="2" s="1"/>
  <c r="CB34" i="2"/>
  <c r="CC34" i="2" s="1"/>
  <c r="CA30" i="2"/>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30" i="2" l="1"/>
  <c r="CC44" i="2"/>
  <c r="CC20" i="2"/>
  <c r="CC19" i="2"/>
  <c r="CC36" i="2"/>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K79" i="2" l="1"/>
  <c r="K81" i="2"/>
  <c r="K78" i="2"/>
  <c r="L81" i="2"/>
  <c r="L79" i="2"/>
  <c r="K80" i="2"/>
  <c r="L78" i="2"/>
  <c r="L80" i="2"/>
  <c r="L95" i="2"/>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L76" i="2"/>
  <c r="CF42" i="2" s="1"/>
  <c r="K76" i="2"/>
  <c r="L69" i="2"/>
  <c r="CF40" i="2" s="1"/>
  <c r="K69" i="2"/>
  <c r="CF41" i="2" s="1"/>
  <c r="L68" i="2"/>
  <c r="CF38" i="2" s="1"/>
  <c r="K68" i="2"/>
  <c r="CF39" i="2" s="1"/>
  <c r="K53" i="2"/>
  <c r="CF33" i="2" s="1"/>
  <c r="L53" i="2"/>
  <c r="CF32" i="2" s="1"/>
  <c r="L61" i="2"/>
  <c r="K61" i="2"/>
  <c r="K52" i="2"/>
  <c r="L52" i="2"/>
  <c r="K60" i="2"/>
  <c r="CF35" i="2" s="1"/>
  <c r="L60" i="2"/>
  <c r="CF34" i="2" s="1"/>
  <c r="CF28" i="2"/>
  <c r="K45" i="2"/>
  <c r="CF29" i="2"/>
  <c r="L45" i="2"/>
  <c r="K37" i="2"/>
  <c r="CF25" i="2" s="1"/>
  <c r="L37" i="2"/>
  <c r="CF24" i="2" s="1"/>
  <c r="L44" i="2"/>
  <c r="CF26" i="2" s="1"/>
  <c r="K44" i="2"/>
  <c r="CF27" i="2" s="1"/>
  <c r="K36" i="2"/>
  <c r="CF23" i="2" s="1"/>
  <c r="L36" i="2"/>
  <c r="CF22" i="2" s="1"/>
  <c r="L29" i="2"/>
  <c r="K29" i="2"/>
  <c r="CF21" i="2" s="1"/>
  <c r="CF16" i="2"/>
  <c r="K21" i="2"/>
  <c r="CF17" i="2"/>
  <c r="L21" i="2"/>
  <c r="K20" i="2"/>
  <c r="L20" i="2"/>
  <c r="K13" i="2"/>
  <c r="CF13" i="2" s="1"/>
  <c r="L13" i="2"/>
  <c r="CF12" i="2" s="1"/>
  <c r="K28" i="2"/>
  <c r="L28" i="2"/>
  <c r="CF18" i="2" s="1"/>
  <c r="K12" i="2"/>
  <c r="L12" i="2"/>
  <c r="L6" i="2"/>
  <c r="K9" i="2"/>
  <c r="K6" i="2"/>
  <c r="K8" i="2"/>
  <c r="L4" i="2"/>
  <c r="L7" i="2"/>
  <c r="K4" i="2"/>
  <c r="K7" i="2"/>
  <c r="L5" i="2"/>
  <c r="CF8" i="2" s="1"/>
  <c r="K5" i="2"/>
  <c r="CF44" i="2" l="1"/>
  <c r="CF19" i="2"/>
  <c r="CF43" i="2"/>
  <c r="CF20" i="2"/>
  <c r="CF11" i="2"/>
  <c r="CF10" i="2"/>
  <c r="CF36" i="2"/>
  <c r="CF30" i="2"/>
  <c r="CF31" i="2"/>
  <c r="CF14" i="2"/>
  <c r="CF15" i="2"/>
  <c r="CF37" i="2"/>
  <c r="CF7" i="2"/>
  <c r="CF9" i="2"/>
  <c r="CF6" i="2"/>
  <c r="CG8" i="2" l="1"/>
  <c r="CG6" i="2"/>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CH25" i="2"/>
  <c r="CH8" i="2"/>
  <c r="O9" i="2" s="1"/>
  <c r="CH45" i="2"/>
  <c r="CH18" i="2"/>
  <c r="O32" i="2" s="1"/>
  <c r="CH23" i="2"/>
  <c r="N40" i="2" s="1"/>
  <c r="CH47" i="2"/>
  <c r="CH32" i="2"/>
  <c r="CH43" i="2"/>
  <c r="CH49" i="2"/>
  <c r="CH14" i="2"/>
  <c r="CH38" i="2"/>
  <c r="O72" i="2" s="1"/>
  <c r="CH36" i="2"/>
  <c r="CH46" i="2"/>
  <c r="CH48" i="2"/>
  <c r="CH24" i="2"/>
  <c r="CH31" i="2"/>
  <c r="CH12" i="2"/>
  <c r="CH37" i="2"/>
  <c r="CH35" i="2"/>
  <c r="CH53" i="2"/>
  <c r="CH17" i="2"/>
  <c r="CH19" i="2"/>
  <c r="CH52" i="2"/>
  <c r="O97" i="2" s="1"/>
  <c r="CH51" i="2"/>
  <c r="CH9" i="2"/>
  <c r="O5" i="2" s="1"/>
  <c r="CH30" i="2"/>
  <c r="CH13" i="2"/>
  <c r="CH42" i="2"/>
  <c r="CH27" i="2"/>
  <c r="CH40" i="2"/>
  <c r="O73" i="2" s="1"/>
  <c r="CH26" i="2"/>
  <c r="O49" i="2" s="1"/>
  <c r="CH11" i="2"/>
  <c r="N17" i="2" s="1"/>
  <c r="CH33" i="2"/>
  <c r="N57" i="2" s="1"/>
  <c r="CH22" i="2"/>
  <c r="O41" i="2" s="1"/>
  <c r="CH21" i="2"/>
  <c r="N32" i="2" s="1"/>
  <c r="CH15" i="2"/>
  <c r="CH10" i="2"/>
  <c r="O16" i="2" s="1"/>
  <c r="CH39" i="2"/>
  <c r="N73" i="2" s="1"/>
  <c r="CH29" i="2"/>
  <c r="N49" i="2" s="1"/>
  <c r="CH20" i="2"/>
  <c r="CH50" i="2"/>
  <c r="O96" i="2" s="1"/>
  <c r="N9" i="2" l="1"/>
  <c r="N79" i="2"/>
  <c r="N81" i="2"/>
  <c r="N78" i="2"/>
  <c r="CK44" i="2" s="1"/>
  <c r="O81" i="2"/>
  <c r="O78" i="2"/>
  <c r="O80" i="2"/>
  <c r="CJ43" i="2" s="1"/>
  <c r="O79" i="2"/>
  <c r="N80" i="2"/>
  <c r="CJ44" i="2" s="1"/>
  <c r="O95" i="2"/>
  <c r="N97" i="2"/>
  <c r="N95" i="2"/>
  <c r="N96" i="2"/>
  <c r="O86" i="2"/>
  <c r="O89" i="2"/>
  <c r="O87" i="2"/>
  <c r="N89" i="2"/>
  <c r="N87" i="2"/>
  <c r="N88" i="2"/>
  <c r="N86" i="2"/>
  <c r="O88" i="2"/>
  <c r="N71" i="2"/>
  <c r="N72" i="2"/>
  <c r="O62" i="2"/>
  <c r="O64" i="2"/>
  <c r="O63" i="2"/>
  <c r="N64" i="2"/>
  <c r="N62" i="2"/>
  <c r="CK36" i="2" s="1"/>
  <c r="O65" i="2"/>
  <c r="CK37" i="2" s="1"/>
  <c r="N63" i="2"/>
  <c r="N65" i="2"/>
  <c r="N54" i="2"/>
  <c r="O57" i="2"/>
  <c r="O55" i="2"/>
  <c r="N56" i="2"/>
  <c r="O54" i="2"/>
  <c r="O56" i="2"/>
  <c r="O30" i="2"/>
  <c r="O33" i="2"/>
  <c r="CJ19" i="2" s="1"/>
  <c r="O31" i="2"/>
  <c r="N33" i="2"/>
  <c r="CJ20" i="2" s="1"/>
  <c r="N39" i="2"/>
  <c r="N41" i="2"/>
  <c r="O38" i="2"/>
  <c r="O40" i="2"/>
  <c r="O8" i="2"/>
  <c r="O47" i="2"/>
  <c r="N48" i="2"/>
  <c r="CJ28" i="2"/>
  <c r="O48" i="2"/>
  <c r="O22" i="2"/>
  <c r="N25" i="2"/>
  <c r="N23" i="2"/>
  <c r="O24" i="2"/>
  <c r="N22" i="2"/>
  <c r="CI15" i="2" s="1"/>
  <c r="N24" i="2"/>
  <c r="O15" i="2"/>
  <c r="CI10" i="2" s="1"/>
  <c r="O17" i="2"/>
  <c r="CI11" i="2" s="1"/>
  <c r="N14" i="2"/>
  <c r="N16" i="2"/>
  <c r="CK10" i="2" s="1"/>
  <c r="N93" i="2"/>
  <c r="O94" i="2"/>
  <c r="N92" i="2"/>
  <c r="N94" i="2"/>
  <c r="CK41" i="2"/>
  <c r="O68" i="2"/>
  <c r="O71" i="2"/>
  <c r="N68" i="2"/>
  <c r="N70" i="2"/>
  <c r="N69" i="2"/>
  <c r="O70" i="2"/>
  <c r="O53" i="2"/>
  <c r="N55" i="2"/>
  <c r="CI31" i="2" s="1"/>
  <c r="O45" i="2"/>
  <c r="N47" i="2"/>
  <c r="O36" i="2"/>
  <c r="O39" i="2"/>
  <c r="CJ25" i="2" s="1"/>
  <c r="N36" i="2"/>
  <c r="N38" i="2"/>
  <c r="N44" i="2"/>
  <c r="N46" i="2"/>
  <c r="N45" i="2"/>
  <c r="O46" i="2"/>
  <c r="N7" i="2"/>
  <c r="O29" i="2"/>
  <c r="CI20" i="2" s="1"/>
  <c r="N31" i="2"/>
  <c r="CI16" i="2"/>
  <c r="O23" i="2"/>
  <c r="CK18" i="2"/>
  <c r="N30" i="2"/>
  <c r="CK20" i="2" s="1"/>
  <c r="O7" i="2"/>
  <c r="N12" i="2"/>
  <c r="CJ11" i="2" s="1"/>
  <c r="N15" i="2"/>
  <c r="O12" i="2"/>
  <c r="CJ10" i="2" s="1"/>
  <c r="O14" i="2"/>
  <c r="CK28" i="2"/>
  <c r="O6" i="2"/>
  <c r="CJ48" i="2"/>
  <c r="N85" i="2"/>
  <c r="CI49" i="2"/>
  <c r="O85" i="2"/>
  <c r="CI28" i="2"/>
  <c r="CJ53" i="2"/>
  <c r="O93" i="2"/>
  <c r="CI52" i="2" s="1"/>
  <c r="CK51" i="2"/>
  <c r="O92" i="2"/>
  <c r="CI50" i="2" s="1"/>
  <c r="CK46" i="2"/>
  <c r="N84" i="2"/>
  <c r="CI47" i="2"/>
  <c r="O84" i="2"/>
  <c r="CJ45" i="2"/>
  <c r="O77" i="2"/>
  <c r="CI44" i="2" s="1"/>
  <c r="N77" i="2"/>
  <c r="O76" i="2"/>
  <c r="CI42" i="2" s="1"/>
  <c r="N76" i="2"/>
  <c r="CK43" i="2" s="1"/>
  <c r="N5" i="2"/>
  <c r="CJ41" i="2"/>
  <c r="O69" i="2"/>
  <c r="CK40" i="2" s="1"/>
  <c r="CI32" i="2"/>
  <c r="N53" i="2"/>
  <c r="CI36" i="2"/>
  <c r="N61" i="2"/>
  <c r="O61" i="2"/>
  <c r="CJ36" i="2" s="1"/>
  <c r="O52" i="2"/>
  <c r="N52" i="2"/>
  <c r="O60" i="2"/>
  <c r="CJ34" i="2" s="1"/>
  <c r="N60" i="2"/>
  <c r="CJ35" i="2" s="1"/>
  <c r="CJ24" i="2"/>
  <c r="N37" i="2"/>
  <c r="CK25" i="2" s="1"/>
  <c r="O37" i="2"/>
  <c r="CI24" i="2" s="1"/>
  <c r="CI27" i="2"/>
  <c r="O44" i="2"/>
  <c r="CJ26" i="2" s="1"/>
  <c r="CI45" i="2"/>
  <c r="N29" i="2"/>
  <c r="CK45" i="2"/>
  <c r="CI8" i="2"/>
  <c r="CK17" i="2"/>
  <c r="O21" i="2"/>
  <c r="CJ16" i="2"/>
  <c r="N21"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K42" i="2"/>
  <c r="CK34" i="2"/>
  <c r="CK7" i="2"/>
  <c r="CI9" i="2"/>
  <c r="CJ47" i="2"/>
  <c r="CL16" i="2"/>
  <c r="CJ46" i="2"/>
  <c r="CK48" i="2"/>
  <c r="CK24" i="2"/>
  <c r="CI17" i="2"/>
  <c r="CK15" i="2"/>
  <c r="CJ27" i="2"/>
  <c r="CK13" i="2"/>
  <c r="CK27" i="2"/>
  <c r="CK16" i="2"/>
  <c r="CI46" i="2"/>
  <c r="CI51" i="2"/>
  <c r="CI48" i="2"/>
  <c r="CL48" i="2" s="1"/>
  <c r="CJ17" i="2"/>
  <c r="CJ51" i="2"/>
  <c r="CK35" i="2"/>
  <c r="CJ9" i="2"/>
  <c r="CJ42" i="2"/>
  <c r="CI19" i="2"/>
  <c r="CK31" i="2"/>
  <c r="CK9" i="2"/>
  <c r="CI30" i="2"/>
  <c r="CK14" i="2"/>
  <c r="CI23" i="2"/>
  <c r="CJ23" i="2"/>
  <c r="CK23" i="2"/>
  <c r="CI37" i="2"/>
  <c r="CI38" i="2"/>
  <c r="CJ38" i="2"/>
  <c r="CK38" i="2"/>
  <c r="CJ40" i="2"/>
  <c r="CI40" i="2"/>
  <c r="CJ52" i="2"/>
  <c r="CK52" i="2"/>
  <c r="CK50" i="2"/>
  <c r="CJ50" i="2"/>
  <c r="CI21" i="2"/>
  <c r="CK21" i="2"/>
  <c r="CJ21" i="2"/>
  <c r="CJ22" i="2"/>
  <c r="CI22" i="2"/>
  <c r="CK22" i="2"/>
  <c r="CI29" i="2"/>
  <c r="CK29" i="2"/>
  <c r="CJ29" i="2"/>
  <c r="CJ33" i="2"/>
  <c r="CI33" i="2"/>
  <c r="CK33" i="2"/>
  <c r="CK11" i="2"/>
  <c r="CK39" i="2"/>
  <c r="CJ39" i="2"/>
  <c r="CI39" i="2"/>
  <c r="CI26" i="2"/>
  <c r="CK26" i="2"/>
  <c r="CL28" i="2"/>
  <c r="CJ30" i="2" l="1"/>
  <c r="CL30" i="2" s="1"/>
  <c r="CJ37" i="2"/>
  <c r="CL37" i="2" s="1"/>
  <c r="CI14" i="2"/>
  <c r="CL14" i="2" s="1"/>
  <c r="CJ31" i="2"/>
  <c r="CL31" i="2" s="1"/>
  <c r="CI41" i="2"/>
  <c r="CL41" i="2" s="1"/>
  <c r="CL43" i="2"/>
  <c r="CJ7" i="2"/>
  <c r="CL7" i="2" s="1"/>
  <c r="CL47" i="2"/>
  <c r="CL42" i="2"/>
  <c r="CL36" i="2"/>
  <c r="CL44" i="2"/>
  <c r="CL45" i="2"/>
  <c r="CL24" i="2"/>
  <c r="CL25" i="2"/>
  <c r="CL27" i="2"/>
  <c r="CL32" i="2"/>
  <c r="CL35" i="2"/>
  <c r="CL34" i="2"/>
  <c r="CL8" i="2"/>
  <c r="CL18" i="2"/>
  <c r="CL6" i="2"/>
  <c r="CL15" i="2"/>
  <c r="CL13" i="2"/>
  <c r="CL46" i="2"/>
  <c r="CL12" i="2"/>
  <c r="CL9" i="2"/>
  <c r="CL19" i="2"/>
  <c r="CL17" i="2"/>
  <c r="CL51" i="2"/>
  <c r="CL26" i="2"/>
  <c r="CL39" i="2"/>
  <c r="CL23" i="2"/>
  <c r="CL33" i="2"/>
  <c r="CL20" i="2"/>
  <c r="CL38"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Q65" i="2" s="1"/>
  <c r="CN32" i="2"/>
  <c r="R56" i="2" s="1"/>
  <c r="CN45" i="2"/>
  <c r="Q81" i="2" s="1"/>
  <c r="CN53" i="2"/>
  <c r="Q96" i="2" s="1"/>
  <c r="CN18" i="2"/>
  <c r="R32" i="2" s="1"/>
  <c r="CN33" i="2"/>
  <c r="Q57" i="2" s="1"/>
  <c r="CN30" i="2"/>
  <c r="R57" i="2" s="1"/>
  <c r="CN28" i="2"/>
  <c r="R48" i="2" s="1"/>
  <c r="CN36" i="2"/>
  <c r="R64" i="2" s="1"/>
  <c r="CN24" i="2"/>
  <c r="R40" i="2" s="1"/>
  <c r="CN48" i="2"/>
  <c r="R89" i="2" s="1"/>
  <c r="CN34" i="2"/>
  <c r="R65" i="2" s="1"/>
  <c r="CN13" i="2"/>
  <c r="Q16" i="2" s="1"/>
  <c r="CN51" i="2"/>
  <c r="Q97" i="2" s="1"/>
  <c r="CN43" i="2"/>
  <c r="Q80" i="2" s="1"/>
  <c r="CN15" i="2"/>
  <c r="Q25" i="2" s="1"/>
  <c r="CN14" i="2"/>
  <c r="R24" i="2" s="1"/>
  <c r="CN40" i="2"/>
  <c r="R73" i="2" s="1"/>
  <c r="CN26" i="2"/>
  <c r="R49" i="2" s="1"/>
  <c r="CN31" i="2"/>
  <c r="Q56" i="2" s="1"/>
  <c r="CN38" i="2"/>
  <c r="R72" i="2" s="1"/>
  <c r="CN21" i="2"/>
  <c r="Q32" i="2" s="1"/>
  <c r="CN23" i="2"/>
  <c r="Q40" i="2" s="1"/>
  <c r="CN17" i="2"/>
  <c r="Q24" i="2" s="1"/>
  <c r="CN20" i="2"/>
  <c r="R33" i="2" s="1"/>
  <c r="CN35" i="2"/>
  <c r="Q64" i="2" s="1"/>
  <c r="CN44" i="2"/>
  <c r="R80" i="2" s="1"/>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Q78" i="2" l="1"/>
  <c r="R81" i="2"/>
  <c r="R47" i="2"/>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R6" i="2"/>
  <c r="Q9" i="2"/>
  <c r="CO47" i="2"/>
  <c r="CP47" i="2"/>
  <c r="R9" i="2"/>
  <c r="Q5" i="2"/>
  <c r="R7" i="2"/>
  <c r="CO18" i="2"/>
  <c r="CP18" i="2"/>
  <c r="CO53" i="2"/>
  <c r="CP53" i="2"/>
  <c r="CP24" i="2"/>
  <c r="CO24"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31" i="2" l="1"/>
  <c r="CQ31" i="2" s="1"/>
  <c r="CO36" i="2"/>
  <c r="CP36" i="2"/>
  <c r="CP19" i="2"/>
  <c r="CO43" i="2"/>
  <c r="CP37" i="2"/>
  <c r="CP39" i="2"/>
  <c r="CP44" i="2"/>
  <c r="CQ44" i="2" s="1"/>
  <c r="CO40" i="2"/>
  <c r="CP20" i="2"/>
  <c r="CP11" i="2"/>
  <c r="CP32" i="2"/>
  <c r="CP41" i="2"/>
  <c r="CP38" i="2"/>
  <c r="CO52" i="2"/>
  <c r="CQ52" i="2" s="1"/>
  <c r="CO32" i="2"/>
  <c r="CO20" i="2"/>
  <c r="CP50" i="2"/>
  <c r="CQ50" i="2" s="1"/>
  <c r="CO23" i="2"/>
  <c r="CQ23" i="2" s="1"/>
  <c r="CO19" i="2"/>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49" i="2"/>
  <c r="CQ53" i="2"/>
  <c r="CQ48" i="2"/>
  <c r="CQ17" i="2"/>
  <c r="CQ28" i="2"/>
  <c r="CQ18" i="2"/>
  <c r="CO9" i="2"/>
  <c r="CQ35" i="2"/>
  <c r="CQ24" i="2"/>
  <c r="CQ47" i="2"/>
  <c r="CP9" i="2"/>
  <c r="CQ22" i="2"/>
  <c r="CQ13" i="2"/>
  <c r="CQ21" i="2"/>
  <c r="CQ34" i="2"/>
  <c r="CQ51" i="2"/>
  <c r="CQ46" i="2"/>
  <c r="CQ45" i="2"/>
  <c r="CQ33" i="2"/>
  <c r="CQ36" i="2" l="1"/>
  <c r="CQ19" i="2"/>
  <c r="CQ43" i="2"/>
  <c r="CQ37" i="2"/>
  <c r="CQ40" i="2"/>
  <c r="CQ20" i="2"/>
  <c r="CQ11" i="2"/>
  <c r="CQ41" i="2"/>
  <c r="CQ32" i="2"/>
  <c r="CQ38" i="2"/>
  <c r="CQ26" i="2"/>
  <c r="CQ15" i="2"/>
  <c r="CQ14" i="2"/>
  <c r="CQ30" i="2"/>
  <c r="CQ10" i="2"/>
  <c r="CQ9" i="2"/>
  <c r="CR44" i="2" l="1"/>
  <c r="CR50" i="2"/>
  <c r="CR19" i="2"/>
  <c r="CR43" i="2"/>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T79" i="2" l="1"/>
  <c r="T81" i="2"/>
  <c r="T78" i="2"/>
  <c r="U81" i="2"/>
  <c r="U79" i="2"/>
  <c r="T80" i="2"/>
  <c r="U78" i="2"/>
  <c r="U80" i="2"/>
  <c r="U95" i="2"/>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U76" i="2"/>
  <c r="CT42" i="2" s="1"/>
  <c r="T76" i="2"/>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T29" i="2"/>
  <c r="CT21" i="2" s="1"/>
  <c r="CT17" i="2"/>
  <c r="U21" i="2"/>
  <c r="CT16" i="2"/>
  <c r="T21" i="2"/>
  <c r="U20" i="2"/>
  <c r="T20" i="2"/>
  <c r="T13" i="2"/>
  <c r="CT13" i="2" s="1"/>
  <c r="U5" i="2"/>
  <c r="CT8" i="2" s="1"/>
  <c r="U13" i="2"/>
  <c r="CT12" i="2" s="1"/>
  <c r="U28" i="2"/>
  <c r="CT18" i="2" s="1"/>
  <c r="T28" i="2"/>
  <c r="U12" i="2"/>
  <c r="T12" i="2"/>
  <c r="T9" i="2"/>
  <c r="U8" i="2"/>
  <c r="T8" i="2"/>
  <c r="U6" i="2"/>
  <c r="U9" i="2"/>
  <c r="T5" i="2"/>
  <c r="CT6" i="2"/>
  <c r="T4" i="2"/>
  <c r="CT7" i="2" s="1"/>
  <c r="CT44" i="2" l="1"/>
  <c r="CT19" i="2"/>
  <c r="CT43" i="2"/>
  <c r="CT20" i="2"/>
  <c r="CT36" i="2"/>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W9" i="2" s="1"/>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4" i="2" l="1"/>
  <c r="AU80" i="2" s="1"/>
  <c r="DL45" i="2"/>
  <c r="AU81" i="2" s="1"/>
  <c r="DL42" i="2"/>
  <c r="AU78" i="2" s="1"/>
  <c r="DL43" i="2"/>
  <c r="AU79" i="2" s="1"/>
  <c r="DL51" i="2"/>
  <c r="AU95" i="2" s="1"/>
  <c r="DL52" i="2"/>
  <c r="AU96" i="2" s="1"/>
  <c r="DL53" i="2"/>
  <c r="AU97" i="2" s="1"/>
  <c r="DL50" i="2"/>
  <c r="AU94"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42" i="2" l="1"/>
  <c r="DN45" i="2" a="1"/>
  <c r="DN45" i="2" s="1"/>
  <c r="DM45" i="2"/>
  <c r="DM43" i="2"/>
  <c r="DN43" i="2" a="1"/>
  <c r="DN43" i="2" s="1"/>
  <c r="DM44" i="2"/>
  <c r="DN44" i="2" a="1"/>
  <c r="DN44" i="2" s="1"/>
  <c r="DN51" i="2" a="1"/>
  <c r="DN51" i="2" s="1"/>
  <c r="DN42" i="2" a="1"/>
  <c r="DN42" i="2" s="1"/>
  <c r="DN46" i="2" a="1"/>
  <c r="DN46" i="2" s="1"/>
  <c r="DM51" i="2"/>
  <c r="DM46" i="2"/>
  <c r="DN48" i="2" a="1"/>
  <c r="DN48" i="2" s="1"/>
  <c r="DM52" i="2"/>
  <c r="DM53" i="2"/>
  <c r="DM50" i="2"/>
  <c r="AU77" i="2"/>
  <c r="AV76" i="2" s="1"/>
  <c r="DN52" i="2" a="1"/>
  <c r="DN52" i="2" s="1"/>
  <c r="DN50" i="2" a="1"/>
  <c r="DN50" i="2" s="1"/>
  <c r="DN53" i="2" a="1"/>
  <c r="DN53" i="2" s="1"/>
  <c r="AU93" i="2"/>
  <c r="AV92" i="2" s="1"/>
  <c r="DM48" i="2"/>
  <c r="DM49" i="2"/>
  <c r="DN47" i="2"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AL87" i="2"/>
  <c r="M111" i="2" s="1"/>
  <c r="AA112" i="2" s="1"/>
  <c r="D112" i="2" s="1"/>
  <c r="BJ66" i="2"/>
  <c r="BJ63" i="2"/>
  <c r="BJ62" i="2"/>
  <c r="AL17" i="2"/>
  <c r="AL73" i="2"/>
  <c r="BK67" i="2"/>
  <c r="AL79" i="2"/>
  <c r="N112" i="2" s="1"/>
  <c r="AF111" i="2" s="1"/>
  <c r="BJ68" i="2"/>
  <c r="AL70" i="2"/>
  <c r="M105" i="2" s="1"/>
  <c r="AA106" i="2" s="1"/>
  <c r="D106" i="2" s="1"/>
  <c r="AL71" i="2"/>
  <c r="N106" i="2" s="1"/>
  <c r="AF105" i="2" s="1"/>
  <c r="D105" i="2" s="1"/>
  <c r="AL14" i="2"/>
  <c r="M113" i="2" s="1"/>
  <c r="AA113" i="2" s="1"/>
  <c r="D113" i="2" s="1"/>
  <c r="BH65" i="2"/>
  <c r="AL25" i="2"/>
  <c r="BD61" i="2"/>
  <c r="AL30" i="2"/>
  <c r="M109" i="2" s="1"/>
  <c r="AA110" i="2" s="1"/>
  <c r="D110" i="2" s="1"/>
  <c r="BJ67" i="2"/>
  <c r="BK59" i="2"/>
  <c r="BI64" i="2"/>
  <c r="BI60" i="2"/>
  <c r="AL22" i="2"/>
  <c r="M104" i="2" s="1"/>
  <c r="AA102" i="2" s="1"/>
  <c r="D102" i="2" s="1"/>
  <c r="AL46" i="2"/>
  <c r="M103" i="2" s="1"/>
  <c r="AA104" i="2" s="1"/>
  <c r="BG67" i="2"/>
  <c r="BH59" i="2"/>
  <c r="BI67" i="2"/>
  <c r="AL64" i="2"/>
  <c r="BG68" i="2"/>
  <c r="AL95" i="2"/>
  <c r="N111" i="2" s="1"/>
  <c r="AF112" i="2" s="1"/>
  <c r="BG65" i="2"/>
  <c r="BH69" i="2"/>
  <c r="AL23" i="2"/>
  <c r="N103" i="2" s="1"/>
  <c r="AF104" i="2" s="1"/>
  <c r="D104" i="2" s="1"/>
  <c r="AL86" i="2"/>
  <c r="M115" i="2" s="1"/>
  <c r="AA116" i="2" s="1"/>
  <c r="D116" i="2" s="1"/>
  <c r="BK66" i="2"/>
  <c r="BI59" i="2"/>
  <c r="BJ65" i="2"/>
  <c r="BG64" i="2"/>
  <c r="BI61" i="2"/>
  <c r="BG63" i="2"/>
  <c r="AL16" i="2"/>
  <c r="BD59" i="2"/>
  <c r="AL24" i="2"/>
  <c r="BK63" i="2"/>
  <c r="BH62" i="2"/>
  <c r="AL15" i="2"/>
  <c r="N101" i="2" s="1"/>
  <c r="AF101" i="2" s="1"/>
  <c r="D101" i="2" s="1"/>
  <c r="AL49" i="2"/>
  <c r="BG62" i="2"/>
  <c r="BG59" i="2"/>
  <c r="AL65" i="2"/>
  <c r="BD62" i="2"/>
  <c r="BH66" i="2"/>
  <c r="AL55" i="2"/>
  <c r="N116" i="2" s="1"/>
  <c r="AF114" i="2" s="1"/>
  <c r="D114" i="2" s="1"/>
  <c r="AL41" i="2"/>
  <c r="BD65" i="2"/>
  <c r="AL40" i="2"/>
  <c r="AL96" i="2"/>
  <c r="AL62" i="2"/>
  <c r="M112" i="2" s="1"/>
  <c r="AA111" i="2" s="1"/>
  <c r="D111" i="2" s="1"/>
  <c r="BI68" i="2"/>
  <c r="AL63" i="2"/>
  <c r="N114" i="2" s="1"/>
  <c r="AF115" i="2" s="1"/>
  <c r="BD60" i="2"/>
  <c r="BH67" i="2"/>
  <c r="BH63" i="2"/>
  <c r="AL48" i="2"/>
  <c r="AL88" i="2"/>
  <c r="AL56" i="2"/>
  <c r="AL47" i="2"/>
  <c r="N104" i="2" s="1"/>
  <c r="AF102" i="2" s="1"/>
  <c r="AL94" i="2"/>
  <c r="M108" i="2" s="1"/>
  <c r="AA108" i="2" s="1"/>
  <c r="D108" i="2" s="1"/>
  <c r="BK69" i="2"/>
  <c r="BD67" i="2"/>
  <c r="BI63" i="2"/>
  <c r="BD63" i="2"/>
  <c r="AL72" i="2"/>
  <c r="BK60" i="2"/>
  <c r="AL57" i="2"/>
  <c r="BG60" i="2"/>
  <c r="BH61" i="2"/>
  <c r="AL80" i="2"/>
  <c r="BK64" i="2"/>
  <c r="BK61" i="2"/>
  <c r="BH64" i="2"/>
  <c r="BD64" i="2"/>
  <c r="AL81" i="2"/>
  <c r="BJ60" i="2"/>
  <c r="AL32" i="2"/>
  <c r="BK68" i="2"/>
  <c r="BJ61" i="2"/>
  <c r="AL78" i="2"/>
  <c r="M114" i="2" s="1"/>
  <c r="AA115" i="2" s="1"/>
  <c r="D115" i="2" s="1"/>
  <c r="AL54" i="2"/>
  <c r="M110" i="2" s="1"/>
  <c r="AA109" i="2" s="1"/>
  <c r="D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AG116" i="2" l="1"/>
  <c r="N127" i="2"/>
  <c r="AF127" i="2" s="1"/>
  <c r="AG114" i="2"/>
  <c r="N126" i="2"/>
  <c r="AF126" i="2" s="1"/>
  <c r="AG104" i="2"/>
  <c r="N121" i="2"/>
  <c r="AF120" i="2" s="1"/>
  <c r="D120" i="2" s="1"/>
  <c r="AG115" i="2"/>
  <c r="M126" i="2"/>
  <c r="AA126" i="2" s="1"/>
  <c r="D126" i="2" s="1"/>
  <c r="M127" i="2"/>
  <c r="AA127" i="2" s="1"/>
  <c r="D127" i="2" s="1"/>
  <c r="AG113" i="2"/>
  <c r="M124" i="2"/>
  <c r="AA124" i="2" s="1"/>
  <c r="AG112" i="2"/>
  <c r="N124" i="2"/>
  <c r="AF124" i="2" s="1"/>
  <c r="D124" i="2" s="1"/>
  <c r="AG111" i="2"/>
  <c r="M125" i="2"/>
  <c r="AA125" i="2" s="1"/>
  <c r="AG110" i="2"/>
  <c r="N125" i="2"/>
  <c r="AF125" i="2" s="1"/>
  <c r="AG109" i="2"/>
  <c r="N123" i="2"/>
  <c r="AF123" i="2" s="1"/>
  <c r="D123" i="2" s="1"/>
  <c r="AG108" i="2"/>
  <c r="AG106" i="2"/>
  <c r="N120" i="2"/>
  <c r="AF121" i="2" s="1"/>
  <c r="D121" i="2" s="1"/>
  <c r="AG105" i="2"/>
  <c r="N122" i="2"/>
  <c r="AF122" i="2" s="1"/>
  <c r="D122" i="2" s="1"/>
  <c r="M122" i="2"/>
  <c r="AA122" i="2" s="1"/>
  <c r="AG102" i="2"/>
  <c r="M121" i="2"/>
  <c r="AA120" i="2" s="1"/>
  <c r="AG101" i="2"/>
  <c r="M107" i="2"/>
  <c r="AA107" i="2" s="1"/>
  <c r="C156" i="3"/>
  <c r="AA19" i="4"/>
  <c r="C144" i="3"/>
  <c r="AA39" i="4"/>
  <c r="AA36" i="4"/>
  <c r="C137" i="3"/>
  <c r="AA16" i="4"/>
  <c r="C157" i="3"/>
  <c r="C141" i="3"/>
  <c r="B175" i="3"/>
  <c r="C175" i="3"/>
  <c r="AA15" i="4"/>
  <c r="AA48" i="4"/>
  <c r="C145" i="3"/>
  <c r="C135" i="3"/>
  <c r="AA6" i="4"/>
  <c r="C150" i="3"/>
  <c r="AA31" i="4"/>
  <c r="C178" i="3"/>
  <c r="B178" i="3"/>
  <c r="C160" i="3"/>
  <c r="AA40" i="4"/>
  <c r="C174" i="3"/>
  <c r="AA18" i="4"/>
  <c r="C140" i="3"/>
  <c r="B174" i="3"/>
  <c r="C138" i="3"/>
  <c r="AA24" i="4"/>
  <c r="C159" i="3"/>
  <c r="AA43" i="4"/>
  <c r="B177" i="3"/>
  <c r="C177" i="3"/>
  <c r="C143" i="3"/>
  <c r="AA42" i="4"/>
  <c r="AA21" i="4"/>
  <c r="C139" i="3"/>
  <c r="B168" i="3"/>
  <c r="AA30" i="4"/>
  <c r="C134" i="3"/>
  <c r="C168" i="3"/>
  <c r="C132" i="3"/>
  <c r="AA3" i="4"/>
  <c r="AA12" i="4"/>
  <c r="C133" i="3"/>
  <c r="C147" i="3"/>
  <c r="AA28" i="4"/>
  <c r="C165" i="3"/>
  <c r="B165" i="3"/>
  <c r="C131" i="3"/>
  <c r="AA27" i="4"/>
  <c r="C167" i="3"/>
  <c r="B167" i="3"/>
  <c r="C149" i="3"/>
  <c r="AA13" i="4"/>
  <c r="C142" i="3"/>
  <c r="AA45" i="4"/>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N134" i="2" l="1"/>
  <c r="AF134" i="2" s="1"/>
  <c r="AG127" i="2"/>
  <c r="M134" i="2"/>
  <c r="AA134" i="2" s="1"/>
  <c r="D134" i="2" s="1"/>
  <c r="AG126" i="2"/>
  <c r="D125" i="2"/>
  <c r="N132" i="2" s="1"/>
  <c r="AF132" i="2" s="1"/>
  <c r="AG124" i="2"/>
  <c r="M132" i="2"/>
  <c r="AA132" i="2" s="1"/>
  <c r="D132" i="2" s="1"/>
  <c r="AG123" i="2"/>
  <c r="N133" i="2"/>
  <c r="AF133" i="2" s="1"/>
  <c r="D133" i="2" s="1"/>
  <c r="AG122" i="2"/>
  <c r="M133" i="2"/>
  <c r="AA133" i="2" s="1"/>
  <c r="AG121" i="2"/>
  <c r="M131" i="2"/>
  <c r="AA131" i="2" s="1"/>
  <c r="D131" i="2" s="1"/>
  <c r="N131" i="2"/>
  <c r="AF131" i="2" s="1"/>
  <c r="AG120" i="2"/>
  <c r="C197" i="3"/>
  <c r="AE47" i="4"/>
  <c r="C196" i="3"/>
  <c r="AE41" i="4"/>
  <c r="C190" i="3"/>
  <c r="AE11" i="4"/>
  <c r="AE40" i="4"/>
  <c r="B206" i="3"/>
  <c r="C206" i="3"/>
  <c r="C188" i="3"/>
  <c r="C189" i="3"/>
  <c r="AE46" i="4"/>
  <c r="B207" i="3"/>
  <c r="C207" i="3"/>
  <c r="AE16" i="4"/>
  <c r="C186" i="3"/>
  <c r="C194" i="3"/>
  <c r="AE17" i="4"/>
  <c r="C204" i="3"/>
  <c r="B204" i="3"/>
  <c r="AE22" i="4"/>
  <c r="C187" i="3"/>
  <c r="C195" i="3"/>
  <c r="B205" i="3"/>
  <c r="C205" i="3"/>
  <c r="AE23" i="4"/>
  <c r="C193" i="3"/>
  <c r="AE35" i="4"/>
  <c r="C136" i="3"/>
  <c r="D107" i="2"/>
  <c r="C191" i="3"/>
  <c r="AE5" i="4"/>
  <c r="C192" i="3"/>
  <c r="AE29" i="4"/>
  <c r="AE28" i="4"/>
  <c r="C184" i="3"/>
  <c r="C202" i="3"/>
  <c r="B202" i="3"/>
  <c r="AE10" i="4"/>
  <c r="C200" i="3"/>
  <c r="C182" i="3"/>
  <c r="B200" i="3"/>
  <c r="AA33" i="4"/>
  <c r="K4" i="4"/>
  <c r="K5" i="4"/>
  <c r="C130" i="3"/>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AG134" i="2" l="1"/>
  <c r="N139" i="2"/>
  <c r="AF139" i="2" s="1"/>
  <c r="M139" i="2"/>
  <c r="AA139" i="2" s="1"/>
  <c r="AG133" i="2"/>
  <c r="AG132" i="2"/>
  <c r="N138" i="2"/>
  <c r="AF138" i="2" s="1"/>
  <c r="M138" i="2"/>
  <c r="AA138" i="2" s="1"/>
  <c r="AG131" i="2"/>
  <c r="C217" i="3"/>
  <c r="AI44" i="4"/>
  <c r="AI43" i="4"/>
  <c r="C213" i="3"/>
  <c r="B223" i="3"/>
  <c r="C223" i="3"/>
  <c r="AG125" i="2"/>
  <c r="C215" i="3"/>
  <c r="AI20" i="4"/>
  <c r="C211" i="3"/>
  <c r="AI19" i="4"/>
  <c r="B221" i="3"/>
  <c r="C221" i="3"/>
  <c r="C216" i="3"/>
  <c r="AI32" i="4"/>
  <c r="AI31" i="4"/>
  <c r="C212" i="3"/>
  <c r="C222" i="3"/>
  <c r="B222" i="3"/>
  <c r="AI7" i="4"/>
  <c r="C210" i="3"/>
  <c r="C214" i="3"/>
  <c r="AI8" i="4"/>
  <c r="B220" i="3"/>
  <c r="C220" i="3"/>
  <c r="M123" i="2"/>
  <c r="AA123" i="2" s="1"/>
  <c r="AG107" i="2"/>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C229" i="3" l="1"/>
  <c r="AM38" i="4" a="1"/>
  <c r="AM38" i="4" s="1"/>
  <c r="C227" i="3"/>
  <c r="AM37" i="4"/>
  <c r="B233" i="3"/>
  <c r="C233" i="3"/>
  <c r="C228" i="3"/>
  <c r="AM14" i="4"/>
  <c r="C226" i="3"/>
  <c r="AM13" i="4"/>
  <c r="C232" i="3"/>
  <c r="B232" i="3"/>
  <c r="AE34" i="4"/>
  <c r="C185" i="3"/>
  <c r="C203" i="3"/>
  <c r="B203" i="3"/>
  <c r="BU63" i="2"/>
  <c r="BV63" i="2" s="1"/>
  <c r="BV58" i="2"/>
  <c r="BV60" i="2"/>
  <c r="BV69" i="2"/>
  <c r="BL8" i="4" l="1"/>
  <c r="BK8" i="4" s="1"/>
  <c r="BL24" i="4"/>
  <c r="BK24" i="4" s="1"/>
  <c r="BL44" i="4"/>
  <c r="BK44" i="4" s="1"/>
  <c r="BL32" i="4"/>
  <c r="BK32" i="4" s="1"/>
  <c r="BL45" i="4"/>
  <c r="BK45" i="4" s="1"/>
  <c r="BL29" i="4"/>
  <c r="BK29" i="4" s="1"/>
  <c r="BL18" i="4"/>
  <c r="BK18" i="4" s="1"/>
  <c r="BL50" i="4"/>
  <c r="BK50" i="4" s="1"/>
  <c r="BL17" i="4"/>
  <c r="BK17" i="4" s="1"/>
  <c r="BL49" i="4"/>
  <c r="BK49" i="4" s="1"/>
  <c r="BL35" i="4"/>
  <c r="BK35" i="4" s="1"/>
  <c r="BL16" i="4"/>
  <c r="BK16" i="4" s="1"/>
  <c r="BL36" i="4"/>
  <c r="BK36" i="4" s="1"/>
  <c r="BL40" i="4"/>
  <c r="BK40" i="4" s="1"/>
  <c r="BL14" i="4"/>
  <c r="BK14" i="4" s="1"/>
  <c r="BL39" i="4"/>
  <c r="BK39" i="4" s="1"/>
  <c r="BL28" i="4"/>
  <c r="BK28" i="4" s="1"/>
  <c r="BL47" i="4"/>
  <c r="BK47" i="4" s="1"/>
  <c r="BL25" i="4"/>
  <c r="BK25" i="4" s="1"/>
  <c r="BL9" i="4"/>
  <c r="BK9" i="4" s="1"/>
  <c r="BL7" i="4"/>
  <c r="BK7" i="4" s="1"/>
  <c r="BL37" i="4"/>
  <c r="BK37" i="4" s="1"/>
  <c r="BL33" i="4"/>
  <c r="BK33" i="4" s="1"/>
  <c r="BL20" i="4"/>
  <c r="BK20" i="4" s="1"/>
  <c r="BL5" i="4"/>
  <c r="BK5" i="4" s="1"/>
  <c r="BL4" i="4"/>
  <c r="BK4" i="4" s="1"/>
  <c r="BL34" i="4"/>
  <c r="BK34" i="4" s="1"/>
  <c r="BL6" i="4"/>
  <c r="BK6" i="4" s="1"/>
  <c r="BL43" i="4"/>
  <c r="BK43" i="4" s="1"/>
  <c r="BL22" i="4"/>
  <c r="BK22" i="4" s="1"/>
  <c r="BL31" i="4"/>
  <c r="BK31" i="4" s="1"/>
  <c r="BL13" i="4"/>
  <c r="BK13" i="4" s="1"/>
  <c r="BL46" i="4"/>
  <c r="BK46" i="4" s="1"/>
  <c r="BL23" i="4"/>
  <c r="BK23" i="4" s="1"/>
  <c r="BL19" i="4"/>
  <c r="BK19" i="4" s="1"/>
  <c r="BL38" i="4"/>
  <c r="BK38" i="4" s="1"/>
  <c r="BL30" i="4"/>
  <c r="BK30" i="4" s="1"/>
  <c r="BL41" i="4"/>
  <c r="BK41" i="4" s="1"/>
  <c r="BL27" i="4"/>
  <c r="BK27" i="4" s="1"/>
  <c r="BL48" i="4"/>
  <c r="BK48" i="4" s="1"/>
  <c r="BL26" i="4"/>
  <c r="BK26" i="4" s="1"/>
  <c r="BL11" i="4"/>
  <c r="BK11" i="4" s="1"/>
  <c r="BL21" i="4"/>
  <c r="BK21" i="4" s="1"/>
  <c r="BL10" i="4"/>
  <c r="BK10" i="4" s="1"/>
  <c r="BL51" i="4"/>
  <c r="BK51" i="4" s="1"/>
  <c r="BL12" i="4"/>
  <c r="BK12" i="4" s="1"/>
  <c r="BL42" i="4"/>
  <c r="BK42" i="4" s="1"/>
  <c r="BL15" i="4"/>
  <c r="BK15" i="4" s="1"/>
  <c r="BV61" i="2"/>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l="1"/>
  <c r="BY69" i="2"/>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Q63" i="2"/>
  <c r="DJ63" i="2" s="1"/>
  <c r="AV108" i="2"/>
  <c r="AV104" i="2"/>
  <c r="DQ65" i="2"/>
  <c r="DJ65" i="2" s="1"/>
  <c r="AV107" i="2"/>
  <c r="AV106" i="2"/>
  <c r="AV109" i="2"/>
  <c r="DQ60" i="2"/>
  <c r="DJ60" i="2" s="1"/>
  <c r="DQ62" i="2"/>
  <c r="DJ62" i="2" s="1"/>
  <c r="DQ59" i="2"/>
  <c r="DJ59" i="2" s="1"/>
  <c r="AV112" i="2"/>
  <c r="AV103" i="2"/>
  <c r="AV111" i="2"/>
  <c r="DQ61" i="2"/>
  <c r="DJ61" i="2" s="1"/>
  <c r="DQ64" i="2"/>
  <c r="DJ64" i="2" s="1"/>
  <c r="AV110" i="2"/>
  <c r="DQ69" i="2"/>
  <c r="DJ69" i="2" s="1"/>
  <c r="AV113" i="2"/>
  <c r="DQ66" i="2"/>
  <c r="DJ66" i="2" s="1"/>
  <c r="DQ68" i="2"/>
  <c r="DJ68" i="2" s="1"/>
  <c r="AV105" i="2"/>
  <c r="DQ67" i="2"/>
  <c r="DJ67" i="2" s="1"/>
  <c r="DL67" i="2" l="1"/>
  <c r="AU111" i="2" s="1"/>
  <c r="DL66" i="2"/>
  <c r="AU110" i="2" s="1"/>
  <c r="DL62" i="2"/>
  <c r="AU106" i="2" s="1"/>
  <c r="DL59" i="2"/>
  <c r="AU103" i="2" s="1"/>
  <c r="DL68" i="2"/>
  <c r="AU112" i="2" s="1"/>
  <c r="DL69" i="2"/>
  <c r="AU113" i="2" s="1"/>
  <c r="DL64" i="2"/>
  <c r="AU108" i="2" s="1"/>
  <c r="DL58" i="2"/>
  <c r="AU102" i="2" s="1"/>
  <c r="DL60" i="2"/>
  <c r="AU104" i="2" s="1"/>
  <c r="DL65" i="2"/>
  <c r="AU109" i="2" s="1"/>
  <c r="DL61" i="2"/>
  <c r="AU105" i="2" s="1"/>
  <c r="DL63" i="2"/>
  <c r="AU107" i="2" s="1"/>
  <c r="CD65" i="2"/>
  <c r="CD58" i="2"/>
  <c r="CD63" i="2"/>
  <c r="CD60" i="2"/>
  <c r="CD61" i="2"/>
  <c r="CD68" i="2"/>
  <c r="CD64" i="2"/>
  <c r="CD59" i="2"/>
  <c r="CD62" i="2"/>
  <c r="CD67" i="2"/>
  <c r="CD69" i="2"/>
  <c r="CD66" i="2"/>
  <c r="DN67" i="2" l="1" a="1"/>
  <c r="DN67" i="2" s="1"/>
  <c r="DN66" i="2" a="1"/>
  <c r="DN66" i="2" s="1"/>
  <c r="DN62" i="2" a="1"/>
  <c r="DN62" i="2" s="1"/>
  <c r="DN59" i="2" a="1"/>
  <c r="DN59" i="2" s="1"/>
  <c r="DM60" i="2"/>
  <c r="DN64" i="2" a="1"/>
  <c r="DN64" i="2" s="1"/>
  <c r="DN69" i="2" a="1"/>
  <c r="DN69" i="2" s="1"/>
  <c r="DN61" i="2" a="1"/>
  <c r="DN61" i="2" s="1"/>
  <c r="DM61" i="2"/>
  <c r="DM65" i="2"/>
  <c r="DN60" i="2" a="1"/>
  <c r="DN60" i="2" s="1"/>
  <c r="DM62" i="2"/>
  <c r="DM63" i="2"/>
  <c r="DM68" i="2"/>
  <c r="DN63" i="2" a="1"/>
  <c r="DN63" i="2" s="1"/>
  <c r="DN58" i="2" a="1"/>
  <c r="DN58" i="2" s="1"/>
  <c r="DM66" i="2"/>
  <c r="DM69" i="2"/>
  <c r="DM59" i="2"/>
  <c r="DM58" i="2"/>
  <c r="DN68" i="2" a="1"/>
  <c r="DN68" i="2" s="1"/>
  <c r="DN65" i="2" a="1"/>
  <c r="DN65" i="2" s="1"/>
  <c r="AU101" i="2"/>
  <c r="AV100" i="2" s="1"/>
  <c r="DM64" i="2"/>
  <c r="DM67" i="2"/>
  <c r="CE68" i="2"/>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N109" i="2" l="1"/>
  <c r="AF110" i="2" s="1"/>
  <c r="N108" i="2"/>
  <c r="AF108" i="2" s="1"/>
  <c r="N105" i="2"/>
  <c r="AF106" i="2" s="1"/>
  <c r="N110" i="2"/>
  <c r="AF109" i="2" s="1"/>
  <c r="N113" i="2"/>
  <c r="AF113" i="2" s="1"/>
  <c r="N102" i="2"/>
  <c r="AF103" i="2" s="1"/>
  <c r="D103" i="2" s="1"/>
  <c r="N107" i="2"/>
  <c r="AF107" i="2" s="1"/>
  <c r="N115" i="2"/>
  <c r="AF116" i="2" s="1"/>
  <c r="B497" i="6"/>
  <c r="BG122" i="2" s="1"/>
  <c r="AZ108" i="2" s="1"/>
  <c r="BG121" i="2"/>
  <c r="AZ107" i="2" s="1"/>
  <c r="BG124" i="2"/>
  <c r="AZ110" i="2" s="1"/>
  <c r="BG119" i="2"/>
  <c r="AZ105" i="2" s="1"/>
  <c r="BG117" i="2"/>
  <c r="AZ103" i="2" s="1"/>
  <c r="BG120" i="2"/>
  <c r="AZ106" i="2" s="1"/>
  <c r="BG123" i="2"/>
  <c r="AZ109" i="2" s="1"/>
  <c r="BG118" i="2"/>
  <c r="AZ104" i="2" s="1"/>
  <c r="M120" i="2" l="1"/>
  <c r="AA121" i="2" s="1"/>
  <c r="AG103" i="2"/>
  <c r="C158" i="3"/>
  <c r="AA46" i="4"/>
  <c r="B176" i="3"/>
  <c r="C176" i="3"/>
  <c r="C148" i="3"/>
  <c r="AA4" i="4"/>
  <c r="C166" i="3"/>
  <c r="B166" i="3"/>
  <c r="C161" i="3"/>
  <c r="AA49" i="4"/>
  <c r="B179" i="3"/>
  <c r="C179" i="3"/>
  <c r="C154" i="3"/>
  <c r="AA25" i="4"/>
  <c r="B172" i="3"/>
  <c r="C172" i="3"/>
  <c r="C151" i="3"/>
  <c r="AA7" i="4"/>
  <c r="B169" i="3"/>
  <c r="C169" i="3"/>
  <c r="C152" i="3"/>
  <c r="AA34" i="4"/>
  <c r="B170" i="3"/>
  <c r="C170" i="3"/>
  <c r="C153" i="3"/>
  <c r="AA37" i="4"/>
  <c r="B171" i="3"/>
  <c r="C171" i="3"/>
  <c r="C155" i="3"/>
  <c r="AA22" i="4"/>
  <c r="B173" i="3"/>
  <c r="C173" i="3"/>
  <c r="AE4" i="4" l="1"/>
  <c r="C183" i="3"/>
  <c r="C201" i="3"/>
  <c r="B201" i="3"/>
  <c r="BJ8" i="4" l="1"/>
  <c r="BI8" i="4" s="1"/>
  <c r="BH8" i="4" s="1"/>
  <c r="BJ11" i="4"/>
  <c r="BI11" i="4" s="1"/>
  <c r="BH11" i="4" s="1"/>
  <c r="BJ28" i="4"/>
  <c r="BI28" i="4" s="1"/>
  <c r="BH28" i="4" s="1"/>
  <c r="BJ35" i="4"/>
  <c r="BI35" i="4" s="1"/>
  <c r="BH35" i="4" s="1"/>
  <c r="BJ49" i="4"/>
  <c r="BI49" i="4" s="1"/>
  <c r="BH49" i="4" s="1"/>
  <c r="BJ48" i="4"/>
  <c r="BI48" i="4" s="1"/>
  <c r="BH48" i="4" s="1"/>
  <c r="BJ46" i="4"/>
  <c r="BI46" i="4" s="1"/>
  <c r="BH46" i="4" s="1"/>
  <c r="BJ34" i="4"/>
  <c r="BI34" i="4" s="1"/>
  <c r="BH34" i="4" s="1"/>
  <c r="BJ30" i="4"/>
  <c r="BI30" i="4" s="1"/>
  <c r="BH30" i="4" s="1"/>
  <c r="BJ47" i="4"/>
  <c r="BI47" i="4" s="1"/>
  <c r="BH47" i="4" s="1"/>
  <c r="BJ13" i="4"/>
  <c r="BI13" i="4" s="1"/>
  <c r="BH13" i="4" s="1"/>
  <c r="BJ43" i="4"/>
  <c r="BI43" i="4" s="1"/>
  <c r="BH43" i="4" s="1"/>
  <c r="BJ17" i="4"/>
  <c r="BI17" i="4" s="1"/>
  <c r="BH17" i="4" s="1"/>
  <c r="BJ42" i="4"/>
  <c r="BI42" i="4" s="1"/>
  <c r="BH42" i="4" s="1"/>
  <c r="BJ20" i="4"/>
  <c r="BI20" i="4" s="1"/>
  <c r="BH20" i="4" s="1"/>
  <c r="BJ41" i="4"/>
  <c r="BI41" i="4" s="1"/>
  <c r="BH41" i="4" s="1"/>
  <c r="BJ12" i="4"/>
  <c r="BI12" i="4" s="1"/>
  <c r="BH12" i="4" s="1"/>
  <c r="BJ4" i="4"/>
  <c r="BI4" i="4" s="1"/>
  <c r="BH4" i="4" s="1"/>
  <c r="BJ29" i="4"/>
  <c r="BI29" i="4" s="1"/>
  <c r="BH29" i="4" s="1"/>
  <c r="BJ15" i="4"/>
  <c r="BI15" i="4" s="1"/>
  <c r="BH15" i="4" s="1"/>
  <c r="BJ10" i="4"/>
  <c r="BI10" i="4" s="1"/>
  <c r="BH10" i="4" s="1"/>
  <c r="BJ33" i="4"/>
  <c r="BI33" i="4" s="1"/>
  <c r="BH33" i="4" s="1"/>
  <c r="BJ21" i="4"/>
  <c r="BI21" i="4" s="1"/>
  <c r="BH21" i="4" s="1"/>
  <c r="BJ31" i="4"/>
  <c r="BI31" i="4" s="1"/>
  <c r="BH31" i="4" s="1"/>
  <c r="BJ27" i="4"/>
  <c r="BI27" i="4" s="1"/>
  <c r="BH27" i="4" s="1"/>
  <c r="BJ38" i="4"/>
  <c r="BI38" i="4" s="1"/>
  <c r="BH38" i="4" s="1"/>
  <c r="BJ16" i="4"/>
  <c r="BI16" i="4" s="1"/>
  <c r="BH16" i="4" s="1"/>
  <c r="BJ18" i="4"/>
  <c r="BI18" i="4" s="1"/>
  <c r="BH18" i="4" s="1"/>
  <c r="BJ23" i="4"/>
  <c r="BI23" i="4" s="1"/>
  <c r="BH23" i="4" s="1"/>
  <c r="BJ26" i="4"/>
  <c r="BI26" i="4" s="1"/>
  <c r="BH26" i="4" s="1"/>
  <c r="BJ51" i="4"/>
  <c r="BI51" i="4" s="1"/>
  <c r="BH51" i="4" s="1"/>
  <c r="BJ36" i="4"/>
  <c r="BI36" i="4" s="1"/>
  <c r="BH36" i="4" s="1"/>
  <c r="BJ14" i="4"/>
  <c r="BI14" i="4" s="1"/>
  <c r="BH14" i="4" s="1"/>
  <c r="BJ39" i="4"/>
  <c r="BI39" i="4" s="1"/>
  <c r="BH39" i="4" s="1"/>
  <c r="BJ44" i="4"/>
  <c r="BI44" i="4" s="1"/>
  <c r="BH44" i="4" s="1"/>
  <c r="BJ25" i="4"/>
  <c r="BI25" i="4" s="1"/>
  <c r="BH25" i="4" s="1"/>
  <c r="BJ5" i="4"/>
  <c r="BI5" i="4" s="1"/>
  <c r="BH5" i="4" s="1"/>
  <c r="BJ45" i="4"/>
  <c r="BI45" i="4" s="1"/>
  <c r="BH45" i="4" s="1"/>
  <c r="BJ24" i="4"/>
  <c r="BI24" i="4" s="1"/>
  <c r="BH24" i="4" s="1"/>
  <c r="BJ50" i="4"/>
  <c r="BI50" i="4" s="1"/>
  <c r="BH50" i="4" s="1"/>
  <c r="BJ7" i="4"/>
  <c r="BI7" i="4" s="1"/>
  <c r="BH7" i="4" s="1"/>
  <c r="BJ6" i="4"/>
  <c r="BI6" i="4" s="1"/>
  <c r="BH6" i="4" s="1"/>
  <c r="BJ40" i="4"/>
  <c r="BI40" i="4" s="1"/>
  <c r="BH40" i="4" s="1"/>
  <c r="BJ37" i="4"/>
  <c r="BI37" i="4" s="1"/>
  <c r="BH37" i="4" s="1"/>
  <c r="BJ19" i="4"/>
  <c r="BI19" i="4" s="1"/>
  <c r="BH19" i="4" s="1"/>
  <c r="BJ32" i="4"/>
  <c r="BI32" i="4" s="1"/>
  <c r="BH32" i="4" s="1"/>
  <c r="BJ22" i="4"/>
  <c r="BI22" i="4" s="1"/>
  <c r="BH22" i="4" s="1"/>
  <c r="BJ9" i="4"/>
  <c r="BI9" i="4" s="1"/>
  <c r="BH9"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<sst xmlns="http://schemas.openxmlformats.org/spreadsheetml/2006/main" count="6754" uniqueCount="1516">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</sst>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16" sqref="W99:AF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0" spans="29:30" x14ac:dyDescent="0.2">
      <c r="AC80" s="292">
        <v>3</v>
      </c>
      <c r="AD80" s="292">
        <v>3</v>
      </c>
    </row>
    <row r="81" spans="29:30" x14ac:dyDescent="0.2">
      <c r="AC81" s="292">
        <v>1</v>
      </c>
      <c r="AD81" s="292">
        <v>3</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17" zoomScale="118" zoomScaleNormal="100" workbookViewId="0">
      <selection activeCell="AL140" sqref="AL140"/>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19"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28"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5"/>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5"/>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5"/>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5"/>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6"/>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37"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5"/>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5"/>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5"/>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5"/>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6"/>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6"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5"/>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5"/>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5"/>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5"/>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6"/>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27"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5"/>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5"/>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5"/>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5"/>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6"/>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1"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5"/>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5"/>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5"/>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5"/>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6"/>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7</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3</v>
      </c>
      <c r="CB43" s="16">
        <f t="shared" ca="1" si="33"/>
        <v>3</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3</v>
      </c>
      <c r="CP43" s="16">
        <f t="shared" ca="1" si="41"/>
        <v>3</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4"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6</v>
      </c>
      <c r="BK44" s="16">
        <f t="shared" ca="1" si="22"/>
        <v>6</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3</v>
      </c>
      <c r="CB44" s="16">
        <f t="shared" ca="1" si="33"/>
        <v>3</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3</v>
      </c>
      <c r="CP44" s="16">
        <f t="shared" ca="1" si="41"/>
        <v>3</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5"/>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3</v>
      </c>
      <c r="BK45" s="16">
        <f t="shared" ca="1" si="22"/>
        <v>8</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5"/>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5"/>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5"/>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6"/>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29"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5"/>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5"/>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5"/>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5"/>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6"/>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3</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(7)</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2"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8</v>
      </c>
      <c r="BT60" s="16" t="str">
        <f t="shared" ca="1" si="157"/>
        <v>Pos. 8 (4)</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2</v>
      </c>
      <c r="DM60" s="16" t="str">
        <f t="shared" ca="1" si="171"/>
        <v>3.2</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5"/>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7</v>
      </c>
      <c r="BN61" s="16">
        <f t="shared" ca="1" si="153"/>
        <v>7</v>
      </c>
      <c r="BO61" s="16" t="str">
        <f t="shared" si="154"/>
        <v>4D</v>
      </c>
      <c r="BP61" s="16"/>
      <c r="BQ61" s="16"/>
      <c r="BR61" s="16">
        <f t="shared" ca="1" si="155"/>
        <v>4</v>
      </c>
      <c r="BS61" s="16">
        <f t="shared" ca="1" si="156"/>
        <v>1</v>
      </c>
      <c r="BT61" s="16" t="str">
        <f t="shared" ca="1" si="157"/>
        <v>Pos. 1 (7)</v>
      </c>
      <c r="BU61" s="16">
        <f t="shared" ca="1" si="158"/>
        <v>-2</v>
      </c>
      <c r="BV61" s="16">
        <f t="shared" ca="1" si="159"/>
        <v>6</v>
      </c>
      <c r="BW61" s="16" t="str">
        <f t="shared" ca="1" si="160"/>
        <v>Pos. 6 (2)</v>
      </c>
      <c r="BX61" s="16">
        <f t="shared" ca="1" si="161"/>
        <v>2</v>
      </c>
      <c r="BY61" s="16">
        <f t="shared" ca="1" si="162"/>
        <v>7</v>
      </c>
      <c r="BZ61" s="16" t="str">
        <f t="shared" ca="1" si="163"/>
        <v>-</v>
      </c>
      <c r="CA61" s="16" t="str">
        <f t="shared" ca="1" si="164"/>
        <v>-</v>
      </c>
      <c r="CB61" s="16">
        <f t="shared" ca="1" si="165"/>
        <v>7</v>
      </c>
      <c r="CC61" s="16"/>
      <c r="CD61" s="16">
        <f t="shared" ca="1" si="166"/>
        <v>7</v>
      </c>
      <c r="CE61" s="16" t="str">
        <f t="shared" ca="1" si="167"/>
        <v>-</v>
      </c>
      <c r="CF61" s="16">
        <f t="shared" ca="1" si="168"/>
        <v>7</v>
      </c>
      <c r="DJ61" s="16">
        <f t="shared" ca="1" si="169"/>
        <v>3</v>
      </c>
      <c r="DK61" s="16"/>
      <c r="DL61" s="16">
        <f t="shared" ca="1" si="170"/>
        <v>2</v>
      </c>
      <c r="DM61" s="16" t="str">
        <f t="shared" ca="1" si="171"/>
        <v>3.2</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5"/>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(7)</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5"/>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(7)</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Argelia</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5"/>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9</v>
      </c>
      <c r="BN64" s="16">
        <f t="shared" ca="1" si="153"/>
        <v>9</v>
      </c>
      <c r="BO64" s="16" t="str">
        <f t="shared" si="154"/>
        <v>4G</v>
      </c>
      <c r="BP64" s="16"/>
      <c r="BQ64" s="16"/>
      <c r="BR64" s="16">
        <f t="shared" ca="1" si="155"/>
        <v>3</v>
      </c>
      <c r="BS64" s="16">
        <f t="shared" ca="1" si="156"/>
        <v>8</v>
      </c>
      <c r="BT64" s="16" t="str">
        <f t="shared" ca="1" si="157"/>
        <v>Pos. 8 (4)</v>
      </c>
      <c r="BU64" s="16">
        <f t="shared" ca="1" si="158"/>
        <v>0</v>
      </c>
      <c r="BV64" s="16">
        <f t="shared" ca="1" si="159"/>
        <v>9</v>
      </c>
      <c r="BW64" s="16" t="str">
        <f t="shared" ca="1" si="160"/>
        <v>-</v>
      </c>
      <c r="BX64" s="16" t="str">
        <f t="shared" ca="1" si="161"/>
        <v>-</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Paraguay</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6"/>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Senegal</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8</v>
      </c>
      <c r="BN66" s="16">
        <f t="shared" ca="1" si="153"/>
        <v>8</v>
      </c>
      <c r="BO66" s="16" t="str">
        <f t="shared" si="154"/>
        <v>4I</v>
      </c>
      <c r="BP66" s="16"/>
      <c r="BQ66" s="16"/>
      <c r="BR66" s="16">
        <f t="shared" ca="1" si="155"/>
        <v>3</v>
      </c>
      <c r="BS66" s="16">
        <f t="shared" ca="1" si="156"/>
        <v>8</v>
      </c>
      <c r="BT66" s="16" t="str">
        <f t="shared" ca="1" si="157"/>
        <v>Pos. 8 (4)</v>
      </c>
      <c r="BU66" s="16">
        <f t="shared" ca="1" si="158"/>
        <v>2</v>
      </c>
      <c r="BV66" s="16">
        <f t="shared" ca="1" si="159"/>
        <v>8</v>
      </c>
      <c r="BW66" s="16" t="str">
        <f t="shared" ca="1" si="160"/>
        <v>-</v>
      </c>
      <c r="BX66" s="16" t="str">
        <f t="shared" ca="1" si="161"/>
        <v>-</v>
      </c>
      <c r="BY66" s="16">
        <f t="shared" ca="1" si="162"/>
        <v>8</v>
      </c>
      <c r="BZ66" s="16" t="str">
        <f t="shared" ca="1" si="163"/>
        <v>-</v>
      </c>
      <c r="CA66" s="16" t="str">
        <f t="shared" ca="1" si="164"/>
        <v>-</v>
      </c>
      <c r="CB66" s="16">
        <f t="shared" ca="1" si="165"/>
        <v>8</v>
      </c>
      <c r="CC66" s="16"/>
      <c r="CD66" s="16">
        <f t="shared" ca="1" si="166"/>
        <v>8</v>
      </c>
      <c r="CE66" s="16" t="str">
        <f t="shared" ca="1" si="167"/>
        <v>-</v>
      </c>
      <c r="CF66" s="16">
        <f t="shared" ca="1" si="168"/>
        <v>8</v>
      </c>
      <c r="DJ66" s="16">
        <f t="shared" ca="1" si="169"/>
        <v>9</v>
      </c>
      <c r="DK66" s="16"/>
      <c r="DL66" s="16">
        <f t="shared" ca="1" si="170"/>
        <v>1</v>
      </c>
      <c r="DM66" s="16" t="str">
        <f t="shared" ca="1" si="171"/>
        <v>9.1</v>
      </c>
      <c r="DN66" s="16">
        <f t="array" aca="1" ref="DN66" ca="1">OFFSET(Horarios!$P$3,DJ66-1,0,DL66,1)</f>
        <v>9</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7</v>
      </c>
      <c r="BL67" s="16">
        <f t="shared" ca="1" si="151"/>
        <v>-2</v>
      </c>
      <c r="BM67" s="16">
        <f t="shared" ca="1" si="152"/>
        <v>6</v>
      </c>
      <c r="BN67" s="16">
        <f t="shared" ca="1" si="153"/>
        <v>6</v>
      </c>
      <c r="BO67" s="16" t="str">
        <f t="shared" si="154"/>
        <v>4J</v>
      </c>
      <c r="BP67" s="16"/>
      <c r="BQ67" s="16"/>
      <c r="BR67" s="16">
        <f t="shared" ca="1" si="155"/>
        <v>4</v>
      </c>
      <c r="BS67" s="16">
        <f t="shared" ca="1" si="156"/>
        <v>1</v>
      </c>
      <c r="BT67" s="16" t="str">
        <f t="shared" ca="1" si="157"/>
        <v>Pos. 1 (7)</v>
      </c>
      <c r="BU67" s="16">
        <f t="shared" ca="1" si="158"/>
        <v>-2</v>
      </c>
      <c r="BV67" s="16">
        <f t="shared" ca="1" si="159"/>
        <v>6</v>
      </c>
      <c r="BW67" s="16" t="str">
        <f t="shared" ca="1" si="160"/>
        <v>Pos. 6 (2)</v>
      </c>
      <c r="BX67" s="16">
        <f t="shared" ca="1" si="161"/>
        <v>5</v>
      </c>
      <c r="BY67" s="16">
        <f t="shared" ca="1" si="162"/>
        <v>6</v>
      </c>
      <c r="BZ67" s="16" t="str">
        <f t="shared" ca="1" si="163"/>
        <v>-</v>
      </c>
      <c r="CA67" s="16" t="str">
        <f t="shared" ca="1" si="164"/>
        <v>-</v>
      </c>
      <c r="CB67" s="16">
        <f t="shared" ca="1" si="165"/>
        <v>6</v>
      </c>
      <c r="CC67" s="16"/>
      <c r="CD67" s="16">
        <f t="shared" ca="1" si="166"/>
        <v>6</v>
      </c>
      <c r="CE67" s="16" t="str">
        <f t="shared" ca="1" si="167"/>
        <v>-</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Corea del Sur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5"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(7)</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5"/>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(7)</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5"/>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5"/>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5"/>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6"/>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3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5"/>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5"/>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5"/>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6</v>
      </c>
      <c r="AS79" s="39">
        <f t="shared" ca="1" si="227"/>
        <v>6</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5"/>
      <c r="X80" s="24">
        <f ca="1">Horarios!C80</f>
        <v>46200.916666666657</v>
      </c>
      <c r="Y80" s="25">
        <f ca="1">Horarios!C80</f>
        <v>46200.916666666657</v>
      </c>
      <c r="Z80" s="26" t="str">
        <f>$Z$8</f>
        <v>J3</v>
      </c>
      <c r="AA80" s="27" t="str">
        <f ca="1">A78</f>
        <v>Argelia</v>
      </c>
      <c r="AB80" s="49" t="str">
        <f t="array" aca="1" ref="AB80" ca="1">Ver_flag_local</f>
        <v/>
      </c>
      <c r="AC80" s="50">
        <v>3</v>
      </c>
      <c r="AD80" s="51">
        <v>3</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7</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6"/>
      <c r="X81" s="28">
        <f ca="1">Horarios!C81</f>
        <v>46200.916666666657</v>
      </c>
      <c r="Y81" s="29">
        <f ca="1">Horarios!C81</f>
        <v>46200.916666666657</v>
      </c>
      <c r="Z81" s="30" t="str">
        <f>$Z$8</f>
        <v>J3</v>
      </c>
      <c r="AA81" s="31" t="str">
        <f ca="1">A80</f>
        <v>Jordania</v>
      </c>
      <c r="AB81" s="52" t="str">
        <f t="array" aca="1" ref="AB81" ca="1">Ver_flag_local</f>
        <v/>
      </c>
      <c r="AC81" s="53">
        <v>1</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3</v>
      </c>
      <c r="AS81" s="47">
        <f t="shared" ca="1" si="227"/>
        <v>8</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0"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5"/>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5"/>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5"/>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5"/>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6"/>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3"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5"/>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5"/>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5"/>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5"/>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6"/>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Canadá</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24"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v>0</v>
      </c>
      <c r="AD101" s="51">
        <v>1</v>
      </c>
      <c r="AE101" s="90"/>
      <c r="AF101" s="91" t="str">
        <f t="shared" ref="AF101:AF116" ca="1" si="265">+INDEX($N$101:$N$147,MATCH(AH101,$J$101:$J$147,0))</f>
        <v>Canadá</v>
      </c>
      <c r="AG101" s="320">
        <f t="shared" ref="AG101:AG116" ca="1" si="266">IF(D101="W"&amp;AH101,0,1)</f>
        <v>1</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BDEFIJKL</v>
      </c>
      <c r="BA101" s="176"/>
    </row>
    <row r="102" spans="1:62" ht="16" customHeight="1" x14ac:dyDescent="0.2">
      <c r="A102" s="16" t="s">
        <v>88</v>
      </c>
      <c r="B102" s="16" t="s">
        <v>141</v>
      </c>
      <c r="C102" s="16"/>
      <c r="D102" s="16" t="str">
        <f t="shared" ca="1" si="260"/>
        <v>Brasil</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5"/>
      <c r="X102" s="24">
        <f ca="1">Horarios!C102</f>
        <v>46202.541666666657</v>
      </c>
      <c r="Y102" s="25">
        <f ca="1">Horarios!C102</f>
        <v>46202.541666666657</v>
      </c>
      <c r="Z102" s="274">
        <f t="shared" si="263"/>
        <v>76</v>
      </c>
      <c r="AA102" s="88" t="str">
        <f t="shared" ca="1" si="264"/>
        <v>Brasil</v>
      </c>
      <c r="AB102" s="89"/>
      <c r="AC102" s="92">
        <v>2</v>
      </c>
      <c r="AD102" s="92">
        <v>1</v>
      </c>
      <c r="AE102" s="89"/>
      <c r="AF102" s="91" t="str">
        <f t="shared" ca="1" si="265"/>
        <v>Japón</v>
      </c>
      <c r="AG102" s="320">
        <f t="shared" ca="1" si="266"/>
        <v>1</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ca="1" si="260"/>
        <v>Paraguay</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5"/>
      <c r="X103" s="24">
        <f ca="1">Horarios!C103</f>
        <v>46202.6875</v>
      </c>
      <c r="Y103" s="25">
        <f ca="1">Horarios!C103</f>
        <v>46202.6875</v>
      </c>
      <c r="Z103" s="274">
        <f t="shared" si="263"/>
        <v>74</v>
      </c>
      <c r="AA103" s="88" t="str">
        <f t="shared" ca="1" si="264"/>
        <v>Alemania</v>
      </c>
      <c r="AB103" s="89">
        <v>0</v>
      </c>
      <c r="AC103" s="92">
        <v>1</v>
      </c>
      <c r="AD103" s="92">
        <v>1</v>
      </c>
      <c r="AE103" s="89">
        <v>2</v>
      </c>
      <c r="AF103" s="91" t="str">
        <f t="shared" ca="1" si="265"/>
        <v>Paraguay</v>
      </c>
      <c r="AG103" s="320">
        <f t="shared" ca="1" si="266"/>
        <v>1</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f t="shared" ca="1" si="270"/>
        <v>1</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ca="1" si="260"/>
        <v>Marruecos</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5"/>
      <c r="X104" s="24">
        <f ca="1">Horarios!C104</f>
        <v>46202.875</v>
      </c>
      <c r="Y104" s="25">
        <f ca="1">Horarios!C104</f>
        <v>46202.875</v>
      </c>
      <c r="Z104" s="274">
        <f t="shared" si="263"/>
        <v>75</v>
      </c>
      <c r="AA104" s="88" t="str">
        <f t="shared" ca="1" si="264"/>
        <v>Países Bajos</v>
      </c>
      <c r="AB104" s="89">
        <v>0</v>
      </c>
      <c r="AC104" s="92">
        <v>1</v>
      </c>
      <c r="AD104" s="92">
        <v>1</v>
      </c>
      <c r="AE104" s="89">
        <v>2</v>
      </c>
      <c r="AF104" s="91" t="str">
        <f t="shared" ca="1" si="265"/>
        <v>Marruecos</v>
      </c>
      <c r="AG104" s="320">
        <f t="shared" ca="1" si="266"/>
        <v>1</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2</v>
      </c>
      <c r="AV104" s="182" t="str">
        <f t="shared" ca="1" si="271"/>
        <v>Ecuador</v>
      </c>
      <c r="AW104" s="215"/>
      <c r="AX104" s="170"/>
      <c r="AY104" s="270"/>
      <c r="AZ104" s="273" t="str">
        <f t="shared" ca="1" si="272"/>
        <v>1B - 3J</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ca="1" si="260"/>
        <v>Noruega</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5"/>
      <c r="X105" s="24">
        <f ca="1">Horarios!C105</f>
        <v>46203.541666666657</v>
      </c>
      <c r="Y105" s="25">
        <f ca="1">Horarios!C105</f>
        <v>46203.541666666657</v>
      </c>
      <c r="Z105" s="274">
        <f t="shared" si="263"/>
        <v>78</v>
      </c>
      <c r="AA105" s="88" t="str">
        <f t="shared" ca="1" si="264"/>
        <v>Costa de Marfil</v>
      </c>
      <c r="AB105" s="89"/>
      <c r="AC105" s="92">
        <v>1</v>
      </c>
      <c r="AD105" s="92">
        <v>2</v>
      </c>
      <c r="AE105" s="89"/>
      <c r="AF105" s="91" t="str">
        <f t="shared" ca="1" si="265"/>
        <v>Noruega</v>
      </c>
      <c r="AG105" s="320">
        <f t="shared" ca="1" si="266"/>
        <v>1</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2</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ca="1" si="260"/>
        <v>Francia</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5"/>
      <c r="X106" s="24">
        <f ca="1">Horarios!C106</f>
        <v>46203.708333333343</v>
      </c>
      <c r="Y106" s="25">
        <f ca="1">Horarios!C106</f>
        <v>46203.708333333343</v>
      </c>
      <c r="Z106" s="274">
        <f t="shared" si="263"/>
        <v>77</v>
      </c>
      <c r="AA106" s="88" t="str">
        <f t="shared" ca="1" si="264"/>
        <v>Francia</v>
      </c>
      <c r="AB106" s="89"/>
      <c r="AC106" s="92">
        <v>3</v>
      </c>
      <c r="AD106" s="92">
        <v>0</v>
      </c>
      <c r="AE106" s="89"/>
      <c r="AF106" s="91" t="str">
        <f t="shared" ca="1" si="265"/>
        <v>Suecia</v>
      </c>
      <c r="AG106" s="320">
        <f t="shared" ca="1" si="266"/>
        <v>1</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f t="shared" ca="1" si="270"/>
        <v>1</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ca="1" si="260"/>
        <v>México</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5"/>
      <c r="X107" s="24">
        <f ca="1">Horarios!C107</f>
        <v>46203.875</v>
      </c>
      <c r="Y107" s="25">
        <f ca="1">Horarios!C107</f>
        <v>46203.875</v>
      </c>
      <c r="Z107" s="274">
        <f t="shared" si="263"/>
        <v>79</v>
      </c>
      <c r="AA107" s="88" t="str">
        <f t="shared" ca="1" si="264"/>
        <v>México</v>
      </c>
      <c r="AB107" s="89"/>
      <c r="AC107" s="92">
        <v>2</v>
      </c>
      <c r="AD107" s="92">
        <v>0</v>
      </c>
      <c r="AE107" s="89"/>
      <c r="AF107" s="91" t="str">
        <f t="shared" ca="1" si="265"/>
        <v>Ecuador</v>
      </c>
      <c r="AG107" s="320">
        <f t="shared" ca="1" si="266"/>
        <v>1</v>
      </c>
      <c r="AH107" s="195">
        <v>79</v>
      </c>
      <c r="AI107" s="182">
        <v>6</v>
      </c>
      <c r="AJ107" s="42">
        <v>6</v>
      </c>
      <c r="AK107" s="589" t="str">
        <f t="array" aca="1" ref="AK107" ca="1">Ver_flag_visit</f>
        <v/>
      </c>
      <c r="AL107" s="85" t="str">
        <f t="shared" ca="1" si="268"/>
        <v>Argelia</v>
      </c>
      <c r="AM107" s="576">
        <f t="shared" ca="1" si="269"/>
        <v>4</v>
      </c>
      <c r="AN107" s="86">
        <f t="shared" ca="1" si="269"/>
        <v>3</v>
      </c>
      <c r="AO107" s="86">
        <f t="shared" ca="1" si="269"/>
        <v>1</v>
      </c>
      <c r="AP107" s="86">
        <f t="shared" ca="1" si="269"/>
        <v>1</v>
      </c>
      <c r="AQ107" s="86">
        <f t="shared" ca="1" si="269"/>
        <v>1</v>
      </c>
      <c r="AR107" s="86">
        <f t="shared" ca="1" si="269"/>
        <v>5</v>
      </c>
      <c r="AS107" s="86">
        <f t="shared" ca="1" si="269"/>
        <v>7</v>
      </c>
      <c r="AT107" s="87">
        <f t="shared" ca="1" si="269"/>
        <v>-2</v>
      </c>
      <c r="AU107" s="323">
        <f t="shared" ca="1" si="270"/>
        <v>1</v>
      </c>
      <c r="AV107" s="182" t="str">
        <f t="shared" ca="1" si="271"/>
        <v>Argelia</v>
      </c>
      <c r="AW107" s="215"/>
      <c r="AX107" s="170"/>
      <c r="AY107" s="270"/>
      <c r="AZ107" s="273" t="str">
        <f t="shared" ca="1" si="272"/>
        <v>1G - 3I</v>
      </c>
      <c r="BA107" s="176"/>
      <c r="BF107" t="str">
        <f t="shared" ca="1" si="273"/>
        <v>B</v>
      </c>
      <c r="BG107">
        <f t="shared" ca="1" si="274"/>
        <v>1</v>
      </c>
      <c r="BI107">
        <v>5</v>
      </c>
      <c r="BJ107" t="str">
        <f t="shared" ca="1" si="275"/>
        <v>I</v>
      </c>
    </row>
    <row r="108" spans="1:62" ht="16" customHeight="1" x14ac:dyDescent="0.2">
      <c r="A108" s="16" t="s">
        <v>119</v>
      </c>
      <c r="B108" s="16" t="s">
        <v>155</v>
      </c>
      <c r="C108" s="16"/>
      <c r="D108" s="16" t="str">
        <f t="shared" ca="1" si="260"/>
        <v>Inglaterra</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5"/>
      <c r="X108" s="24">
        <f ca="1">Horarios!C108</f>
        <v>46204.5</v>
      </c>
      <c r="Y108" s="25">
        <f ca="1">Horarios!C108</f>
        <v>46204.5</v>
      </c>
      <c r="Z108" s="274">
        <f t="shared" si="263"/>
        <v>80</v>
      </c>
      <c r="AA108" s="88" t="str">
        <f t="shared" ca="1" si="264"/>
        <v>Inglaterra</v>
      </c>
      <c r="AB108" s="89"/>
      <c r="AC108" s="92">
        <v>2</v>
      </c>
      <c r="AD108" s="92">
        <v>1</v>
      </c>
      <c r="AE108" s="89"/>
      <c r="AF108" s="91" t="str">
        <f t="shared" ca="1" si="265"/>
        <v>RD Congo</v>
      </c>
      <c r="AG108" s="320">
        <f t="shared" ca="1" si="266"/>
        <v>1</v>
      </c>
      <c r="AH108" s="195">
        <v>80</v>
      </c>
      <c r="AI108" s="182">
        <v>7</v>
      </c>
      <c r="AJ108" s="42">
        <v>7</v>
      </c>
      <c r="AK108" s="589" t="str">
        <f t="array" aca="1" ref="AK108" ca="1">Ver_flag_visit</f>
        <v/>
      </c>
      <c r="AL108" s="85" t="str">
        <f t="shared" ca="1" si="268"/>
        <v>Paraguay</v>
      </c>
      <c r="AM108" s="576">
        <f t="shared" ca="1" si="269"/>
        <v>4</v>
      </c>
      <c r="AN108" s="86">
        <f t="shared" ca="1" si="269"/>
        <v>3</v>
      </c>
      <c r="AO108" s="86">
        <f t="shared" ca="1" si="269"/>
        <v>1</v>
      </c>
      <c r="AP108" s="86">
        <f t="shared" ca="1" si="269"/>
        <v>1</v>
      </c>
      <c r="AQ108" s="86">
        <f t="shared" ca="1" si="269"/>
        <v>1</v>
      </c>
      <c r="AR108" s="86">
        <f t="shared" ca="1" si="269"/>
        <v>2</v>
      </c>
      <c r="AS108" s="86">
        <f t="shared" ca="1" si="269"/>
        <v>4</v>
      </c>
      <c r="AT108" s="87">
        <f t="shared" ca="1" si="269"/>
        <v>-2</v>
      </c>
      <c r="AU108" s="323">
        <f t="shared" ca="1" si="270"/>
        <v>1</v>
      </c>
      <c r="AV108" s="182" t="str">
        <f t="shared" ca="1" si="271"/>
        <v>Paraguay</v>
      </c>
      <c r="AW108" s="215"/>
      <c r="AX108" s="170"/>
      <c r="AY108" s="270"/>
      <c r="AZ108" s="273" t="str">
        <f t="shared" ca="1" si="272"/>
        <v>1I - 3F</v>
      </c>
      <c r="BA108" s="176"/>
      <c r="BF108" t="str">
        <f t="shared" ca="1" si="273"/>
        <v>J</v>
      </c>
      <c r="BG108">
        <f t="shared" ca="1" si="274"/>
        <v>6</v>
      </c>
      <c r="BI108">
        <v>6</v>
      </c>
      <c r="BJ108" t="str">
        <f t="shared" ca="1" si="275"/>
        <v>J</v>
      </c>
    </row>
    <row r="109" spans="1:62" ht="16" customHeight="1" x14ac:dyDescent="0.2">
      <c r="A109" s="16" t="s">
        <v>83</v>
      </c>
      <c r="B109" s="16" t="s">
        <v>157</v>
      </c>
      <c r="C109" s="16"/>
      <c r="D109" s="16" t="str">
        <f t="shared" ca="1" si="260"/>
        <v>Bélgica</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5"/>
      <c r="X109" s="24">
        <f ca="1">Horarios!C109</f>
        <v>46204.666666666657</v>
      </c>
      <c r="Y109" s="25">
        <f ca="1">Horarios!C109</f>
        <v>46204.666666666657</v>
      </c>
      <c r="Z109" s="274">
        <f t="shared" si="263"/>
        <v>82</v>
      </c>
      <c r="AA109" s="88" t="str">
        <f t="shared" ca="1" si="264"/>
        <v>Bélgica</v>
      </c>
      <c r="AB109" s="89"/>
      <c r="AC109" s="92">
        <v>3</v>
      </c>
      <c r="AD109" s="92">
        <v>2</v>
      </c>
      <c r="AE109" s="89"/>
      <c r="AF109" s="91" t="str">
        <f t="shared" ca="1" si="265"/>
        <v>Senegal</v>
      </c>
      <c r="AG109" s="320">
        <f t="shared" ca="1" si="266"/>
        <v>1</v>
      </c>
      <c r="AH109" s="195">
        <v>82</v>
      </c>
      <c r="AI109" s="182">
        <v>8</v>
      </c>
      <c r="AJ109" s="42">
        <v>8</v>
      </c>
      <c r="AK109" s="589" t="str">
        <f t="array" aca="1" ref="AK109" ca="1">Ver_flag_visit</f>
        <v/>
      </c>
      <c r="AL109" s="85" t="str">
        <f t="shared" ca="1" si="268"/>
        <v>Senegal</v>
      </c>
      <c r="AM109" s="576">
        <f t="shared" ca="1" si="269"/>
        <v>3</v>
      </c>
      <c r="AN109" s="86">
        <f t="shared" ca="1" si="269"/>
        <v>3</v>
      </c>
      <c r="AO109" s="86">
        <f t="shared" ca="1" si="269"/>
        <v>1</v>
      </c>
      <c r="AP109" s="86">
        <f t="shared" ca="1" si="269"/>
        <v>0</v>
      </c>
      <c r="AQ109" s="86">
        <f t="shared" ca="1" si="269"/>
        <v>2</v>
      </c>
      <c r="AR109" s="86">
        <f t="shared" ca="1" si="269"/>
        <v>8</v>
      </c>
      <c r="AS109" s="86">
        <f t="shared" ca="1" si="269"/>
        <v>6</v>
      </c>
      <c r="AT109" s="87">
        <f t="shared" ca="1" si="269"/>
        <v>2</v>
      </c>
      <c r="AU109" s="323">
        <f t="shared" ca="1" si="270"/>
        <v>1</v>
      </c>
      <c r="AV109" s="182" t="str">
        <f t="shared" ca="1" si="271"/>
        <v>Senegal</v>
      </c>
      <c r="AW109" s="215"/>
      <c r="AX109" s="170"/>
      <c r="AY109" s="270"/>
      <c r="AZ109" s="273" t="str">
        <f t="shared" ca="1" si="272"/>
        <v>1K - 3L</v>
      </c>
      <c r="BA109" s="176"/>
      <c r="BF109" t="str">
        <f t="shared" ca="1" si="273"/>
        <v>D</v>
      </c>
      <c r="BG109">
        <f t="shared" ca="1" si="274"/>
        <v>2</v>
      </c>
      <c r="BI109">
        <v>7</v>
      </c>
      <c r="BJ109" t="str">
        <f t="shared" ca="1" si="275"/>
        <v>K</v>
      </c>
    </row>
    <row r="110" spans="1:62" ht="16" customHeight="1" x14ac:dyDescent="0.2">
      <c r="A110" s="16" t="s">
        <v>97</v>
      </c>
      <c r="B110" s="16" t="s">
        <v>159</v>
      </c>
      <c r="C110" s="16"/>
      <c r="D110" s="16" t="str">
        <f t="shared" ca="1" si="260"/>
        <v>Estados Unidos</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5"/>
      <c r="X110" s="24">
        <f ca="1">Horarios!C110</f>
        <v>46204.833333333343</v>
      </c>
      <c r="Y110" s="25">
        <f ca="1">Horarios!C110</f>
        <v>46204.833333333343</v>
      </c>
      <c r="Z110" s="274">
        <f t="shared" si="263"/>
        <v>81</v>
      </c>
      <c r="AA110" s="88" t="str">
        <f t="shared" ca="1" si="264"/>
        <v>Estados Unidos</v>
      </c>
      <c r="AB110" s="89"/>
      <c r="AC110" s="92">
        <v>2</v>
      </c>
      <c r="AD110" s="92">
        <v>0</v>
      </c>
      <c r="AE110" s="89"/>
      <c r="AF110" s="91" t="str">
        <f t="shared" ca="1" si="265"/>
        <v>Bosnia y Herzegovina</v>
      </c>
      <c r="AG110" s="320">
        <f t="shared" ca="1" si="266"/>
        <v>1</v>
      </c>
      <c r="AH110" s="195">
        <v>81</v>
      </c>
      <c r="AI110" s="182">
        <v>9</v>
      </c>
      <c r="AJ110" s="42">
        <v>9</v>
      </c>
      <c r="AK110" s="589" t="str">
        <f t="array" aca="1" ref="AK110" ca="1">Ver_flag_visit</f>
        <v/>
      </c>
      <c r="AL110" s="85" t="str">
        <f t="shared" ca="1" si="268"/>
        <v>Irán</v>
      </c>
      <c r="AM110" s="576">
        <f t="shared" ca="1" si="269"/>
        <v>3</v>
      </c>
      <c r="AN110" s="86">
        <f t="shared" ca="1" si="269"/>
        <v>3</v>
      </c>
      <c r="AO110" s="86">
        <f t="shared" ca="1" si="269"/>
        <v>0</v>
      </c>
      <c r="AP110" s="86">
        <f t="shared" ca="1" si="269"/>
        <v>3</v>
      </c>
      <c r="AQ110" s="86">
        <f t="shared" ca="1" si="269"/>
        <v>0</v>
      </c>
      <c r="AR110" s="86">
        <f t="shared" ca="1" si="269"/>
        <v>3</v>
      </c>
      <c r="AS110" s="86">
        <f t="shared" ca="1" si="269"/>
        <v>3</v>
      </c>
      <c r="AT110" s="87">
        <f t="shared" ca="1" si="269"/>
        <v>0</v>
      </c>
      <c r="AU110" s="323">
        <f t="shared" ca="1" si="270"/>
        <v>1</v>
      </c>
      <c r="AV110" s="182" t="str">
        <f t="shared" ca="1" si="271"/>
        <v>Irán</v>
      </c>
      <c r="AW110" s="215"/>
      <c r="AX110" s="170"/>
      <c r="AY110" s="270"/>
      <c r="AZ110" s="273" t="str">
        <f t="shared" ca="1" si="272"/>
        <v>1L - 3K</v>
      </c>
      <c r="BA110" s="176"/>
      <c r="BF110" t="str">
        <f t="shared" ca="1" si="273"/>
        <v>I</v>
      </c>
      <c r="BG110">
        <f t="shared" ca="1" si="274"/>
        <v>5</v>
      </c>
      <c r="BI110">
        <v>8</v>
      </c>
      <c r="BJ110" t="str">
        <f t="shared" ca="1" si="275"/>
        <v>L</v>
      </c>
    </row>
    <row r="111" spans="1:62" ht="16" customHeight="1" x14ac:dyDescent="0.2">
      <c r="A111" s="16" t="s">
        <v>116</v>
      </c>
      <c r="B111" s="16" t="s">
        <v>120</v>
      </c>
      <c r="C111" s="16"/>
      <c r="D111" s="16" t="str">
        <f t="shared" ca="1" si="260"/>
        <v>España</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5"/>
      <c r="X111" s="24">
        <f ca="1">Horarios!C111</f>
        <v>46205.625</v>
      </c>
      <c r="Y111" s="25">
        <f ca="1">Horarios!C111</f>
        <v>46205.625</v>
      </c>
      <c r="Z111" s="274">
        <f t="shared" si="263"/>
        <v>84</v>
      </c>
      <c r="AA111" s="88" t="str">
        <f t="shared" ca="1" si="264"/>
        <v>España</v>
      </c>
      <c r="AB111" s="89"/>
      <c r="AC111" s="92">
        <v>3</v>
      </c>
      <c r="AD111" s="92">
        <v>0</v>
      </c>
      <c r="AE111" s="89"/>
      <c r="AF111" s="91" t="str">
        <f t="shared" ca="1" si="265"/>
        <v>Austria</v>
      </c>
      <c r="AG111" s="320">
        <f t="shared" ca="1" si="266"/>
        <v>1</v>
      </c>
      <c r="AH111" s="195">
        <v>84</v>
      </c>
      <c r="AI111" s="182">
        <v>10</v>
      </c>
      <c r="AJ111" s="42">
        <v>10</v>
      </c>
      <c r="AK111" s="589" t="str">
        <f t="array" aca="1" ref="AK111" ca="1">Ver_flag_visit</f>
        <v/>
      </c>
      <c r="AL111" s="85" t="str">
        <f t="shared" ca="1" si="268"/>
        <v>Corea del Sur</v>
      </c>
      <c r="AM111" s="576">
        <f t="shared" ca="1" si="269"/>
        <v>3</v>
      </c>
      <c r="AN111" s="86">
        <f t="shared" ca="1" si="269"/>
        <v>3</v>
      </c>
      <c r="AO111" s="86">
        <f t="shared" ca="1" si="269"/>
        <v>1</v>
      </c>
      <c r="AP111" s="86">
        <f t="shared" ca="1" si="269"/>
        <v>0</v>
      </c>
      <c r="AQ111" s="86">
        <f t="shared" ca="1" si="269"/>
        <v>2</v>
      </c>
      <c r="AR111" s="86">
        <f t="shared" ca="1" si="269"/>
        <v>2</v>
      </c>
      <c r="AS111" s="86">
        <f t="shared" ca="1" si="269"/>
        <v>3</v>
      </c>
      <c r="AT111" s="87">
        <f t="shared" ca="1" si="269"/>
        <v>-1</v>
      </c>
      <c r="AU111" s="323">
        <f t="shared" ca="1" si="270"/>
        <v>1</v>
      </c>
      <c r="AV111" s="182" t="str">
        <f t="shared" ca="1" si="271"/>
        <v>Corea del Sur</v>
      </c>
      <c r="AW111" s="215"/>
      <c r="AX111" s="170"/>
      <c r="AY111" s="269"/>
      <c r="AZ111" s="269"/>
      <c r="BA111" s="176"/>
      <c r="BI111" t="s">
        <v>162</v>
      </c>
    </row>
    <row r="112" spans="1:62" ht="16" customHeight="1" x14ac:dyDescent="0.2">
      <c r="A112" s="16" t="s">
        <v>101</v>
      </c>
      <c r="B112" s="16" t="s">
        <v>111</v>
      </c>
      <c r="C112" s="16"/>
      <c r="D112" s="16" t="str">
        <f t="shared" ca="1" si="260"/>
        <v>Portugal</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5"/>
      <c r="X112" s="24">
        <f ca="1">Horarios!C112</f>
        <v>46205.791666666657</v>
      </c>
      <c r="Y112" s="25">
        <f ca="1">Horarios!C112</f>
        <v>46205.791666666657</v>
      </c>
      <c r="Z112" s="274">
        <f t="shared" si="263"/>
        <v>83</v>
      </c>
      <c r="AA112" s="88" t="str">
        <f t="shared" ca="1" si="264"/>
        <v>Portugal</v>
      </c>
      <c r="AB112" s="89"/>
      <c r="AC112" s="92">
        <v>2</v>
      </c>
      <c r="AD112" s="92">
        <v>1</v>
      </c>
      <c r="AE112" s="89"/>
      <c r="AF112" s="91" t="str">
        <f t="shared" ca="1" si="265"/>
        <v>Croacia</v>
      </c>
      <c r="AG112" s="320">
        <f t="shared" ca="1" si="266"/>
        <v>1</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f t="shared" ca="1" si="270"/>
        <v>1</v>
      </c>
      <c r="AV112" s="182" t="str">
        <f t="shared" ca="1" si="271"/>
        <v>Escocia</v>
      </c>
      <c r="AW112" s="215"/>
      <c r="AX112" s="170"/>
      <c r="AY112" s="269"/>
      <c r="AZ112" s="269"/>
      <c r="BA112" s="176"/>
      <c r="BI112" t="str">
        <f ca="1">IFERROR(CONCATENATE(BJ103,BJ104,BJ105,BJ106,BJ107,BJ108,BJ109,BJ110),"¿A/B/C/D/E/F/G/H/I/J/K/L?")</f>
        <v>BDEFIJKL</v>
      </c>
    </row>
    <row r="113" spans="1:59" ht="16" customHeight="1" thickBot="1" x14ac:dyDescent="0.25">
      <c r="A113" s="16" t="s">
        <v>74</v>
      </c>
      <c r="B113" s="16" t="s">
        <v>164</v>
      </c>
      <c r="C113" s="16"/>
      <c r="D113" s="16" t="str">
        <f t="shared" ca="1" si="260"/>
        <v>Suiza</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5"/>
      <c r="X113" s="24">
        <f ca="1">Horarios!C113</f>
        <v>46205.958333333343</v>
      </c>
      <c r="Y113" s="25">
        <f ca="1">Horarios!C113</f>
        <v>46205.958333333343</v>
      </c>
      <c r="Z113" s="274">
        <f t="shared" si="263"/>
        <v>85</v>
      </c>
      <c r="AA113" s="88" t="str">
        <f t="shared" ca="1" si="264"/>
        <v>Suiza</v>
      </c>
      <c r="AB113" s="89"/>
      <c r="AC113" s="92">
        <v>2</v>
      </c>
      <c r="AD113" s="92">
        <v>0</v>
      </c>
      <c r="AE113" s="90"/>
      <c r="AF113" s="91" t="str">
        <f t="shared" ca="1" si="265"/>
        <v>Argelia</v>
      </c>
      <c r="AG113" s="320">
        <f t="shared" ca="1" si="266"/>
        <v>1</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Uruguay</v>
      </c>
      <c r="AW113" s="215"/>
      <c r="AX113" s="170"/>
      <c r="AY113" s="154"/>
      <c r="AZ113" s="155"/>
      <c r="BA113" s="176"/>
    </row>
    <row r="114" spans="1:59" ht="16" customHeight="1" x14ac:dyDescent="0.2">
      <c r="A114" s="16" t="s">
        <v>110</v>
      </c>
      <c r="B114" s="16" t="s">
        <v>102</v>
      </c>
      <c r="C114" s="16"/>
      <c r="D114" s="16" t="str">
        <f t="shared" ca="1" si="260"/>
        <v>Egipto</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5"/>
      <c r="X114" s="24">
        <f ca="1">Horarios!C114</f>
        <v>46206.583333333343</v>
      </c>
      <c r="Y114" s="25">
        <f ca="1">Horarios!C114</f>
        <v>46206.583333333343</v>
      </c>
      <c r="Z114" s="274">
        <f t="shared" si="263"/>
        <v>88</v>
      </c>
      <c r="AA114" s="88" t="str">
        <f t="shared" ca="1" si="264"/>
        <v>Australia</v>
      </c>
      <c r="AB114" s="89">
        <v>0</v>
      </c>
      <c r="AC114" s="92">
        <v>1</v>
      </c>
      <c r="AD114" s="92">
        <v>1</v>
      </c>
      <c r="AE114" s="89">
        <v>2</v>
      </c>
      <c r="AF114" s="91" t="str">
        <f t="shared" ca="1" si="265"/>
        <v>Egipto</v>
      </c>
      <c r="AG114" s="320">
        <f t="shared" ca="1" si="266"/>
        <v>1</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ca="1" si="260"/>
        <v>Argentina</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5"/>
      <c r="X115" s="24">
        <f ca="1">Horarios!C115</f>
        <v>46206.75</v>
      </c>
      <c r="Y115" s="25">
        <f ca="1">Horarios!C115</f>
        <v>46206.75</v>
      </c>
      <c r="Z115" s="274">
        <f t="shared" si="263"/>
        <v>86</v>
      </c>
      <c r="AA115" s="88" t="str">
        <f t="shared" ca="1" si="264"/>
        <v>Argentina</v>
      </c>
      <c r="AB115" s="89"/>
      <c r="AC115" s="92">
        <v>3</v>
      </c>
      <c r="AD115" s="92">
        <v>2</v>
      </c>
      <c r="AE115" s="89"/>
      <c r="AF115" s="91" t="str">
        <f t="shared" ca="1" si="265"/>
        <v>Cabo Verde</v>
      </c>
      <c r="AG115" s="320">
        <f t="shared" ca="1" si="266"/>
        <v>1</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ca="1" si="260"/>
        <v>Colombia</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6"/>
      <c r="X116" s="28">
        <f ca="1">Horarios!C116</f>
        <v>46206.895833333343</v>
      </c>
      <c r="Y116" s="29">
        <f ca="1">Horarios!C116</f>
        <v>46206.895833333343</v>
      </c>
      <c r="Z116" s="275">
        <f t="shared" si="263"/>
        <v>87</v>
      </c>
      <c r="AA116" s="93" t="str">
        <f t="shared" ca="1" si="264"/>
        <v>Colombia</v>
      </c>
      <c r="AB116" s="94"/>
      <c r="AC116" s="271">
        <v>1</v>
      </c>
      <c r="AD116" s="271">
        <v>0</v>
      </c>
      <c r="AE116" s="94"/>
      <c r="AF116" s="95" t="str">
        <f t="shared" ca="1" si="265"/>
        <v>Ghana</v>
      </c>
      <c r="AG116" s="320">
        <f t="shared" ca="1" si="266"/>
        <v>1</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ca="1" si="276">IF(AND(OR(AC120="",AD120="")),"W"&amp;AH120,IF(AC120&gt;AD120,AA120,IF(AC120&lt;AD120,AF120,IF(AND(AC120=AD120,AB120=AE120),"W"&amp;AH120,IF(AND(AC120=AD120,OR(AB120="",AE120="")),"W"&amp;AH120,IF(AND(AC120=AD120,AB120&gt;AE120),AA120,AF120))))))</f>
        <v>Marruecos</v>
      </c>
      <c r="E120" s="16">
        <v>74</v>
      </c>
      <c r="F120" s="16">
        <v>77</v>
      </c>
      <c r="G120" s="16"/>
      <c r="H120" s="16"/>
      <c r="I120" s="16"/>
      <c r="J120" s="16">
        <v>89</v>
      </c>
      <c r="K120" s="16">
        <v>46207.75</v>
      </c>
      <c r="L120" s="16" t="s">
        <v>172</v>
      </c>
      <c r="M120" s="16" t="str">
        <f t="shared" ref="M120:N127" ca="1" si="277">+INDEX($D$101:$D$147,MATCH(E120,$AH$101:$AH$147,0))</f>
        <v>Paraguay</v>
      </c>
      <c r="N120" s="16" t="str">
        <f t="shared" ca="1" si="277"/>
        <v>Francia</v>
      </c>
      <c r="O120" s="16"/>
      <c r="P120" s="16"/>
      <c r="Q120" s="16"/>
      <c r="R120" s="16"/>
      <c r="S120" s="16"/>
      <c r="T120" s="16"/>
      <c r="U120" s="16"/>
      <c r="V120" s="17"/>
      <c r="W120" s="638" t="s">
        <v>173</v>
      </c>
      <c r="X120" s="24">
        <f ca="1">Horarios!C120</f>
        <v>46207.541666666657</v>
      </c>
      <c r="Y120" s="25">
        <f ca="1">Horarios!C120</f>
        <v>46207.541666666657</v>
      </c>
      <c r="Z120" s="274">
        <f t="shared" ref="Z120:Z127" si="278">AH120</f>
        <v>90</v>
      </c>
      <c r="AA120" s="88" t="str">
        <f t="shared" ref="AA120:AA127" ca="1" si="279">+INDEX($M$101:$M$147,MATCH(AH120,$J$101:$J$147,0))</f>
        <v>Canadá</v>
      </c>
      <c r="AB120" s="89"/>
      <c r="AC120" s="96">
        <v>0</v>
      </c>
      <c r="AD120" s="96">
        <v>3</v>
      </c>
      <c r="AE120" s="89"/>
      <c r="AF120" s="91" t="str">
        <f t="shared" ref="AF120:AF127" ca="1" si="280">+INDEX($N$101:$N$147,MATCH(AH120,$J$101:$J$147,0))</f>
        <v>Marruecos</v>
      </c>
      <c r="AG120" s="320">
        <f t="shared" ref="AG120:AG127" ca="1" si="281">IF(D120="W"&amp;AH120,0,1)</f>
        <v>1</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ca="1" si="276"/>
        <v>Francia</v>
      </c>
      <c r="E121" s="16">
        <v>73</v>
      </c>
      <c r="F121" s="16">
        <v>75</v>
      </c>
      <c r="G121" s="16"/>
      <c r="H121" s="16"/>
      <c r="I121" s="16"/>
      <c r="J121" s="16">
        <v>90</v>
      </c>
      <c r="K121" s="16">
        <v>46207.875</v>
      </c>
      <c r="L121" s="16" t="s">
        <v>176</v>
      </c>
      <c r="M121" s="16" t="str">
        <f t="shared" ca="1" si="277"/>
        <v>Canadá</v>
      </c>
      <c r="N121" s="16" t="str">
        <f t="shared" ca="1" si="277"/>
        <v>Marruecos</v>
      </c>
      <c r="O121" s="16"/>
      <c r="P121" s="16"/>
      <c r="Q121" s="16"/>
      <c r="R121" s="16"/>
      <c r="S121" s="16"/>
      <c r="T121" s="16"/>
      <c r="U121" s="16"/>
      <c r="V121" s="17"/>
      <c r="W121" s="622"/>
      <c r="X121" s="24">
        <f ca="1">Horarios!C121</f>
        <v>46207.708333333343</v>
      </c>
      <c r="Y121" s="25">
        <f ca="1">Horarios!C121</f>
        <v>46207.708333333343</v>
      </c>
      <c r="Z121" s="274">
        <f t="shared" si="278"/>
        <v>89</v>
      </c>
      <c r="AA121" s="88" t="str">
        <f t="shared" ca="1" si="279"/>
        <v>Paraguay</v>
      </c>
      <c r="AB121" s="89"/>
      <c r="AC121" s="97">
        <v>0</v>
      </c>
      <c r="AD121" s="97">
        <v>1</v>
      </c>
      <c r="AE121" s="89"/>
      <c r="AF121" s="91" t="str">
        <f t="shared" ca="1" si="280"/>
        <v>Francia</v>
      </c>
      <c r="AG121" s="320">
        <f t="shared" ca="1" si="281"/>
        <v>1</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ca="1" si="276"/>
        <v>Noruega</v>
      </c>
      <c r="E122" s="16">
        <v>76</v>
      </c>
      <c r="F122" s="16">
        <v>78</v>
      </c>
      <c r="G122" s="16"/>
      <c r="H122" s="16"/>
      <c r="I122" s="16"/>
      <c r="J122" s="16">
        <v>91</v>
      </c>
      <c r="K122" s="16">
        <v>46208.75</v>
      </c>
      <c r="L122" s="16" t="s">
        <v>179</v>
      </c>
      <c r="M122" s="16" t="str">
        <f t="shared" ca="1" si="277"/>
        <v>Brasil</v>
      </c>
      <c r="N122" s="16" t="str">
        <f t="shared" ca="1" si="277"/>
        <v>Noruega</v>
      </c>
      <c r="O122" s="16"/>
      <c r="P122" s="16"/>
      <c r="Q122" s="16"/>
      <c r="R122" s="16"/>
      <c r="S122" s="16"/>
      <c r="T122" s="16"/>
      <c r="U122" s="16"/>
      <c r="V122" s="17"/>
      <c r="W122" s="622"/>
      <c r="X122" s="24">
        <f ca="1">Horarios!C122</f>
        <v>46208.666666666657</v>
      </c>
      <c r="Y122" s="25">
        <f ca="1">Horarios!C122</f>
        <v>46208.666666666657</v>
      </c>
      <c r="Z122" s="274">
        <f t="shared" si="278"/>
        <v>91</v>
      </c>
      <c r="AA122" s="88" t="str">
        <f t="shared" ca="1" si="279"/>
        <v>Brasil</v>
      </c>
      <c r="AB122" s="89"/>
      <c r="AC122" s="97">
        <v>1</v>
      </c>
      <c r="AD122" s="97">
        <v>2</v>
      </c>
      <c r="AE122" s="89"/>
      <c r="AF122" s="91" t="str">
        <f t="shared" ca="1" si="280"/>
        <v>Noruega</v>
      </c>
      <c r="AG122" s="320">
        <f t="shared" ca="1" si="281"/>
        <v>1</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ca="1" si="276"/>
        <v>Inglaterra</v>
      </c>
      <c r="E123" s="16">
        <v>79</v>
      </c>
      <c r="F123" s="16">
        <v>80</v>
      </c>
      <c r="G123" s="16"/>
      <c r="H123" s="16"/>
      <c r="I123" s="16"/>
      <c r="J123" s="16">
        <v>92</v>
      </c>
      <c r="K123" s="16">
        <v>46208.875</v>
      </c>
      <c r="L123" s="16" t="s">
        <v>182</v>
      </c>
      <c r="M123" s="16" t="str">
        <f t="shared" ca="1" si="277"/>
        <v>México</v>
      </c>
      <c r="N123" s="16" t="str">
        <f t="shared" ca="1" si="277"/>
        <v>Inglaterra</v>
      </c>
      <c r="O123" s="16"/>
      <c r="P123" s="16"/>
      <c r="Q123" s="16"/>
      <c r="R123" s="16"/>
      <c r="S123" s="16"/>
      <c r="T123" s="16"/>
      <c r="U123" s="16"/>
      <c r="V123" s="17"/>
      <c r="W123" s="622"/>
      <c r="X123" s="24">
        <f ca="1">Horarios!C123</f>
        <v>46208.833333333343</v>
      </c>
      <c r="Y123" s="25">
        <f ca="1">Horarios!C123</f>
        <v>46208.833333333343</v>
      </c>
      <c r="Z123" s="274">
        <f t="shared" si="278"/>
        <v>92</v>
      </c>
      <c r="AA123" s="88" t="str">
        <f t="shared" ca="1" si="279"/>
        <v>México</v>
      </c>
      <c r="AB123" s="89"/>
      <c r="AC123" s="97">
        <v>2</v>
      </c>
      <c r="AD123" s="97">
        <v>3</v>
      </c>
      <c r="AE123" s="89"/>
      <c r="AF123" s="91" t="str">
        <f t="shared" ca="1" si="280"/>
        <v>Inglaterra</v>
      </c>
      <c r="AG123" s="320">
        <f t="shared" ca="1" si="281"/>
        <v>1</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ca="1" si="276"/>
        <v>España</v>
      </c>
      <c r="E124" s="16">
        <v>83</v>
      </c>
      <c r="F124" s="16">
        <v>84</v>
      </c>
      <c r="G124" s="16"/>
      <c r="H124" s="16"/>
      <c r="I124" s="16"/>
      <c r="J124" s="16">
        <v>93</v>
      </c>
      <c r="K124" s="16">
        <v>46209.75</v>
      </c>
      <c r="L124" s="16" t="s">
        <v>185</v>
      </c>
      <c r="M124" s="16" t="str">
        <f t="shared" ca="1" si="277"/>
        <v>Portugal</v>
      </c>
      <c r="N124" s="16" t="str">
        <f t="shared" ca="1" si="277"/>
        <v>España</v>
      </c>
      <c r="O124" s="16"/>
      <c r="P124" s="16"/>
      <c r="Q124" s="16"/>
      <c r="R124" s="16"/>
      <c r="S124" s="16"/>
      <c r="T124" s="16"/>
      <c r="U124" s="16"/>
      <c r="V124" s="17"/>
      <c r="W124" s="622"/>
      <c r="X124" s="24">
        <f ca="1">Horarios!C124</f>
        <v>46209.625</v>
      </c>
      <c r="Y124" s="25">
        <f ca="1">Horarios!C124</f>
        <v>46209.625</v>
      </c>
      <c r="Z124" s="274">
        <f t="shared" si="278"/>
        <v>93</v>
      </c>
      <c r="AA124" s="88" t="str">
        <f t="shared" ca="1" si="279"/>
        <v>Portugal</v>
      </c>
      <c r="AB124" s="98"/>
      <c r="AC124" s="97">
        <v>0</v>
      </c>
      <c r="AD124" s="97">
        <v>1</v>
      </c>
      <c r="AE124" s="90"/>
      <c r="AF124" s="91" t="str">
        <f t="shared" ca="1" si="280"/>
        <v>España</v>
      </c>
      <c r="AG124" s="320">
        <f t="shared" ca="1" si="281"/>
        <v>1</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ca="1" si="276"/>
        <v>Bélgica</v>
      </c>
      <c r="E125" s="16">
        <v>81</v>
      </c>
      <c r="F125" s="16">
        <v>82</v>
      </c>
      <c r="G125" s="16"/>
      <c r="H125" s="16"/>
      <c r="I125" s="16"/>
      <c r="J125" s="16">
        <v>94</v>
      </c>
      <c r="K125" s="16">
        <v>46209.875</v>
      </c>
      <c r="L125" s="16" t="s">
        <v>188</v>
      </c>
      <c r="M125" s="16" t="str">
        <f t="shared" ca="1" si="277"/>
        <v>Estados Unidos</v>
      </c>
      <c r="N125" s="16" t="str">
        <f t="shared" ca="1" si="277"/>
        <v>Bélgica</v>
      </c>
      <c r="O125" s="16"/>
      <c r="P125" s="16"/>
      <c r="Q125" s="16"/>
      <c r="R125" s="16"/>
      <c r="S125" s="16"/>
      <c r="T125" s="16"/>
      <c r="U125" s="16"/>
      <c r="V125" s="17"/>
      <c r="W125" s="622"/>
      <c r="X125" s="24">
        <f ca="1">Horarios!C125</f>
        <v>46209.833333333343</v>
      </c>
      <c r="Y125" s="25">
        <f ca="1">Horarios!C125</f>
        <v>46209.833333333343</v>
      </c>
      <c r="Z125" s="274">
        <f t="shared" si="278"/>
        <v>94</v>
      </c>
      <c r="AA125" s="88" t="str">
        <f t="shared" ca="1" si="279"/>
        <v>Estados Unidos</v>
      </c>
      <c r="AB125" s="89"/>
      <c r="AC125" s="99">
        <v>1</v>
      </c>
      <c r="AD125" s="99">
        <v>4</v>
      </c>
      <c r="AE125" s="89"/>
      <c r="AF125" s="91" t="str">
        <f t="shared" ca="1" si="280"/>
        <v>Bélgica</v>
      </c>
      <c r="AG125" s="320">
        <f t="shared" ca="1" si="281"/>
        <v>1</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ca="1" si="276"/>
        <v>Argentina</v>
      </c>
      <c r="E126" s="16">
        <v>86</v>
      </c>
      <c r="F126" s="16">
        <v>88</v>
      </c>
      <c r="G126" s="16"/>
      <c r="H126" s="16"/>
      <c r="I126" s="16"/>
      <c r="J126" s="16">
        <v>95</v>
      </c>
      <c r="K126" s="16">
        <v>46210.75</v>
      </c>
      <c r="L126" s="16" t="s">
        <v>191</v>
      </c>
      <c r="M126" s="16" t="str">
        <f t="shared" ca="1" si="277"/>
        <v>Argentina</v>
      </c>
      <c r="N126" s="16" t="str">
        <f t="shared" ca="1" si="277"/>
        <v>Egipto</v>
      </c>
      <c r="O126" s="16"/>
      <c r="P126" s="16"/>
      <c r="Q126" s="16"/>
      <c r="R126" s="16"/>
      <c r="S126" s="16"/>
      <c r="T126" s="16"/>
      <c r="U126" s="16"/>
      <c r="V126" s="17"/>
      <c r="W126" s="622"/>
      <c r="X126" s="24">
        <f ca="1">Horarios!C126</f>
        <v>46210.5</v>
      </c>
      <c r="Y126" s="25">
        <f ca="1">Horarios!C126</f>
        <v>46210.5</v>
      </c>
      <c r="Z126" s="274">
        <f t="shared" si="278"/>
        <v>95</v>
      </c>
      <c r="AA126" s="88" t="str">
        <f t="shared" ca="1" si="279"/>
        <v>Argentina</v>
      </c>
      <c r="AB126" s="89"/>
      <c r="AC126" s="99">
        <v>3</v>
      </c>
      <c r="AD126" s="99">
        <v>2</v>
      </c>
      <c r="AE126" s="89"/>
      <c r="AF126" s="91" t="str">
        <f t="shared" ca="1" si="280"/>
        <v>Egipto</v>
      </c>
      <c r="AG126" s="320">
        <f t="shared" ca="1" si="281"/>
        <v>1</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ca="1" si="276"/>
        <v>Suiza</v>
      </c>
      <c r="E127" s="16">
        <v>85</v>
      </c>
      <c r="F127" s="16">
        <v>87</v>
      </c>
      <c r="G127" s="16"/>
      <c r="H127" s="16"/>
      <c r="I127" s="16"/>
      <c r="J127" s="16">
        <v>96</v>
      </c>
      <c r="K127" s="16">
        <v>46210.875</v>
      </c>
      <c r="L127" s="16" t="s">
        <v>194</v>
      </c>
      <c r="M127" s="16" t="str">
        <f t="shared" ca="1" si="277"/>
        <v>Suiza</v>
      </c>
      <c r="N127" s="16" t="str">
        <f t="shared" ca="1" si="277"/>
        <v>Colombia</v>
      </c>
      <c r="O127" s="16"/>
      <c r="P127" s="16"/>
      <c r="Q127" s="16"/>
      <c r="R127" s="16"/>
      <c r="S127" s="16"/>
      <c r="T127" s="16"/>
      <c r="U127" s="16"/>
      <c r="V127" s="17"/>
      <c r="W127" s="623"/>
      <c r="X127" s="28">
        <f ca="1">Horarios!C127</f>
        <v>46210.666666666657</v>
      </c>
      <c r="Y127" s="29">
        <f ca="1">Horarios!C127</f>
        <v>46210.666666666657</v>
      </c>
      <c r="Z127" s="275">
        <f t="shared" si="278"/>
        <v>96</v>
      </c>
      <c r="AA127" s="93" t="str">
        <f t="shared" ca="1" si="279"/>
        <v>Suiza</v>
      </c>
      <c r="AB127" s="94">
        <v>4</v>
      </c>
      <c r="AC127" s="100">
        <v>0</v>
      </c>
      <c r="AD127" s="100">
        <v>0</v>
      </c>
      <c r="AE127" s="94">
        <v>3</v>
      </c>
      <c r="AF127" s="95" t="str">
        <f t="shared" ca="1" si="280"/>
        <v>Colombia</v>
      </c>
      <c r="AG127" s="320">
        <f t="shared" ca="1" si="281"/>
        <v>1</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 ca="1">IF(AND(OR(AC131="",AD131="")),"W"&amp;AH131,IF(AC131&gt;AD131,AA131,IF(AC131&lt;AD131,AF131,IF(AND(AC131=AD131,AB131=AE131),"W"&amp;AH131,IF(AND(AC131=AD131,OR(AB131="",AE131="")),"W"&amp;AH131,IF(AND(AC131=AD131,AB131&gt;AE131),AA131,AF131))))))</f>
        <v>Francia</v>
      </c>
      <c r="E131" s="16">
        <v>89</v>
      </c>
      <c r="F131" s="16">
        <v>90</v>
      </c>
      <c r="G131" s="16"/>
      <c r="H131" s="16"/>
      <c r="I131" s="16"/>
      <c r="J131" s="16">
        <v>97</v>
      </c>
      <c r="K131" s="16">
        <v>46212.75</v>
      </c>
      <c r="L131" s="16" t="s">
        <v>197</v>
      </c>
      <c r="M131" s="16" t="str">
        <f t="shared" ref="M131:N134" ca="1" si="282">+INDEX($D$101:$D$147,MATCH(E131,$AH$101:$AH$147,0))</f>
        <v>Francia</v>
      </c>
      <c r="N131" s="16" t="str">
        <f t="shared" ca="1" si="282"/>
        <v>Marruecos</v>
      </c>
      <c r="O131" s="16"/>
      <c r="P131" s="16"/>
      <c r="Q131" s="16"/>
      <c r="R131" s="16"/>
      <c r="S131" s="16"/>
      <c r="T131" s="16"/>
      <c r="U131" s="16"/>
      <c r="V131" s="17"/>
      <c r="W131" s="621" t="s">
        <v>198</v>
      </c>
      <c r="X131" s="24">
        <f ca="1">Horarios!C131</f>
        <v>46212.666666666657</v>
      </c>
      <c r="Y131" s="25">
        <f ca="1">Horarios!C131</f>
        <v>46212.666666666657</v>
      </c>
      <c r="Z131" s="276">
        <f>AH131</f>
        <v>97</v>
      </c>
      <c r="AA131" s="88" t="str">
        <f ca="1">+INDEX($M$101:$M$147,MATCH(AH131,$J$101:$J$147,0))</f>
        <v>Francia</v>
      </c>
      <c r="AB131" s="98"/>
      <c r="AC131" s="96">
        <v>2</v>
      </c>
      <c r="AD131" s="96">
        <v>0</v>
      </c>
      <c r="AE131" s="90"/>
      <c r="AF131" s="116" t="str">
        <f ca="1">+INDEX($N$101:$N$147,MATCH(AH131,$J$101:$J$147,0))</f>
        <v>Marruecos</v>
      </c>
      <c r="AG131" s="320">
        <f ca="1">IF(D131="W"&amp;AH131,0,1)</f>
        <v>1</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 ca="1">IF(AND(OR(AC132="",AD132="")),"W"&amp;AH132,IF(AC132&gt;AD132,AA132,IF(AC132&lt;AD132,AF132,IF(AND(AC132=AD132,AB132=AE132),"W"&amp;AH132,IF(AND(AC132=AD132,OR(AB132="",AE132="")),"W"&amp;AH132,IF(AND(AC132=AD132,AB132&gt;AE132),AA132,AF132))))))</f>
        <v>España</v>
      </c>
      <c r="E132" s="16">
        <v>93</v>
      </c>
      <c r="F132" s="16">
        <v>94</v>
      </c>
      <c r="G132" s="16"/>
      <c r="H132" s="16"/>
      <c r="I132" s="16"/>
      <c r="J132" s="16">
        <v>98</v>
      </c>
      <c r="K132" s="16">
        <v>46213.875</v>
      </c>
      <c r="L132" s="16" t="s">
        <v>201</v>
      </c>
      <c r="M132" s="16" t="str">
        <f t="shared" ca="1" si="282"/>
        <v>España</v>
      </c>
      <c r="N132" s="16" t="str">
        <f t="shared" ca="1" si="282"/>
        <v>Bélgica</v>
      </c>
      <c r="O132" s="16"/>
      <c r="P132" s="16"/>
      <c r="Q132" s="16"/>
      <c r="R132" s="16"/>
      <c r="S132" s="16"/>
      <c r="T132" s="16"/>
      <c r="U132" s="16"/>
      <c r="V132" s="17"/>
      <c r="W132" s="622"/>
      <c r="X132" s="24">
        <f ca="1">Horarios!C132</f>
        <v>46213.625</v>
      </c>
      <c r="Y132" s="25">
        <f ca="1">Horarios!C132</f>
        <v>46213.625</v>
      </c>
      <c r="Z132" s="276">
        <f>AH132</f>
        <v>98</v>
      </c>
      <c r="AA132" s="88" t="str">
        <f ca="1">+INDEX($M$101:$M$147,MATCH(AH132,$J$101:$J$147,0))</f>
        <v>España</v>
      </c>
      <c r="AB132" s="89"/>
      <c r="AC132" s="99">
        <v>2</v>
      </c>
      <c r="AD132" s="99">
        <v>1</v>
      </c>
      <c r="AE132" s="89"/>
      <c r="AF132" s="116" t="str">
        <f ca="1">+INDEX($N$101:$N$147,MATCH(AH132,$J$101:$J$147,0))</f>
        <v>Bélgica</v>
      </c>
      <c r="AG132" s="320">
        <f ca="1">IF(D132="W"&amp;AH132,0,1)</f>
        <v>1</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 ca="1">IF(AND(OR(AC133="",AD133="")),"W"&amp;AH133,IF(AC133&gt;AD133,AA133,IF(AC133&lt;AD133,AF133,IF(AND(AC133=AD133,AB133=AE133),"W"&amp;AH133,IF(AND(AC133=AD133,OR(AB133="",AE133="")),"W"&amp;AH133,IF(AND(AC133=AD133,AB133&gt;AE133),AA133,AF133))))))</f>
        <v>Inglaterra</v>
      </c>
      <c r="E133" s="16">
        <v>91</v>
      </c>
      <c r="F133" s="16">
        <v>92</v>
      </c>
      <c r="G133" s="16"/>
      <c r="H133" s="16"/>
      <c r="I133" s="16"/>
      <c r="J133" s="16">
        <v>99</v>
      </c>
      <c r="K133" s="16">
        <v>46214.75</v>
      </c>
      <c r="L133" s="16" t="s">
        <v>204</v>
      </c>
      <c r="M133" s="16" t="str">
        <f t="shared" ca="1" si="282"/>
        <v>Noruega</v>
      </c>
      <c r="N133" s="16" t="str">
        <f t="shared" ca="1" si="282"/>
        <v>Inglaterra</v>
      </c>
      <c r="O133" s="16"/>
      <c r="P133" s="16"/>
      <c r="Q133" s="16"/>
      <c r="R133" s="16"/>
      <c r="S133" s="16"/>
      <c r="T133" s="16"/>
      <c r="U133" s="16"/>
      <c r="V133" s="17"/>
      <c r="W133" s="622"/>
      <c r="X133" s="24">
        <f ca="1">Horarios!C133</f>
        <v>46214.708333333343</v>
      </c>
      <c r="Y133" s="25">
        <f ca="1">Horarios!C133</f>
        <v>46214.708333333343</v>
      </c>
      <c r="Z133" s="276">
        <f>AH133</f>
        <v>99</v>
      </c>
      <c r="AA133" s="88" t="str">
        <f ca="1">+INDEX($M$101:$M$147,MATCH(AH133,$J$101:$J$147,0))</f>
        <v>Noruega</v>
      </c>
      <c r="AB133" s="89"/>
      <c r="AC133" s="99">
        <v>1</v>
      </c>
      <c r="AD133" s="99">
        <v>2</v>
      </c>
      <c r="AE133" s="89"/>
      <c r="AF133" s="116" t="str">
        <f ca="1">+INDEX($N$101:$N$147,MATCH(AH133,$J$101:$J$147,0))</f>
        <v>Inglaterra</v>
      </c>
      <c r="AG133" s="320">
        <f ca="1">IF(D133="W"&amp;AH133,0,1)</f>
        <v>1</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 ca="1">IF(AND(OR(AC134="",AD134="")),"W"&amp;AH134,IF(AC134&gt;AD134,AA134,IF(AC134&lt;AD134,AF134,IF(AND(AC134=AD134,AB134=AE134),"W"&amp;AH134,IF(AND(AC134=AD134,OR(AB134="",AE134="")),"W"&amp;AH134,IF(AND(AC134=AD134,AB134&gt;AE134),AA134,AF134))))))</f>
        <v>Argentina</v>
      </c>
      <c r="E134" s="16">
        <v>95</v>
      </c>
      <c r="F134" s="16">
        <v>96</v>
      </c>
      <c r="G134" s="16"/>
      <c r="H134" s="16"/>
      <c r="I134" s="16"/>
      <c r="J134" s="16">
        <v>100</v>
      </c>
      <c r="K134" s="16">
        <v>46214.875</v>
      </c>
      <c r="L134" s="16" t="s">
        <v>207</v>
      </c>
      <c r="M134" s="16" t="str">
        <f t="shared" ca="1" si="282"/>
        <v>Argentina</v>
      </c>
      <c r="N134" s="16" t="str">
        <f t="shared" ca="1" si="282"/>
        <v>Suiza</v>
      </c>
      <c r="O134" s="16"/>
      <c r="P134" s="16"/>
      <c r="Q134" s="16"/>
      <c r="R134" s="16"/>
      <c r="S134" s="16"/>
      <c r="T134" s="16"/>
      <c r="U134" s="16"/>
      <c r="V134" s="17"/>
      <c r="W134" s="623"/>
      <c r="X134" s="28">
        <f ca="1">Horarios!C134</f>
        <v>46214.875</v>
      </c>
      <c r="Y134" s="29">
        <f ca="1">Horarios!C134</f>
        <v>46214.875</v>
      </c>
      <c r="Z134" s="277">
        <f>AH134</f>
        <v>100</v>
      </c>
      <c r="AA134" s="93" t="str">
        <f ca="1">+INDEX($M$101:$M$147,MATCH(AH134,$J$101:$J$147,0))</f>
        <v>Argentina</v>
      </c>
      <c r="AB134" s="94"/>
      <c r="AC134" s="100">
        <v>3</v>
      </c>
      <c r="AD134" s="100">
        <v>1</v>
      </c>
      <c r="AE134" s="94"/>
      <c r="AF134" s="117" t="str">
        <f ca="1">+INDEX($N$101:$N$147,MATCH(AH134,$J$101:$J$147,0))</f>
        <v>Suiza</v>
      </c>
      <c r="AG134" s="320">
        <f ca="1">IF(D134="W"&amp;AH134,0,1)</f>
        <v>1</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 ca="1">+INDEX($D$101:$D$147,MATCH(E138,$AH$101:$AH$147,0))</f>
        <v>Francia</v>
      </c>
      <c r="N138" s="16" t="str">
        <f ca="1">+INDEX($D$101:$D$147,MATCH(F138,$AH$101:$AH$147,0))</f>
        <v>España</v>
      </c>
      <c r="O138" s="16"/>
      <c r="P138" s="16"/>
      <c r="Q138" s="16"/>
      <c r="R138" s="16"/>
      <c r="S138" s="16"/>
      <c r="T138" s="16"/>
      <c r="U138" s="16"/>
      <c r="V138" s="17"/>
      <c r="W138" s="640" t="s">
        <v>214</v>
      </c>
      <c r="X138" s="24">
        <f ca="1">Horarios!C138</f>
        <v>46217.625</v>
      </c>
      <c r="Y138" s="25">
        <f ca="1">Horarios!C138</f>
        <v>46217.625</v>
      </c>
      <c r="Z138" s="276">
        <f>AH138</f>
        <v>101</v>
      </c>
      <c r="AA138" s="88" t="str">
        <f ca="1">+INDEX($M$101:$M$147,MATCH(AH138,$J$101:$J$147,0))</f>
        <v>Francia</v>
      </c>
      <c r="AB138" s="89"/>
      <c r="AC138" s="101"/>
      <c r="AD138" s="101"/>
      <c r="AE138" s="89"/>
      <c r="AF138" s="116" t="str">
        <f ca="1">+INDEX($N$101:$N$147,MATCH(AH138,$J$101:$J$147,0))</f>
        <v>España</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 ca="1">+INDEX($D$101:$D$147,MATCH(E139,$AH$101:$AH$147,0))</f>
        <v>Inglaterra</v>
      </c>
      <c r="N139" s="16" t="str">
        <f ca="1">+INDEX($D$101:$D$147,MATCH(F139,$AH$101:$AH$147,0))</f>
        <v>Argentina</v>
      </c>
      <c r="O139" s="16"/>
      <c r="P139" s="16"/>
      <c r="Q139" s="16"/>
      <c r="R139" s="16"/>
      <c r="S139" s="16"/>
      <c r="T139" s="16"/>
      <c r="U139" s="16"/>
      <c r="V139" s="17"/>
      <c r="W139" s="641"/>
      <c r="X139" s="123">
        <f ca="1">Horarios!C139</f>
        <v>46218.625</v>
      </c>
      <c r="Y139" s="124">
        <f ca="1">Horarios!C139</f>
        <v>46218.625</v>
      </c>
      <c r="Z139" s="278">
        <f>AH139</f>
        <v>102</v>
      </c>
      <c r="AA139" s="139" t="str">
        <f ca="1">+INDEX($M$101:$M$147,MATCH(AH139,$J$101:$J$147,0))</f>
        <v>Inglaterra</v>
      </c>
      <c r="AB139" s="140"/>
      <c r="AC139" s="100"/>
      <c r="AD139" s="100"/>
      <c r="AE139" s="140"/>
      <c r="AF139" s="141" t="str">
        <f ca="1">+INDEX($N$101:$N$147,MATCH(AH139,$J$101:$J$147,0))</f>
        <v>Argentina</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X|3-3</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2|1-3</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Sudáfrica</v>
      </c>
      <c r="D81" s="656"/>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Corea del Sur</v>
      </c>
      <c r="D82" s="656"/>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República Checa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Brasil</v>
      </c>
      <c r="D88" s="656"/>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Marruecos</v>
      </c>
      <c r="D89" s="656"/>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Estados Unidos</v>
      </c>
      <c r="D92" s="656"/>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Australia</v>
      </c>
      <c r="D93" s="656"/>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Paraguay</v>
      </c>
      <c r="D94" s="656"/>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Turquía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Alemania</v>
      </c>
      <c r="D96" s="656"/>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Costa de Marfil</v>
      </c>
      <c r="D97" s="656"/>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Ecuador</v>
      </c>
      <c r="D98" s="656"/>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Japón</v>
      </c>
      <c r="D101" s="656"/>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Cabo Verde</v>
      </c>
      <c r="D109" s="656"/>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Uruguay</v>
      </c>
      <c r="D110" s="656"/>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Arabia Saudita</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Noruega</v>
      </c>
      <c r="D113" s="656"/>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Senegal</v>
      </c>
      <c r="D114" s="656"/>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Austria</v>
      </c>
      <c r="D117" s="656"/>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Argelia</v>
      </c>
      <c r="D118" s="656"/>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Colombia</v>
      </c>
      <c r="D120" s="656"/>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Portugal</v>
      </c>
      <c r="D121" s="656"/>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RD Congo</v>
      </c>
      <c r="D122" s="656"/>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Uzbekistán</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Inglaterra</v>
      </c>
      <c r="D124" s="656"/>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Croacia</v>
      </c>
      <c r="D125" s="656"/>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Ghana</v>
      </c>
      <c r="D126" s="656"/>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Sudáfrica</v>
      </c>
      <c r="D130" s="656"/>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Brasil</v>
      </c>
      <c r="D131" s="656"/>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Alemania</v>
      </c>
      <c r="D132" s="656"/>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Costa de Marfil</v>
      </c>
      <c r="D134" s="656"/>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Inglaterra</v>
      </c>
      <c r="D137" s="656"/>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Estados Unidos</v>
      </c>
      <c r="D139" s="656"/>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Portugal</v>
      </c>
      <c r="D141" s="656"/>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Australia</v>
      </c>
      <c r="D143" s="656"/>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Colombia</v>
      </c>
      <c r="D145" s="656"/>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Japón</v>
      </c>
      <c r="D147" s="656"/>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Paraguay</v>
      </c>
      <c r="D148" s="656"/>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Marruecos</v>
      </c>
      <c r="D149" s="656"/>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Noruega</v>
      </c>
      <c r="D150" s="656"/>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Suecia</v>
      </c>
      <c r="D151" s="656"/>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Ecuador</v>
      </c>
      <c r="D152" s="656"/>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RD Congo</v>
      </c>
      <c r="D153" s="656"/>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Senegal</v>
      </c>
      <c r="D154" s="656"/>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Bosnia y Herzegovina</v>
      </c>
      <c r="D155" s="656"/>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Austria</v>
      </c>
      <c r="D156" s="656"/>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Croacia</v>
      </c>
      <c r="D157" s="656"/>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Argelia</v>
      </c>
      <c r="D158" s="656"/>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Cabo Verde</v>
      </c>
      <c r="D160" s="656"/>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Ghana</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Sudáfrica-Canadá·2|0-1</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Brasil-Japón·1|2-1</v>
      </c>
      <c r="D165" s="620"/>
      <c r="E165" s="656"/>
      <c r="F165" s="656"/>
      <c r="G165" s="656"/>
      <c r="H165" s="656"/>
      <c r="I165" s="345"/>
      <c r="J165" s="361"/>
      <c r="K165" s="361"/>
      <c r="L165" s="361"/>
      <c r="M165" s="377"/>
      <c r="N165" s="368"/>
    </row>
    <row r="166" spans="1:14" ht="15" customHeight="1" x14ac:dyDescent="0.2">
      <c r="A166" s="620"/>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Alemania-Paraguay·X|1-1</v>
      </c>
      <c r="D166" s="620"/>
      <c r="E166" s="656"/>
      <c r="F166" s="656"/>
      <c r="G166" s="656"/>
      <c r="H166" s="656"/>
      <c r="I166" s="345"/>
      <c r="J166" s="361"/>
      <c r="K166" s="361"/>
      <c r="L166" s="361"/>
      <c r="M166" s="377"/>
      <c r="N166" s="368"/>
    </row>
    <row r="167" spans="1:14" ht="15" customHeight="1" x14ac:dyDescent="0.2">
      <c r="A167" s="620"/>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Bajos-Marruecos·X|1-1</v>
      </c>
      <c r="D167" s="620"/>
      <c r="E167" s="656"/>
      <c r="F167" s="656"/>
      <c r="G167" s="656"/>
      <c r="H167" s="656"/>
      <c r="I167" s="345"/>
      <c r="J167" s="361"/>
      <c r="K167" s="361"/>
      <c r="L167" s="361"/>
      <c r="M167" s="377"/>
      <c r="N167" s="368"/>
    </row>
    <row r="168" spans="1:14" ht="15" customHeight="1" x14ac:dyDescent="0.2">
      <c r="A168" s="620"/>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Marfil-Noruega·2|1-2</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Francia-Suecia·1|3-0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México-Ecuador·1|2-0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Congo·1|2-1</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Bélgica-Senegal·1|3-2</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Estados Unidos-Bosnia y Herzegovina</v>
      </c>
      <c r="C173" s="342" t="str">
        <f ca="1">CONCATENATE(WORLDCUP!AA110,"-",WORLDCUP!AF110,"·",IF(WORLDCUP!AC110&gt;WORLDCUP!AD110,1,IF(WORLDCUP!AC110&lt;WORLDCUP!AD110,2,IF(AND(WORLDCUP!AC110=WORLDCUP!AD110,WORLDCUP!AC110&lt;&gt;"",WORLDCUP!AD110&lt;&gt;""),"X",0))),"|",WORLDCUP!AC110,"-",WORLDCUP!AD110)</f>
        <v>Estados Unidos-Bosnia y Herzegovina·1|2-0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España-Austria·1|3-0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Portugal-Croacia·1|2-1</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Suiza-Argelia·1|2-0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Australia-Egipto·X|1-1</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Argentina-Cabo Verde</v>
      </c>
      <c r="C178" s="342" t="str">
        <f ca="1">CONCATENATE(WORLDCUP!AA115,"-",WORLDCUP!AF115,"·",IF(WORLDCUP!AC115&gt;WORLDCUP!AD115,1,IF(WORLDCUP!AC115&lt;WORLDCUP!AD115,2,IF(AND(WORLDCUP!AC115=WORLDCUP!AD115,WORLDCUP!AC115&lt;&gt;"",WORLDCUP!AD115&lt;&gt;""),"X",0))),"|",WORLDCUP!AC115,"-",WORLDCUP!AD115)</f>
        <v>Argentina-Cabo Verde·1|3-2</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Colombia-Ghana·1|1-0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 ca="1">WORLDCUP!AA120</f>
        <v>Canadá</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 ca="1">WORLDCUP!AA121</f>
        <v>Paraguay</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 ca="1">WORLDCUP!AA122</f>
        <v>Brasil</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 ca="1">WORLDCUP!AA123</f>
        <v>México</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 ca="1">WORLDCUP!AA124</f>
        <v>Portugal</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 ca="1">WORLDCUP!AA125</f>
        <v>Estados Unidos</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 ca="1">WORLDCUP!AA126</f>
        <v>Argentina</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 ca="1">WORLDCUP!AA127</f>
        <v>Suiza</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 ca="1">WORLDCUP!AF120</f>
        <v>Marruecos</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 ca="1">WORLDCUP!AF121</f>
        <v>Francia</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 ca="1">WORLDCUP!AF122</f>
        <v>Noruega</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 ca="1">WORLDCUP!AF123</f>
        <v>Inglaterra</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 ca="1">WORLDCUP!AF124</f>
        <v>España</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 ca="1">WORLDCUP!AF125</f>
        <v>Bélgica</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 ca="1">WORLDCUP!AF126</f>
        <v>Egipto</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 ca="1">WORLDCUP!AF127</f>
        <v>Colombia</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 ca="1">CONCATENATE(WORLDCUP!AA120,"-",WORLDCUP!AF120)</f>
        <v>Canadá-Marruecos</v>
      </c>
      <c r="C200" s="344" t="str">
        <f ca="1">CONCATENATE(WORLDCUP!AA120,"-",WORLDCUP!AF120,"·",IF(WORLDCUP!AC120&gt;WORLDCUP!AD120,1,IF(WORLDCUP!AC120&lt;WORLDCUP!AD120,2,IF(AND(WORLDCUP!AC120=WORLDCUP!AD120,WORLDCUP!AC120&lt;&gt;"",WORLDCUP!AD120&lt;&gt;""),"X",0))),"|",WORLDCUP!AC120,"-",WORLDCUP!AD120)</f>
        <v>Canadá-Marruecos·2|0-3</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0"/>
      <c r="B201" s="353" t="str">
        <f ca="1">CONCATENATE(WORLDCUP!AA121,"-",WORLDCUP!AF121)</f>
        <v>Paraguay-Francia</v>
      </c>
      <c r="C201" s="344" t="str">
        <f ca="1">CONCATENATE(WORLDCUP!AA121,"-",WORLDCUP!AF121,"·",IF(WORLDCUP!AC121&gt;WORLDCUP!AD121,1,IF(WORLDCUP!AC121&lt;WORLDCUP!AD121,2,IF(AND(WORLDCUP!AC121=WORLDCUP!AD121,WORLDCUP!AC121&lt;&gt;"",WORLDCUP!AD121&lt;&gt;""),"X",0))),"|",WORLDCUP!AC121,"-",WORLDCUP!AD121)</f>
        <v>Paraguay-Francia·2|0-1</v>
      </c>
      <c r="D201" s="620"/>
      <c r="E201" s="656"/>
      <c r="F201" s="656"/>
      <c r="G201" s="656"/>
      <c r="H201" s="656"/>
      <c r="I201" s="345"/>
      <c r="J201" s="361"/>
      <c r="K201" s="361"/>
      <c r="L201" s="361"/>
      <c r="M201" s="377"/>
      <c r="N201" s="368"/>
    </row>
    <row r="202" spans="1:14" ht="15" customHeight="1" x14ac:dyDescent="0.2">
      <c r="A202" s="620"/>
      <c r="B202" s="353" t="str">
        <f ca="1">CONCATENATE(WORLDCUP!AA122,"-",WORLDCUP!AF122)</f>
        <v>Brasil-Noruega</v>
      </c>
      <c r="C202" s="344" t="str">
        <f ca="1">CONCATENATE(WORLDCUP!AA122,"-",WORLDCUP!AF122,"·",IF(WORLDCUP!AC122&gt;WORLDCUP!AD122,1,IF(WORLDCUP!AC122&lt;WORLDCUP!AD122,2,IF(AND(WORLDCUP!AC122=WORLDCUP!AD122,WORLDCUP!AC122&lt;&gt;"",WORLDCUP!AD122&lt;&gt;""),"X",0))),"|",WORLDCUP!AC122,"-",WORLDCUP!AD122)</f>
        <v>Brasil-Noruega·2|1-2</v>
      </c>
      <c r="D202" s="620"/>
      <c r="E202" s="656"/>
      <c r="F202" s="656"/>
      <c r="G202" s="656"/>
      <c r="H202" s="656"/>
      <c r="I202" s="345"/>
      <c r="J202" s="361"/>
      <c r="K202" s="361"/>
      <c r="L202" s="361"/>
      <c r="M202" s="377"/>
      <c r="N202" s="368"/>
    </row>
    <row r="203" spans="1:14" ht="15" customHeight="1" x14ac:dyDescent="0.2">
      <c r="A203" s="620"/>
      <c r="B203" s="353" t="str">
        <f ca="1">CONCATENATE(WORLDCUP!AA123,"-",WORLDCUP!AF123)</f>
        <v>México-Inglaterra</v>
      </c>
      <c r="C203" s="344" t="str">
        <f ca="1">CONCATENATE(WORLDCUP!AA123,"-",WORLDCUP!AF123,"·",IF(WORLDCUP!AC123&gt;WORLDCUP!AD123,1,IF(WORLDCUP!AC123&lt;WORLDCUP!AD123,2,IF(AND(WORLDCUP!AC123=WORLDCUP!AD123,WORLDCUP!AC123&lt;&gt;"",WORLDCUP!AD123&lt;&gt;""),"X",0))),"|",WORLDCUP!AC123,"-",WORLDCUP!AD123)</f>
        <v>México-Inglaterra·2|2-3</v>
      </c>
      <c r="D203" s="620"/>
      <c r="E203" s="656"/>
      <c r="F203" s="656"/>
      <c r="G203" s="656"/>
      <c r="H203" s="656"/>
      <c r="I203" s="345"/>
      <c r="J203" s="361"/>
      <c r="K203" s="361"/>
      <c r="L203" s="361"/>
      <c r="M203" s="377"/>
      <c r="N203" s="368"/>
    </row>
    <row r="204" spans="1:14" ht="15" customHeight="1" x14ac:dyDescent="0.2">
      <c r="A204" s="620"/>
      <c r="B204" s="353" t="str">
        <f ca="1">CONCATENATE(WORLDCUP!AA124,"-",WORLDCUP!AF124)</f>
        <v>Portugal-España</v>
      </c>
      <c r="C204" s="344" t="str">
        <f ca="1">CONCATENATE(WORLDCUP!AA124,"-",WORLDCUP!AF124,"·",IF(WORLDCUP!AC124&gt;WORLDCUP!AD124,1,IF(WORLDCUP!AC124&lt;WORLDCUP!AD124,2,IF(AND(WORLDCUP!AC124=WORLDCUP!AD124,WORLDCUP!AC124&lt;&gt;"",WORLDCUP!AD124&lt;&gt;""),"X",0))),"|",WORLDCUP!AC124,"-",WORLDCUP!AD124)</f>
        <v>Portugal-España·2|0-1</v>
      </c>
      <c r="D204" s="620"/>
      <c r="E204" s="345"/>
      <c r="F204" s="345"/>
      <c r="G204" s="345"/>
      <c r="H204" s="345"/>
      <c r="I204" s="345"/>
      <c r="J204" s="361"/>
      <c r="K204" s="361"/>
      <c r="L204" s="361"/>
      <c r="M204" s="377"/>
      <c r="N204" s="368"/>
    </row>
    <row r="205" spans="1:14" ht="15" customHeight="1" x14ac:dyDescent="0.2">
      <c r="A205" s="620"/>
      <c r="B205" s="353" t="str">
        <f ca="1">CONCATENATE(WORLDCUP!AA125,"-",WORLDCUP!AF125)</f>
        <v>Estados Unidos-Bélgica</v>
      </c>
      <c r="C205" s="344" t="str">
        <f ca="1">CONCATENATE(WORLDCUP!AA125,"-",WORLDCUP!AF125,"·",IF(WORLDCUP!AC125&gt;WORLDCUP!AD125,1,IF(WORLDCUP!AC125&lt;WORLDCUP!AD125,2,IF(AND(WORLDCUP!AC125=WORLDCUP!AD125,WORLDCUP!AC125&lt;&gt;"",WORLDCUP!AD125&lt;&gt;""),"X",0))),"|",WORLDCUP!AC125,"-",WORLDCUP!AD125)</f>
        <v>Estados Unidos-Bélgica·2|1-4</v>
      </c>
      <c r="D205" s="620"/>
      <c r="E205" s="345"/>
      <c r="F205" s="345"/>
      <c r="G205" s="345"/>
      <c r="H205" s="345"/>
      <c r="I205" s="345"/>
      <c r="J205" s="361"/>
      <c r="K205" s="361"/>
      <c r="L205" s="361"/>
      <c r="M205" s="377"/>
      <c r="N205" s="368"/>
    </row>
    <row r="206" spans="1:14" ht="15" customHeight="1" x14ac:dyDescent="0.2">
      <c r="A206" s="620"/>
      <c r="B206" s="353" t="str">
        <f ca="1">CONCATENATE(WORLDCUP!AA126,"-",WORLDCUP!AF126)</f>
        <v>Argentina-Egipto</v>
      </c>
      <c r="C206" s="344" t="str">
        <f ca="1">CONCATENATE(WORLDCUP!AA126,"-",WORLDCUP!AF126,"·",IF(WORLDCUP!AC126&gt;WORLDCUP!AD126,1,IF(WORLDCUP!AC126&lt;WORLDCUP!AD126,2,IF(AND(WORLDCUP!AC126=WORLDCUP!AD126,WORLDCUP!AC126&lt;&gt;"",WORLDCUP!AD126&lt;&gt;""),"X",0))),"|",WORLDCUP!AC126,"-",WORLDCUP!AD126)</f>
        <v>Argentina-Egipto·1|3-2</v>
      </c>
      <c r="D206" s="620"/>
      <c r="E206" s="345"/>
      <c r="F206" s="345"/>
      <c r="G206" s="345"/>
      <c r="H206" s="345"/>
      <c r="I206" s="345"/>
      <c r="J206" s="361"/>
      <c r="K206" s="361"/>
      <c r="L206" s="361"/>
      <c r="M206" s="377"/>
      <c r="N206" s="368"/>
    </row>
    <row r="207" spans="1:14" ht="15" customHeight="1" x14ac:dyDescent="0.2">
      <c r="A207" s="620"/>
      <c r="B207" s="353" t="str">
        <f ca="1">CONCATENATE(WORLDCUP!AA127,"-",WORLDCUP!AF127)</f>
        <v>Suiza-Colombia</v>
      </c>
      <c r="C207" s="344" t="str">
        <f ca="1">CONCATENATE(WORLDCUP!AA127,"-",WORLDCUP!AF127,"·",IF(WORLDCUP!AC127&gt;WORLDCUP!AD127,1,IF(WORLDCUP!AC127&lt;WORLDCUP!AD127,2,IF(AND(WORLDCUP!AC127=WORLDCUP!AD127,WORLDCUP!AC127&lt;&gt;"",WORLDCUP!AD127&lt;&gt;""),"X",0))),"|",WORLDCUP!AC127,"-",WORLDCUP!AD127)</f>
        <v>Suiza-Colombia·X|0-0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 ca="1">WORLDCUP!AA131</f>
        <v>Francia</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 ca="1">WORLDCUP!AA132</f>
        <v>España</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 ca="1">WORLDCUP!AA133</f>
        <v>Noruega</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 ca="1">WORLDCUP!AA134</f>
        <v>Argentina</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 ca="1">WORLDCUP!AF131</f>
        <v>Marruecos</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 ca="1">WORLDCUP!AF132</f>
        <v>Bélgica</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 ca="1">WORLDCUP!AF133</f>
        <v>Inglaterra</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 ca="1">WORLDCUP!AF134</f>
        <v>Suiza</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 ca="1">CONCATENATE(WORLDCUP!AA131,"-",WORLDCUP!AF131)</f>
        <v>Francia-Marruecos</v>
      </c>
      <c r="C220" s="342" t="str">
        <f ca="1">CONCATENATE(WORLDCUP!AA131,"-",WORLDCUP!AF131,"·",IF(WORLDCUP!AC131&gt;WORLDCUP!AD131,1,IF(WORLDCUP!AC131&lt;WORLDCUP!AD131,2,IF(AND(WORLDCUP!AC131=WORLDCUP!AD131,WORLDCUP!AC131&lt;&gt;"",WORLDCUP!AD131&lt;&gt;""),"X",0))),"|",WORLDCUP!AC131,"-",WORLDCUP!AD131)</f>
        <v>Francia-Marruecos·1|2-0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0"/>
      <c r="B221" s="352" t="str">
        <f ca="1">CONCATENATE(WORLDCUP!AA132,"-",WORLDCUP!AF132)</f>
        <v>España-Bélgica</v>
      </c>
      <c r="C221" s="342" t="str">
        <f ca="1">CONCATENATE(WORLDCUP!AA132,"-",WORLDCUP!AF132,"·",IF(WORLDCUP!AC132&gt;WORLDCUP!AD132,1,IF(WORLDCUP!AC132&lt;WORLDCUP!AD132,2,IF(AND(WORLDCUP!AC132=WORLDCUP!AD132,WORLDCUP!AC132&lt;&gt;"",WORLDCUP!AD132&lt;&gt;""),"X",0))),"|",WORLDCUP!AC132,"-",WORLDCUP!AD132)</f>
        <v>España-Bélgica·1|2-1</v>
      </c>
      <c r="D221" s="620"/>
      <c r="E221" s="656"/>
      <c r="F221" s="656"/>
      <c r="G221" s="656"/>
      <c r="H221" s="656"/>
      <c r="I221" s="345"/>
      <c r="J221" s="361"/>
      <c r="K221" s="361"/>
      <c r="L221" s="361"/>
      <c r="M221" s="377"/>
      <c r="N221" s="368"/>
    </row>
    <row r="222" spans="1:14" ht="15" customHeight="1" x14ac:dyDescent="0.2">
      <c r="A222" s="620"/>
      <c r="B222" s="352" t="str">
        <f ca="1">CONCATENATE(WORLDCUP!AA133,"-",WORLDCUP!AF133)</f>
        <v>Noruega-Inglaterra</v>
      </c>
      <c r="C222" s="342" t="str">
        <f ca="1">CONCATENATE(WORLDCUP!AA133,"-",WORLDCUP!AF133,"·",IF(WORLDCUP!AC133&gt;WORLDCUP!AD133,1,IF(WORLDCUP!AC133&lt;WORLDCUP!AD133,2,IF(AND(WORLDCUP!AC133=WORLDCUP!AD133,WORLDCUP!AC133&lt;&gt;"",WORLDCUP!AD133&lt;&gt;""),"X",0))),"|",WORLDCUP!AC133,"-",WORLDCUP!AD133)</f>
        <v>Noruega-Inglaterra·2|1-2</v>
      </c>
      <c r="D222" s="620"/>
      <c r="E222" s="656"/>
      <c r="F222" s="656"/>
      <c r="G222" s="656"/>
      <c r="H222" s="656"/>
      <c r="I222" s="345"/>
      <c r="J222" s="361"/>
      <c r="K222" s="361"/>
      <c r="L222" s="361"/>
      <c r="M222" s="377"/>
      <c r="N222" s="368"/>
    </row>
    <row r="223" spans="1:14" ht="15" customHeight="1" x14ac:dyDescent="0.2">
      <c r="A223" s="620"/>
      <c r="B223" s="352" t="str">
        <f ca="1">CONCATENATE(WORLDCUP!AA134,"-",WORLDCUP!AF134)</f>
        <v>Argentina-Suiza</v>
      </c>
      <c r="C223" s="342" t="str">
        <f ca="1">CONCATENATE(WORLDCUP!AA134,"-",WORLDCUP!AF134,"·",IF(WORLDCUP!AC134&gt;WORLDCUP!AD134,1,IF(WORLDCUP!AC134&lt;WORLDCUP!AD134,2,IF(AND(WORLDCUP!AC134=WORLDCUP!AD134,WORLDCUP!AC134&lt;&gt;"",WORLDCUP!AD134&lt;&gt;""),"X",0))),"|",WORLDCUP!AC134,"-",WORLDCUP!AD134)</f>
        <v>Argentina-Suiza·1|3-1</v>
      </c>
      <c r="D223" s="620"/>
      <c r="E223" s="656"/>
      <c r="F223" s="656"/>
      <c r="G223" s="656"/>
      <c r="H223" s="656"/>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 ca="1">WORLDCUP!AA138</f>
        <v>Francia</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 ca="1">WORLDCUP!AA139</f>
        <v>Inglaterra</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 ca="1">WORLDCUP!AF138</f>
        <v>España</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 ca="1">WORLDCUP!AF139</f>
        <v>Argentina</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 ca="1">CONCATENATE(WORLDCUP!AA138,"-",WORLDCUP!AF138)</f>
        <v>Francia-España</v>
      </c>
      <c r="C232" s="344" t="str">
        <f ca="1">CONCATENATE(WORLDCUP!AA138,"-",WORLDCUP!AF138,"·",IF(WORLDCUP!AC138&gt;WORLDCUP!AD138,1,IF(WORLDCUP!AC138&lt;WORLDCUP!AD138,2,IF(AND(WORLDCUP!AC138=WORLDCUP!AD138,WORLDCUP!AC138&lt;&gt;"",WORLDCUP!AD138&lt;&gt;""),"X",0))),"|",WORLDCUP!AC138,"-",WORLDCUP!AD138)</f>
        <v>Francia-España·0|-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0"/>
      <c r="B233" s="352" t="str">
        <f ca="1">CONCATENATE(WORLDCUP!AA139,"-",WORLDCUP!AF139)</f>
        <v>Inglaterra-Argentina</v>
      </c>
      <c r="C233" s="344" t="str">
        <f ca="1">CONCATENATE(WORLDCUP!AA139,"-",WORLDCUP!AF139,"·",IF(WORLDCUP!AC139&gt;WORLDCUP!AD139,1,IF(WORLDCUP!AC139&lt;WORLDCUP!AD139,2,IF(AND(WORLDCUP!AC139=WORLDCUP!AD139,WORLDCUP!AC139&lt;&gt;"",WORLDCUP!AD139&lt;&gt;""),"X",0))),"|",WORLDCUP!AC139,"-",WORLDCUP!AD139)</f>
        <v>Inglaterra-Argentina·0|-</v>
      </c>
      <c r="D233" s="620"/>
      <c r="E233" s="656"/>
      <c r="F233" s="656"/>
      <c r="G233" s="656"/>
      <c r="H233" s="656"/>
      <c r="I233" s="345"/>
      <c r="J233" s="361"/>
      <c r="K233" s="361"/>
      <c r="L233" s="361"/>
      <c r="M233" s="377"/>
      <c r="N233" s="368"/>
    </row>
    <row r="234" spans="1:14" ht="15" customHeight="1" x14ac:dyDescent="0.2">
      <c r="A234" s="223"/>
      <c r="B234" s="223"/>
      <c r="C234" s="343"/>
      <c r="D234" s="620"/>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0"/>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0"/>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f>+IF(ISBLANK(INDEX(WORLDCUP!$AC$101:$AC$147,MATCH(Y3,WORLDCUP!$Z$101:$Z$147,0))),"",INDEX(WORLDCUP!$AC$101:$AC$147,MATCH(Y3,WORLDCUP!$Z$101:$Z$147,0)))</f>
        <v>1</v>
      </c>
      <c r="AC3" s="416" t="str">
        <f>+IF(ISBLANK(INDEX(WORLDCUP!$AB$101:$AB$147,MATCH(Y3,WORLDCUP!$Z$101:$Z$147,0))),"","( "&amp;INDEX(WORLDCUP!$AB$101:$AB$147,MATCH(Y3,WORLDCUP!$Z$101:$Z$147,0))&amp;" )")</f>
        <v>( 0 )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Par</v>
      </c>
      <c r="AB4" s="441">
        <f>+IF(ISBLANK(INDEX(WORLDCUP!$AD$101:$AD$147,MATCH(Y4,WORLDCUP!$Z$101:$Z$147,0))),"",INDEX(WORLDCUP!$AD$101:$AD$147,MATCH(Y4,WORLDCUP!$Z$101:$Z$147,0)))</f>
        <v>1</v>
      </c>
      <c r="AC4" s="442" t="str">
        <f>+IF(ISBLANK(INDEX(WORLDCUP!$AE$101:$AE$147,MATCH(Y4,WORLDCUP!$Z$101:$Z$147,0))),"","( "&amp;INDEX(WORLDCUP!$AE$101:$AE$147,MATCH(Y4,WORLDCUP!$Z$101:$Z$147,0))&amp;" )")</f>
        <v>( 2 )</v>
      </c>
      <c r="AD4" s="443">
        <v>89</v>
      </c>
      <c r="AE4" s="444" t="str">
        <f ca="1">+MID(INDEX(WORLDCUP!$AA$101:$AA$147,MATCH(AD4,WORLDCUP!$Z$101:$Z$147,0)),1,3)</f>
        <v>Par</v>
      </c>
      <c r="AF4" s="445">
        <f>+IF(ISBLANK(INDEX(WORLDCUP!$AC$101:$AC$147,MATCH(AD4,WORLDCUP!$Z$101:$Z$147,0))),"",INDEX(WORLDCUP!$AC$101:$AC$147,MATCH(AD4,WORLDCUP!$Z$101:$Z$147,0)))</f>
        <v>0</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 ca="1">+MID(INDEX(WORLDCUP!$AF$101:$AF$147,MATCH(AD5,WORLDCUP!$Z$101:$Z$147,0)),1,3)</f>
        <v>Fra</v>
      </c>
      <c r="AF5" s="445">
        <f>+IF(ISBLANK(INDEX(WORLDCUP!$AD$101:$AD$147,MATCH(AD5,WORLDCUP!$Z$101:$Z$147,0))),"",INDEX(WORLDCUP!$AD$101:$AD$147,MATCH(AD5,WORLDCUP!$Z$101:$Z$147,0)))</f>
        <v>1</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f>+IF(ISBLANK(INDEX(WORLDCUP!$AC$101:$AC$147,MATCH(Y6,WORLDCUP!$Z$101:$Z$147,0))),"",INDEX(WORLDCUP!$AC$101:$AC$147,MATCH(Y6,WORLDCUP!$Z$101:$Z$147,0)))</f>
        <v>3</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Sue</v>
      </c>
      <c r="AB7" s="469">
        <f>+IF(ISBLANK(INDEX(WORLDCUP!$AD$101:$AD$147,MATCH(Y7,WORLDCUP!$Z$101:$Z$147,0))),"",INDEX(WORLDCUP!$AD$101:$AD$147,MATCH(Y7,WORLDCUP!$Z$101:$Z$147,0)))</f>
        <v>0</v>
      </c>
      <c r="AC7" s="470" t="str">
        <f>+IF(ISBLANK(INDEX(WORLDCUP!$AE$101:$AE$147,MATCH(Y7,WORLDCUP!$Z$101:$Z$147,0))),"","( "&amp;INDEX(WORLDCUP!$AE$101:$AE$147,MATCH(Y7,WORLDCUP!$Z$101:$Z$147,0))&amp;" )")</f>
        <v/>
      </c>
      <c r="AD7" s="181"/>
      <c r="AE7" s="462"/>
      <c r="AF7" s="462"/>
      <c r="AG7" s="463"/>
      <c r="AH7" s="443">
        <v>97</v>
      </c>
      <c r="AI7" s="471" t="str">
        <f ca="1">+MID(INDEX(WORLDCUP!$AA$101:$AA$147,MATCH(AH7,WORLDCUP!$Z$101:$Z$147,0)),1,3)</f>
        <v>Fra</v>
      </c>
      <c r="AJ7" s="472">
        <f>+IF(ISBLANK(INDEX(WORLDCUP!$AC$101:$AC$147,MATCH(AH7,WORLDCUP!$Z$101:$Z$147,0))),"",INDEX(WORLDCUP!$AC$101:$AC$147,MATCH(AH7,WORLDCUP!$Z$101:$Z$147,0)))</f>
        <v>2</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0</v>
      </c>
      <c r="BJ7" s="452">
        <f ca="1">COUNTIF(Pool!$C$182:$C$197,Fixture!BG7)-BK7-BL7-BM7-BN7-BO7</f>
        <v>0</v>
      </c>
      <c r="BK7" s="453">
        <f ca="1">COUNTIF(Pool!$C$210:$C$217,Fixture!BG7)-BL7-BM7-BN7-BO7</f>
        <v>0</v>
      </c>
      <c r="BL7" s="453">
        <f ca="1">COUNTIF(Pool!$C$226:$C$229,Fixture!BG7)-BM7-BN7-BO7</f>
        <v>1</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 ca="1">+MID(INDEX(WORLDCUP!$AF$101:$AF$147,MATCH(AH8,WORLDCUP!$Z$101:$Z$147,0)),1,3)</f>
        <v>Mar</v>
      </c>
      <c r="AJ8" s="472">
        <f>+IF(ISBLANK(INDEX(WORLDCUP!$AD$101:$AD$147,MATCH(AH8,WORLDCUP!$Z$101:$Z$147,0))),"",INDEX(WORLDCUP!$AD$101:$AD$147,MATCH(AH8,WORLDCUP!$Z$101:$Z$147,0)))</f>
        <v>0</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f>+IF(ISBLANK(INDEX(WORLDCUP!$AC$101:$AC$147,MATCH(Y9,WORLDCUP!$Z$101:$Z$147,0))),"",INDEX(WORLDCUP!$AC$101:$AC$147,MATCH(Y9,WORLDCUP!$Z$101:$Z$147,0)))</f>
        <v>0</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f>+IF(ISBLANK(INDEX(WORLDCUP!$AD$101:$AD$147,MATCH(Y10,WORLDCUP!$Z$101:$Z$147,0))),"",INDEX(WORLDCUP!$AD$101:$AD$147,MATCH(Y10,WORLDCUP!$Z$101:$Z$147,0)))</f>
        <v>1</v>
      </c>
      <c r="AC10" s="442" t="str">
        <f>+IF(ISBLANK(INDEX(WORLDCUP!$AE$101:$AE$147,MATCH(Y10,WORLDCUP!$Z$101:$Z$147,0))),"","( "&amp;INDEX(WORLDCUP!$AE$101:$AE$147,MATCH(Y10,WORLDCUP!$Z$101:$Z$147,0))&amp;" )")</f>
        <v/>
      </c>
      <c r="AD10" s="488">
        <v>90</v>
      </c>
      <c r="AE10" s="444" t="str">
        <f ca="1">+MID(INDEX(WORLDCUP!$AA$101:$AA$147,MATCH(AD10,WORLDCUP!$Z$101:$Z$147,0)),1,3)</f>
        <v>Can</v>
      </c>
      <c r="AF10" s="445">
        <f>+IF(ISBLANK(INDEX(WORLDCUP!$AC$101:$AC$147,MATCH(AD10,WORLDCUP!$Z$101:$Z$147,0))),"",INDEX(WORLDCUP!$AC$101:$AC$147,MATCH(AD10,WORLDCUP!$Z$101:$Z$147,0)))</f>
        <v>0</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0</v>
      </c>
      <c r="BJ10" s="452">
        <f ca="1">COUNTIF(Pool!$C$182:$C$197,Fixture!BG10)-BK10-BL10-BM10-BN10-BO10</f>
        <v>0</v>
      </c>
      <c r="BK10" s="453">
        <f ca="1">COUNTIF(Pool!$C$210:$C$217,Fixture!BG10)-BL10-BM10-BN10-BO10</f>
        <v>1</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 ca="1">+MID(INDEX(WORLDCUP!$AF$101:$AF$147,MATCH(AD11,WORLDCUP!$Z$101:$Z$147,0)),1,3)</f>
        <v>Mar</v>
      </c>
      <c r="AF11" s="445">
        <f>+IF(ISBLANK(INDEX(WORLDCUP!$AD$101:$AD$147,MATCH(AD11,WORLDCUP!$Z$101:$Z$147,0))),"",INDEX(WORLDCUP!$AD$101:$AD$147,MATCH(AD11,WORLDCUP!$Z$101:$Z$147,0)))</f>
        <v>3</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f>+IF(ISBLANK(INDEX(WORLDCUP!$AC$101:$AC$147,MATCH(Y12,WORLDCUP!$Z$101:$Z$147,0))),"",INDEX(WORLDCUP!$AC$101:$AC$147,MATCH(Y12,WORLDCUP!$Z$101:$Z$147,0)))</f>
        <v>1</v>
      </c>
      <c r="AC12" s="494" t="str">
        <f>+IF(ISBLANK(INDEX(WORLDCUP!$AB$101:$AB$147,MATCH(Y12,WORLDCUP!$Z$101:$Z$147,0))),"","( "&amp;INDEX(WORLDCUP!$AB$101:$AB$147,MATCH(Y12,WORLDCUP!$Z$101:$Z$147,0))&amp;" )")</f>
        <v>( 0 )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0</v>
      </c>
      <c r="BJ12" s="452">
        <f ca="1">COUNTIF(Pool!$C$182:$C$197,Fixture!BG12)-BK12-BL12-BM12-BN12-BO12</f>
        <v>1</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f>+IF(ISBLANK(INDEX(WORLDCUP!$AD$101:$AD$147,MATCH(Y13,WORLDCUP!$Z$101:$Z$147,0))),"",INDEX(WORLDCUP!$AD$101:$AD$147,MATCH(Y13,WORLDCUP!$Z$101:$Z$147,0)))</f>
        <v>1</v>
      </c>
      <c r="AC13" s="495" t="str">
        <f>+IF(ISBLANK(INDEX(WORLDCUP!$AE$101:$AE$147,MATCH(Y13,WORLDCUP!$Z$101:$Z$147,0))),"","( "&amp;INDEX(WORLDCUP!$AE$101:$AE$147,MATCH(Y13,WORLDCUP!$Z$101:$Z$147,0))&amp;" )")</f>
        <v>( 2 )</v>
      </c>
      <c r="AD13" s="181"/>
      <c r="AE13" s="417"/>
      <c r="AF13" s="417"/>
      <c r="AG13" s="417"/>
      <c r="AH13" s="181"/>
      <c r="AI13" s="447"/>
      <c r="AJ13" s="447"/>
      <c r="AK13" s="487"/>
      <c r="AL13" s="488">
        <v>101</v>
      </c>
      <c r="AM13" s="496" t="str">
        <f ca="1">+MID(INDEX(WORLDCUP!$AA$101:$AA$147,MATCH(AL13,WORLDCUP!$Z$101:$Z$147,0)),1,3)</f>
        <v>Fra</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 ca="1">+MID(INDEX(WORLDCUP!$AF$101:$AF$147,MATCH(AL14,WORLDCUP!$Z$101:$Z$147,0)),1,3)</f>
        <v>Esp</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0</v>
      </c>
      <c r="BJ14" s="452">
        <f ca="1">COUNTIF(Pool!$C$182:$C$197,Fixture!BG14)-BK14-BL14-BM14-BN14-BO14</f>
        <v>1</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f>+IF(ISBLANK(INDEX(WORLDCUP!$AC$101:$AC$147,MATCH(Y15,WORLDCUP!$Z$101:$Z$147,0))),"",INDEX(WORLDCUP!$AC$101:$AC$147,MATCH(Y15,WORLDCUP!$Z$101:$Z$147,0)))</f>
        <v>2</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f>+IF(ISBLANK(INDEX(WORLDCUP!$AD$101:$AD$147,MATCH(Y16,WORLDCUP!$Z$101:$Z$147,0))),"",INDEX(WORLDCUP!$AD$101:$AD$147,MATCH(Y16,WORLDCUP!$Z$101:$Z$147,0)))</f>
        <v>1</v>
      </c>
      <c r="AC16" s="442" t="str">
        <f>+IF(ISBLANK(INDEX(WORLDCUP!$AE$101:$AE$147,MATCH(Y16,WORLDCUP!$Z$101:$Z$147,0))),"","( "&amp;INDEX(WORLDCUP!$AE$101:$AE$147,MATCH(Y16,WORLDCUP!$Z$101:$Z$147,0))&amp;" )")</f>
        <v/>
      </c>
      <c r="AD16" s="443">
        <v>93</v>
      </c>
      <c r="AE16" s="444" t="str">
        <f ca="1">+MID(INDEX(WORLDCUP!$AA$101:$AA$147,MATCH(AD16,WORLDCUP!$Z$101:$Z$147,0)),1,3)</f>
        <v>Por</v>
      </c>
      <c r="AF16" s="445">
        <f>+IF(ISBLANK(INDEX(WORLDCUP!$AC$101:$AC$147,MATCH(AD16,WORLDCUP!$Z$101:$Z$147,0))),"",INDEX(WORLDCUP!$AC$101:$AC$147,MATCH(AD16,WORLDCUP!$Z$101:$Z$147,0)))</f>
        <v>0</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0</v>
      </c>
      <c r="BJ16" s="452">
        <f ca="1">COUNTIF(Pool!$C$182:$C$197,Fixture!BG16)-BK16-BL16-BM16-BN16-BO16</f>
        <v>1</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 ca="1">+MID(INDEX(WORLDCUP!$AF$101:$AF$147,MATCH(AD17,WORLDCUP!$Z$101:$Z$147,0)),1,3)</f>
        <v>Esp</v>
      </c>
      <c r="AF17" s="445">
        <f>+IF(ISBLANK(INDEX(WORLDCUP!$AD$101:$AD$147,MATCH(AD17,WORLDCUP!$Z$101:$Z$147,0))),"",INDEX(WORLDCUP!$AD$101:$AD$147,MATCH(AD17,WORLDCUP!$Z$101:$Z$147,0)))</f>
        <v>1</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f>+IF(ISBLANK(INDEX(WORLDCUP!$AC$101:$AC$147,MATCH(Y18,WORLDCUP!$Z$101:$Z$147,0))),"",INDEX(WORLDCUP!$AC$101:$AC$147,MATCH(Y18,WORLDCUP!$Z$101:$Z$147,0)))</f>
        <v>3</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f>+IF(ISBLANK(INDEX(WORLDCUP!$AD$101:$AD$147,MATCH(Y19,WORLDCUP!$Z$101:$Z$147,0))),"",INDEX(WORLDCUP!$AD$101:$AD$147,MATCH(Y19,WORLDCUP!$Z$101:$Z$147,0)))</f>
        <v>0</v>
      </c>
      <c r="AC19" s="495" t="str">
        <f>+IF(ISBLANK(INDEX(WORLDCUP!$AE$101:$AE$147,MATCH(Y19,WORLDCUP!$Z$101:$Z$147,0))),"","( "&amp;INDEX(WORLDCUP!$AE$101:$AE$147,MATCH(Y19,WORLDCUP!$Z$101:$Z$147,0))&amp;" )")</f>
        <v/>
      </c>
      <c r="AD19" s="181"/>
      <c r="AE19" s="462"/>
      <c r="AF19" s="462"/>
      <c r="AG19" s="463"/>
      <c r="AH19" s="488">
        <v>98</v>
      </c>
      <c r="AI19" s="471" t="str">
        <f ca="1">+MID(INDEX(WORLDCUP!$AA$101:$AA$147,MATCH(AH19,WORLDCUP!$Z$101:$Z$147,0)),1,3)</f>
        <v>Esp</v>
      </c>
      <c r="AJ19" s="472">
        <f>+IF(ISBLANK(INDEX(WORLDCUP!$AC$101:$AC$147,MATCH(AH19,WORLDCUP!$Z$101:$Z$147,0))),"",INDEX(WORLDCUP!$AC$101:$AC$147,MATCH(AH19,WORLDCUP!$Z$101:$Z$147,0)))</f>
        <v>2</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 ca="1">+MID(INDEX(WORLDCUP!$AF$101:$AF$147,MATCH(AH20,WORLDCUP!$Z$101:$Z$147,0)),1,3)</f>
        <v>Bél</v>
      </c>
      <c r="AJ20" s="472">
        <f>+IF(ISBLANK(INDEX(WORLDCUP!$AD$101:$AD$147,MATCH(AH20,WORLDCUP!$Z$101:$Z$147,0))),"",INDEX(WORLDCUP!$AD$101:$AD$147,MATCH(AH20,WORLDCUP!$Z$101:$Z$147,0)))</f>
        <v>1</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f>+IF(ISBLANK(INDEX(WORLDCUP!$AC$101:$AC$147,MATCH(Y21,WORLDCUP!$Z$101:$Z$147,0))),"",INDEX(WORLDCUP!$AC$101:$AC$147,MATCH(Y21,WORLDCUP!$Z$101:$Z$147,0)))</f>
        <v>2</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Bos</v>
      </c>
      <c r="AB22" s="441">
        <f>+IF(ISBLANK(INDEX(WORLDCUP!$AD$101:$AD$147,MATCH(Y22,WORLDCUP!$Z$101:$Z$147,0))),"",INDEX(WORLDCUP!$AD$101:$AD$147,MATCH(Y22,WORLDCUP!$Z$101:$Z$147,0)))</f>
        <v>0</v>
      </c>
      <c r="AC22" s="442" t="str">
        <f>+IF(ISBLANK(INDEX(WORLDCUP!$AE$101:$AE$147,MATCH(Y22,WORLDCUP!$Z$101:$Z$147,0))),"","( "&amp;INDEX(WORLDCUP!$AE$101:$AE$147,MATCH(Y22,WORLDCUP!$Z$101:$Z$147,0))&amp;" )")</f>
        <v/>
      </c>
      <c r="AD22" s="443">
        <v>94</v>
      </c>
      <c r="AE22" s="444" t="str">
        <f ca="1">+MID(INDEX(WORLDCUP!$AA$101:$AA$147,MATCH(AD22,WORLDCUP!$Z$101:$Z$147,0)),1,3)</f>
        <v>Est</v>
      </c>
      <c r="AF22" s="445">
        <f>+IF(ISBLANK(INDEX(WORLDCUP!$AC$101:$AC$147,MATCH(AD22,WORLDCUP!$Z$101:$Z$147,0))),"",INDEX(WORLDCUP!$AC$101:$AC$147,MATCH(AD22,WORLDCUP!$Z$101:$Z$147,0)))</f>
        <v>1</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0</v>
      </c>
      <c r="BJ22" s="452">
        <f ca="1">COUNTIF(Pool!$C$182:$C$197,Fixture!BG22)-BK22-BL22-BM22-BN22-BO22</f>
        <v>1</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 ca="1">+MID(INDEX(WORLDCUP!$AF$101:$AF$147,MATCH(AD23,WORLDCUP!$Z$101:$Z$147,0)),1,3)</f>
        <v>Bél</v>
      </c>
      <c r="AF23" s="445">
        <f>+IF(ISBLANK(INDEX(WORLDCUP!$AD$101:$AD$147,MATCH(AD23,WORLDCUP!$Z$101:$Z$147,0))),"",INDEX(WORLDCUP!$AD$101:$AD$147,MATCH(AD23,WORLDCUP!$Z$101:$Z$147,0)))</f>
        <v>4</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f>+IF(ISBLANK(INDEX(WORLDCUP!$AC$101:$AC$147,MATCH(Y24,WORLDCUP!$Z$101:$Z$147,0))),"",INDEX(WORLDCUP!$AC$101:$AC$147,MATCH(Y24,WORLDCUP!$Z$101:$Z$147,0)))</f>
        <v>3</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1</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f>+IF(ISBLANK(INDEX(WORLDCUP!$AD$101:$AD$147,MATCH(Y25,WORLDCUP!$Z$101:$Z$147,0))),"",INDEX(WORLDCUP!$AD$101:$AD$147,MATCH(Y25,WORLDCUP!$Z$101:$Z$147,0)))</f>
        <v>2</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0</v>
      </c>
      <c r="BJ25" s="452">
        <f ca="1">COUNTIF(Pool!$C$182:$C$197,Fixture!BG25)-BK25-BL25-BM25-BN25-BO25</f>
        <v>1</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1</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f>+IF(ISBLANK(INDEX(WORLDCUP!$AC$101:$AC$147,MATCH(Y27,WORLDCUP!$Z$101:$Z$147,0))),"",INDEX(WORLDCUP!$AC$101:$AC$147,MATCH(Y27,WORLDCUP!$Z$101:$Z$147,0)))</f>
        <v>2</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f>+IF(ISBLANK(INDEX(WORLDCUP!$AD$101:$AD$147,MATCH(Y28,WORLDCUP!$Z$101:$Z$147,0))),"",INDEX(WORLDCUP!$AD$101:$AD$147,MATCH(Y28,WORLDCUP!$Z$101:$Z$147,0)))</f>
        <v>1</v>
      </c>
      <c r="AC28" s="442" t="str">
        <f>+IF(ISBLANK(INDEX(WORLDCUP!$AE$101:$AE$147,MATCH(Y28,WORLDCUP!$Z$101:$Z$147,0))),"","( "&amp;INDEX(WORLDCUP!$AE$101:$AE$147,MATCH(Y28,WORLDCUP!$Z$101:$Z$147,0))&amp;" )")</f>
        <v/>
      </c>
      <c r="AD28" s="443">
        <v>91</v>
      </c>
      <c r="AE28" s="444" t="str">
        <f ca="1">+MID(INDEX(WORLDCUP!$AA$101:$AA$147,MATCH(AD28,WORLDCUP!$Z$101:$Z$147,0)),1,3)</f>
        <v>Bra</v>
      </c>
      <c r="AF28" s="445">
        <f>+IF(ISBLANK(INDEX(WORLDCUP!$AC$101:$AC$147,MATCH(AD28,WORLDCUP!$Z$101:$Z$147,0))),"",INDEX(WORLDCUP!$AC$101:$AC$147,MATCH(AD28,WORLDCUP!$Z$101:$Z$147,0)))</f>
        <v>1</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111</v>
      </c>
      <c r="Y29" s="181"/>
      <c r="Z29" s="413"/>
      <c r="AA29" s="457"/>
      <c r="AB29" s="457"/>
      <c r="AC29" s="458"/>
      <c r="AD29" s="181">
        <v>91</v>
      </c>
      <c r="AE29" s="444" t="str">
        <f ca="1">+MID(INDEX(WORLDCUP!$AF$101:$AF$147,MATCH(AD29,WORLDCUP!$Z$101:$Z$147,0)),1,3)</f>
        <v>Nor</v>
      </c>
      <c r="AF29" s="445">
        <f>+IF(ISBLANK(INDEX(WORLDCUP!$AD$101:$AD$147,MATCH(AD29,WORLDCUP!$Z$101:$Z$147,0))),"",INDEX(WORLDCUP!$AD$101:$AD$147,MATCH(AD29,WORLDCUP!$Z$101:$Z$147,0)))</f>
        <v>2</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1</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113</v>
      </c>
      <c r="Y30" s="181">
        <v>78</v>
      </c>
      <c r="Z30" s="413" t="s">
        <v>89</v>
      </c>
      <c r="AA30" s="414" t="str">
        <f ca="1">+MID(INDEX(WORLDCUP!$AA$101:$AA$147,MATCH(Y30,WORLDCUP!$Z$101:$Z$147,0)),1,3)</f>
        <v>Cos</v>
      </c>
      <c r="AB30" s="460">
        <f>+IF(ISBLANK(INDEX(WORLDCUP!$AC$101:$AC$147,MATCH(Y30,WORLDCUP!$Z$101:$Z$147,0))),"",INDEX(WORLDCUP!$AC$101:$AC$147,MATCH(Y30,WORLDCUP!$Z$101:$Z$147,0)))</f>
        <v>1</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f>IF(ISBLANK(INDEX(WORLDCUP!$AC$4:$AC$147,MATCH(M31,WORLDCUP!$AH$4:$AH$147,0))),"",INDEX(WORLDCUP!$AC$4:$AC$147,MATCH(M31,WORLDCUP!$AH$4:$AH$147,0)))</f>
        <v>3</v>
      </c>
      <c r="Q31" s="433">
        <f>IF(ISBLANK(INDEX(WORLDCUP!$AD$4:$AD$147,MATCH(M31,WORLDCUP!$AH$4:$AH$147,0))),"",INDEX(WORLDCUP!$AD$4:$AD$147,MATCH(M31,WORLDCUP!$AH$4:$AH$147,0)))</f>
        <v>3</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3-8</v>
      </c>
      <c r="X31" s="181" t="s">
        <v>114</v>
      </c>
      <c r="Y31" s="181">
        <v>78</v>
      </c>
      <c r="Z31" s="413" t="s">
        <v>107</v>
      </c>
      <c r="AA31" s="468" t="str">
        <f ca="1">+MID(INDEX(WORLDCUP!$AF$101:$AF$147,MATCH(Y31,WORLDCUP!$Z$101:$Z$147,0)),1,3)</f>
        <v>Nor</v>
      </c>
      <c r="AB31" s="469">
        <f>+IF(ISBLANK(INDEX(WORLDCUP!$AD$101:$AD$147,MATCH(Y31,WORLDCUP!$Z$101:$Z$147,0))),"",INDEX(WORLDCUP!$AD$101:$AD$147,MATCH(Y31,WORLDCUP!$Z$101:$Z$147,0)))</f>
        <v>2</v>
      </c>
      <c r="AC31" s="495" t="str">
        <f>+IF(ISBLANK(INDEX(WORLDCUP!$AE$101:$AE$147,MATCH(Y31,WORLDCUP!$Z$101:$Z$147,0))),"","( "&amp;INDEX(WORLDCUP!$AE$101:$AE$147,MATCH(Y31,WORLDCUP!$Z$101:$Z$147,0))&amp;" )")</f>
        <v/>
      </c>
      <c r="AD31" s="181"/>
      <c r="AE31" s="462"/>
      <c r="AF31" s="462"/>
      <c r="AG31" s="463"/>
      <c r="AH31" s="488">
        <v>99</v>
      </c>
      <c r="AI31" s="471" t="str">
        <f ca="1">+MID(INDEX(WORLDCUP!$AA$101:$AA$147,MATCH(AH31,WORLDCUP!$Z$101:$Z$147,0)),1,3)</f>
        <v>Nor</v>
      </c>
      <c r="AJ31" s="472">
        <f>+IF(ISBLANK(INDEX(WORLDCUP!$AC$101:$AC$147,MATCH(AH31,WORLDCUP!$Z$101:$Z$147,0))),"",INDEX(WORLDCUP!$AC$101:$AC$147,MATCH(AH31,WORLDCUP!$Z$101:$Z$147,0)))</f>
        <v>1</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 ca="1">+MID(INDEX(WORLDCUP!$AF$101:$AF$147,MATCH(AH32,WORLDCUP!$Z$101:$Z$147,0)),1,3)</f>
        <v>Ing</v>
      </c>
      <c r="AJ32" s="472">
        <f>+IF(ISBLANK(INDEX(WORLDCUP!$AD$101:$AD$147,MATCH(AH32,WORLDCUP!$Z$101:$Z$147,0))),"",INDEX(WORLDCUP!$AD$101:$AD$147,MATCH(AH32,WORLDCUP!$Z$101:$Z$147,0)))</f>
        <v>2</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f>+IF(ISBLANK(INDEX(WORLDCUP!$AC$101:$AC$147,MATCH(Y33,WORLDCUP!$Z$101:$Z$147,0))),"",INDEX(WORLDCUP!$AC$101:$AC$147,MATCH(Y33,WORLDCUP!$Z$101:$Z$147,0)))</f>
        <v>2</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f>+IF(ISBLANK(INDEX(WORLDCUP!$AD$101:$AD$147,MATCH(Y34,WORLDCUP!$Z$101:$Z$147,0))),"",INDEX(WORLDCUP!$AD$101:$AD$147,MATCH(Y34,WORLDCUP!$Z$101:$Z$147,0)))</f>
        <v>0</v>
      </c>
      <c r="AC34" s="442" t="str">
        <f>+IF(ISBLANK(INDEX(WORLDCUP!$AE$101:$AE$147,MATCH(Y34,WORLDCUP!$Z$101:$Z$147,0))),"","( "&amp;INDEX(WORLDCUP!$AE$101:$AE$147,MATCH(Y34,WORLDCUP!$Z$101:$Z$147,0))&amp;" )")</f>
        <v/>
      </c>
      <c r="AD34" s="443">
        <v>92</v>
      </c>
      <c r="AE34" s="444" t="str">
        <f ca="1">+MID(INDEX(WORLDCUP!$AA$101:$AA$147,MATCH(AD34,WORLDCUP!$Z$101:$Z$147,0)),1,3)</f>
        <v>Méx</v>
      </c>
      <c r="AF34" s="445">
        <f>+IF(ISBLANK(INDEX(WORLDCUP!$AC$101:$AC$147,MATCH(AD34,WORLDCUP!$Z$101:$Z$147,0))),"",INDEX(WORLDCUP!$AC$101:$AC$147,MATCH(AD34,WORLDCUP!$Z$101:$Z$147,0)))</f>
        <v>2</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0</v>
      </c>
      <c r="BJ34" s="452">
        <f ca="1">COUNTIF(Pool!$C$182:$C$197,Fixture!BG34)-BK34-BL34-BM34-BN34-BO34</f>
        <v>0</v>
      </c>
      <c r="BK34" s="453">
        <f ca="1">COUNTIF(Pool!$C$210:$C$217,Fixture!BG34)-BL34-BM34-BN34-BO34</f>
        <v>1</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 ca="1">+MID(INDEX(WORLDCUP!$AF$101:$AF$147,MATCH(AD35,WORLDCUP!$Z$101:$Z$147,0)),1,3)</f>
        <v>Ing</v>
      </c>
      <c r="AF35" s="445">
        <f>+IF(ISBLANK(INDEX(WORLDCUP!$AD$101:$AD$147,MATCH(AD35,WORLDCUP!$Z$101:$Z$147,0))),"",INDEX(WORLDCUP!$AD$101:$AD$147,MATCH(AD35,WORLDCUP!$Z$101:$Z$147,0)))</f>
        <v>3</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0</v>
      </c>
      <c r="BJ35" s="452">
        <f ca="1">COUNTIF(Pool!$C$182:$C$197,Fixture!BG35)-BK35-BL35-BM35-BN35-BO35</f>
        <v>1</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f>+IF(ISBLANK(INDEX(WORLDCUP!$AC$101:$AC$147,MATCH(Y36,WORLDCUP!$Z$101:$Z$147,0))),"",INDEX(WORLDCUP!$AC$101:$AC$147,MATCH(Y36,WORLDCUP!$Z$101:$Z$147,0)))</f>
        <v>2</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0</v>
      </c>
      <c r="BJ36" s="452">
        <f ca="1">COUNTIF(Pool!$C$182:$C$197,Fixture!BG36)-BK36-BL36-BM36-BN36-BO36</f>
        <v>0</v>
      </c>
      <c r="BK36" s="453">
        <f ca="1">COUNTIF(Pool!$C$210:$C$217,Fixture!BG36)-BL36-BM36-BN36-BO36</f>
        <v>1</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 xml:space="preserve">RD </v>
      </c>
      <c r="AB37" s="469">
        <f>+IF(ISBLANK(INDEX(WORLDCUP!$AD$101:$AD$147,MATCH(Y37,WORLDCUP!$Z$101:$Z$147,0))),"",INDEX(WORLDCUP!$AD$101:$AD$147,MATCH(Y37,WORLDCUP!$Z$101:$Z$147,0)))</f>
        <v>1</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 ca="1">+MID(INDEX(WORLDCUP!$AA$101:$AA$147,MATCH(AL37,WORLDCUP!$Z$101:$Z$147,0)),1,3)</f>
        <v>Ing</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aca="1" ref="AM38" ca="1">+MID(INDEX(WORLDCUP!$AF$101:$AF$147,MATCH(AL38,WORLDCUP!$Z$101:$Z$147,0)),1,IF(OR(ISBLANK(AC134:AD134)),4,3))</f>
        <v>Arge</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Arg</v>
      </c>
      <c r="AB39" s="415">
        <f>+IF(ISBLANK(INDEX(WORLDCUP!$AC$101:$AC$147,MATCH(Y39,WORLDCUP!$Z$101:$Z$147,0))),"",INDEX(WORLDCUP!$AC$101:$AC$147,MATCH(Y39,WORLDCUP!$Z$101:$Z$147,0)))</f>
        <v>3</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f>+IF(ISBLANK(INDEX(WORLDCUP!$AD$101:$AD$147,MATCH(Y40,WORLDCUP!$Z$101:$Z$147,0))),"",INDEX(WORLDCUP!$AD$101:$AD$147,MATCH(Y40,WORLDCUP!$Z$101:$Z$147,0)))</f>
        <v>2</v>
      </c>
      <c r="AC40" s="442" t="str">
        <f>+IF(ISBLANK(INDEX(WORLDCUP!$AE$101:$AE$147,MATCH(Y40,WORLDCUP!$Z$101:$Z$147,0))),"","( "&amp;INDEX(WORLDCUP!$AE$101:$AE$147,MATCH(Y40,WORLDCUP!$Z$101:$Z$147,0))&amp;" )")</f>
        <v/>
      </c>
      <c r="AD40" s="443">
        <v>95</v>
      </c>
      <c r="AE40" s="444" t="str">
        <f ca="1">+MID(INDEX(WORLDCUP!$AA$101:$AA$147,MATCH(AD40,WORLDCUP!$Z$101:$Z$147,0)),1,3)</f>
        <v>Arg</v>
      </c>
      <c r="AF40" s="445">
        <f>+IF(ISBLANK(INDEX(WORLDCUP!$AC$101:$AC$147,MATCH(AD40,WORLDCUP!$Z$101:$Z$147,0))),"",INDEX(WORLDCUP!$AC$101:$AC$147,MATCH(AD40,WORLDCUP!$Z$101:$Z$147,0)))</f>
        <v>3</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0</v>
      </c>
      <c r="BJ40" s="452">
        <f ca="1">COUNTIF(Pool!$C$182:$C$197,Fixture!BG40)-BK40-BL40-BM40-BN40-BO40</f>
        <v>1</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 ca="1">+MID(INDEX(WORLDCUP!$AF$101:$AF$147,MATCH(AD41,WORLDCUP!$Z$101:$Z$147,0)),1,3)</f>
        <v>Egi</v>
      </c>
      <c r="AF41" s="445">
        <f>+IF(ISBLANK(INDEX(WORLDCUP!$AD$101:$AD$147,MATCH(AD41,WORLDCUP!$Z$101:$Z$147,0))),"",INDEX(WORLDCUP!$AD$101:$AD$147,MATCH(AD41,WORLDCUP!$Z$101:$Z$147,0)))</f>
        <v>2</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0</v>
      </c>
      <c r="BJ41" s="452">
        <f ca="1">COUNTIF(Pool!$C$182:$C$197,Fixture!BG41)-BK41-BL41-BM41-BN41-BO41</f>
        <v>1</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f>+IF(ISBLANK(INDEX(WORLDCUP!$AC$101:$AC$147,MATCH(Y42,WORLDCUP!$Z$101:$Z$147,0))),"",INDEX(WORLDCUP!$AC$101:$AC$147,MATCH(Y42,WORLDCUP!$Z$101:$Z$147,0)))</f>
        <v>1</v>
      </c>
      <c r="AC42" s="494" t="str">
        <f>+IF(ISBLANK(INDEX(WORLDCUP!$AB$101:$AB$147,MATCH(Y42,WORLDCUP!$Z$101:$Z$147,0))),"","( "&amp;INDEX(WORLDCUP!$AB$101:$AB$147,MATCH(Y42,WORLDCUP!$Z$101:$Z$147,0))&amp;" )")</f>
        <v>( 0 )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f>+IF(ISBLANK(INDEX(WORLDCUP!$AD$101:$AD$147,MATCH(Y43,WORLDCUP!$Z$101:$Z$147,0))),"",INDEX(WORLDCUP!$AD$101:$AD$147,MATCH(Y43,WORLDCUP!$Z$101:$Z$147,0)))</f>
        <v>1</v>
      </c>
      <c r="AC43" s="495" t="str">
        <f>+IF(ISBLANK(INDEX(WORLDCUP!$AE$101:$AE$147,MATCH(Y43,WORLDCUP!$Z$101:$Z$147,0))),"","( "&amp;INDEX(WORLDCUP!$AE$101:$AE$147,MATCH(Y43,WORLDCUP!$Z$101:$Z$147,0))&amp;" )")</f>
        <v>( 2 )</v>
      </c>
      <c r="AD43" s="181"/>
      <c r="AE43" s="462"/>
      <c r="AF43" s="462"/>
      <c r="AG43" s="463"/>
      <c r="AH43" s="488">
        <v>100</v>
      </c>
      <c r="AI43" s="471" t="str">
        <f ca="1">+MID(INDEX(WORLDCUP!$AA$101:$AA$147,MATCH(AH43,WORLDCUP!$Z$101:$Z$147,0)),1,3)</f>
        <v>Arg</v>
      </c>
      <c r="AJ43" s="472">
        <f>+IF(ISBLANK(INDEX(WORLDCUP!$AC$101:$AC$147,MATCH(AH43,WORLDCUP!$Z$101:$Z$147,0))),"",INDEX(WORLDCUP!$AC$101:$AC$147,MATCH(AH43,WORLDCUP!$Z$101:$Z$147,0)))</f>
        <v>3</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 ca="1">+MID(INDEX(WORLDCUP!$AF$101:$AF$147,MATCH(AH44,WORLDCUP!$Z$101:$Z$147,0)),1,3)</f>
        <v>Sui</v>
      </c>
      <c r="AJ44" s="472">
        <f>+IF(ISBLANK(INDEX(WORLDCUP!$AD$101:$AD$147,MATCH(AH44,WORLDCUP!$Z$101:$Z$147,0))),"",INDEX(WORLDCUP!$AD$101:$AD$147,MATCH(AH44,WORLDCUP!$Z$101:$Z$147,0)))</f>
        <v>1</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f>+IF(ISBLANK(INDEX(WORLDCUP!$AC$101:$AC$147,MATCH(Y45,WORLDCUP!$Z$101:$Z$147,0))),"",INDEX(WORLDCUP!$AC$101:$AC$147,MATCH(Y45,WORLDCUP!$Z$101:$Z$147,0)))</f>
        <v>2</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Arg</v>
      </c>
      <c r="AB46" s="441">
        <f>+IF(ISBLANK(INDEX(WORLDCUP!$AD$101:$AD$147,MATCH(Y46,WORLDCUP!$Z$101:$Z$147,0))),"",INDEX(WORLDCUP!$AD$101:$AD$147,MATCH(Y46,WORLDCUP!$Z$101:$Z$147,0)))</f>
        <v>0</v>
      </c>
      <c r="AC46" s="442" t="str">
        <f>+IF(ISBLANK(INDEX(WORLDCUP!$AE$101:$AE$147,MATCH(Y46,WORLDCUP!$Z$101:$Z$147,0))),"","( "&amp;INDEX(WORLDCUP!$AE$101:$AE$147,MATCH(Y46,WORLDCUP!$Z$101:$Z$147,0))&amp;" )")</f>
        <v/>
      </c>
      <c r="AD46" s="443">
        <v>96</v>
      </c>
      <c r="AE46" s="444" t="str">
        <f ca="1">+MID(INDEX(WORLDCUP!$AA$101:$AA$147,MATCH(AD46,WORLDCUP!$Z$101:$Z$147,0)),1,3)</f>
        <v>Sui</v>
      </c>
      <c r="AF46" s="445">
        <f>+IF(ISBLANK(INDEX(WORLDCUP!$AC$101:$AC$147,MATCH(AD46,WORLDCUP!$Z$101:$Z$147,0))),"",INDEX(WORLDCUP!$AC$101:$AC$147,MATCH(AD46,WORLDCUP!$Z$101:$Z$147,0)))</f>
        <v>0</v>
      </c>
      <c r="AG46" s="489" t="str">
        <f>+IF(ISBLANK(INDEX(WORLDCUP!$AB$101:$AB$147,MATCH(AD46,WORLDCUP!$Z$101:$Z$147,0))),"","( "&amp;INDEX(WORLDCUP!$AB$101:$AB$147,MATCH(AD46,WORLDCUP!$Z$101:$Z$147,0))&amp;" )")</f>
        <v>( 4 )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 ca="1">+MID(INDEX(WORLDCUP!$AF$101:$AF$147,MATCH(AD47,WORLDCUP!$Z$101:$Z$147,0)),1,3)</f>
        <v>Col</v>
      </c>
      <c r="AF47" s="445">
        <f>+IF(ISBLANK(INDEX(WORLDCUP!$AD$101:$AD$147,MATCH(AD47,WORLDCUP!$Z$101:$Z$147,0))),"",INDEX(WORLDCUP!$AD$101:$AD$147,MATCH(AD47,WORLDCUP!$Z$101:$Z$147,0)))</f>
        <v>0</v>
      </c>
      <c r="AG47" s="462" t="str">
        <f>+IF(ISBLANK(INDEX(WORLDCUP!$AE$101:$AE$147,MATCH(AD47,WORLDCUP!$Z$101:$Z$147,0))),"","( "&amp;INDEX(WORLDCUP!$AE$101:$AE$147,MATCH(AD47,WORLDCUP!$Z$101:$Z$147,0))&amp;" )")</f>
        <v>( 3 )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0</v>
      </c>
      <c r="BJ47" s="452">
        <f ca="1">COUNTIF(Pool!$C$182:$C$197,Fixture!BG47)-BK47-BL47-BM47-BN47-BO47</f>
        <v>0</v>
      </c>
      <c r="BK47" s="453">
        <f ca="1">COUNTIF(Pool!$C$210:$C$217,Fixture!BG47)-BL47-BM47-BN47-BO47</f>
        <v>1</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f>+IF(ISBLANK(INDEX(WORLDCUP!$AC$101:$AC$147,MATCH(Y48,WORLDCUP!$Z$101:$Z$147,0))),"",INDEX(WORLDCUP!$AC$101:$AC$147,MATCH(Y48,WORLDCUP!$Z$101:$Z$147,0)))</f>
        <v>1</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f>+IF(ISBLANK(INDEX(WORLDCUP!$AD$101:$AD$147,MATCH(Y49,WORLDCUP!$Z$101:$Z$147,0))),"",INDEX(WORLDCUP!$AD$101:$AD$147,MATCH(Y49,WORLDCUP!$Z$101:$Z$147,0)))</f>
        <v>0</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2026-07-13T13:04:31Z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
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950C213A-53FF-0B44-9BCE-CAE7D3459A5F}"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C213" i="3"/>
  <c r="C227" i="3"/>
  <c r="C226" i="3"/>
  <c r="C244" i="3"/>
  <c r="B244" i="3"/>
  <c r="C236" i="3"/>
  <c r="AG103" i="2"/>
  <c r="M120" i="2"/>
  <c r="AA121" i="2" s="1"/>
  <c r="AE4" i="4" s="1"/>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06" i="3"/>
  <c r="C206" i="3"/>
  <c r="C188"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D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4" i="2" l="1"/>
  <c r="AA124" i="2" s="1"/>
  <c r="AG112" i="2"/>
  <c r="N124" i="2"/>
  <c r="AF124" i="2" s="1"/>
  <c r="AG111" i="2"/>
  <c r="M125" i="2"/>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16" i="4" l="1"/>
  <c r="C186" i="3"/>
  <c r="C194" i="3"/>
  <c r="AE17" i="4"/>
  <c r="C204" i="3"/>
  <c r="B204" i="3"/>
  <c r="AE22" i="4"/>
  <c r="C187" i="3"/>
  <c r="C195" i="3"/>
  <c r="B205" i="3"/>
  <c r="C205" i="3"/>
  <c r="AE23" i="4"/>
  <c r="C193" i="3"/>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<sst xmlns="http://schemas.openxmlformats.org/spreadsheetml/2006/main" count="6754" uniqueCount="1516">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</sst>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9" zoomScaleNormal="100" workbookViewId="0">
      <selection activeCell="AD112" sqref="AD11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ca="1" si="260"/>
        <v>Portugal</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v>2</v>
      </c>
      <c r="AD112" s="92">
        <v>1</v>
      </c>
      <c r="AE112" s="89"/>
      <c r="AF112" s="91" t="str">
        <f t="shared" ca="1" si="265"/>
        <v>Croacia</v>
      </c>
      <c r="AG112" s="320">
        <f t="shared" ca="1" si="266"/>
        <v>1</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ca="1" si="277"/>
        <v>Portugal</v>
      </c>
      <c r="N124" s="16" t="str">
        <f t="shared" ca="1" si="277"/>
        <v>España</v>
      </c>
      <c r="O124" s="16"/>
      <c r="P124" s="16"/>
      <c r="Q124" s="16"/>
      <c r="R124" s="16"/>
      <c r="S124" s="16"/>
      <c r="T124" s="16"/>
      <c r="U124" s="16"/>
      <c r="V124" s="17"/>
      <c r="W124" s="627"/>
      <c r="X124" s="24">
        <f ca="1">Horarios!C124</f>
        <v>46209.625</v>
      </c>
      <c r="Y124" s="25">
        <f ca="1">Horarios!C124</f>
        <v>46209.625</v>
      </c>
      <c r="Z124" s="274">
        <f t="shared" si="278"/>
        <v>93</v>
      </c>
      <c r="AA124" s="88" t="str">
        <f t="shared" ca="1" si="279"/>
        <v>Portugal</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Portugal-Croacia·1|2-1</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 ca="1">WORLDCUP!AA122</f>
        <v>Brasil</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 ca="1">WORLDCUP!AA123</f>
        <v>México</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 ca="1">WORLDCUP!AA124</f>
        <v>Portugal</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 ca="1">WORLDCUP!AA125</f>
        <v>Estados Unidos</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 ca="1">WORLDCUP!AF121</f>
        <v>Francia</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 ca="1">WORLDCUP!AF122</f>
        <v>Noruega</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 ca="1">WORLDCUP!AF123</f>
        <v>Inglaterra</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 ca="1">WORLDCUP!AF124</f>
        <v>España</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 ca="1">WORLDCUP!AF125</f>
        <v>Bélgica</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5"/>
      <c r="E201" s="656"/>
      <c r="F201" s="656"/>
      <c r="G201" s="656"/>
      <c r="H201" s="656"/>
      <c r="I201" s="345"/>
      <c r="J201" s="361"/>
      <c r="K201" s="361"/>
      <c r="L201" s="361"/>
      <c r="M201" s="377"/>
      <c r="N201" s="368"/>
    </row>
    <row r="202" spans="1:14" ht="15" customHeight="1" x14ac:dyDescent="0.2">
      <c r="A202" s="625"/>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5"/>
      <c r="E202" s="656"/>
      <c r="F202" s="656"/>
      <c r="G202" s="656"/>
      <c r="H202" s="656"/>
      <c r="I202" s="345"/>
      <c r="J202" s="361"/>
      <c r="K202" s="361"/>
      <c r="L202" s="361"/>
      <c r="M202" s="377"/>
      <c r="N202" s="368"/>
    </row>
    <row r="203" spans="1:14" ht="15" customHeight="1" x14ac:dyDescent="0.2">
      <c r="A203" s="625"/>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5"/>
      <c r="E203" s="656"/>
      <c r="F203" s="656"/>
      <c r="G203" s="656"/>
      <c r="H203" s="656"/>
      <c r="I203" s="345"/>
      <c r="J203" s="361"/>
      <c r="K203" s="361"/>
      <c r="L203" s="361"/>
      <c r="M203" s="377"/>
      <c r="N203" s="368"/>
    </row>
    <row r="204" spans="1:14" ht="15" customHeight="1" x14ac:dyDescent="0.2">
      <c r="A204" s="625"/>
      <c r="B204" s="353" t="str">
        <f ca="1">CONCATENATE(WORLDCUP!AA124,"-",WORLDCUP!AF124)</f>
        <v>Portugal-España</v>
      </c>
      <c r="C204" s="344" t="str">
        <f ca="1">CONCATENATE(WORLDCUP!AA124,"-",WORLDCUP!AF124,"·",IF(WORLDCUP!AC124&gt;WORLDCUP!AD124,1,IF(WORLDCUP!AC124&lt;WORLDCUP!AD124,2,IF(AND(WORLDCUP!AC124=WORLDCUP!AD124,WORLDCUP!AC124&lt;&gt;"",WORLDCUP!AD124&lt;&gt;""),"X",0))),"|",WORLDCUP!AC124,"-",WORLDCUP!AD124)</f>
        <v>Portugal-España·0|-</v>
      </c>
      <c r="D204" s="625"/>
      <c r="E204" s="345"/>
      <c r="F204" s="345"/>
      <c r="G204" s="345"/>
      <c r="H204" s="345"/>
      <c r="I204" s="345"/>
      <c r="J204" s="361"/>
      <c r="K204" s="361"/>
      <c r="L204" s="361"/>
      <c r="M204" s="377"/>
      <c r="N204" s="368"/>
    </row>
    <row r="205" spans="1:14" ht="15" customHeight="1" x14ac:dyDescent="0.2">
      <c r="A205" s="625"/>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f>+IF(ISBLANK(INDEX(WORLDCUP!$AC$101:$AC$147,MATCH(Y15,WORLDCUP!$Z$101:$Z$147,0))),"",INDEX(WORLDCUP!$AC$101:$AC$147,MATCH(Y15,WORLDCUP!$Z$101:$Z$147,0)))</f>
        <v>2</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f>+IF(ISBLANK(INDEX(WORLDCUP!$AD$101:$AD$147,MATCH(Y16,WORLDCUP!$Z$101:$Z$147,0))),"",INDEX(WORLDCUP!$AD$101:$AD$147,MATCH(Y16,WORLDCUP!$Z$101:$Z$147,0)))</f>
        <v>1</v>
      </c>
      <c r="AC16" s="442" t="str">
        <f>+IF(ISBLANK(INDEX(WORLDCUP!$AE$101:$AE$147,MATCH(Y16,WORLDCUP!$Z$101:$Z$147,0))),"","( "&amp;INDEX(WORLDCUP!$AE$101:$AE$147,MATCH(Y16,WORLDCUP!$Z$101:$Z$147,0))&amp;" )")</f>
        <v/>
      </c>
      <c r="AD16" s="443">
        <v>93</v>
      </c>
      <c r="AE16" s="444" t="str">
        <f ca="1">+MID(INDEX(WORLDCUP!$AA$101:$AA$147,MATCH(AD16,WORLDCUP!$Z$101:$Z$147,0)),1,3)</f>
        <v>Por</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0</v>
      </c>
      <c r="BJ41" s="452">
        <f ca="1">COUNTIF(Pool!$C$182:$C$197,Fixture!BG41)-BK41-BL41-BM41-BN41-BO41</f>
        <v>1</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2026-07-03T02:22:20Z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
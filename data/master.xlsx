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B013FA65-760B-9749-A0A1-F96C59B21267}"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Z124" i="2"/>
  <c r="Z123" i="2"/>
  <c r="Z122" i="2"/>
  <c r="Z121" i="2"/>
  <c r="Z120" i="2"/>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D75" i="5"/>
  <c r="D154" i="5"/>
  <c r="B94" i="3" s="1"/>
  <c r="D207" i="5"/>
  <c r="K7" i="8" s="1"/>
  <c r="C247" i="3"/>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D216" i="5"/>
  <c r="AB17" i="9" s="1"/>
  <c r="D228" i="5"/>
  <c r="AB29" i="9" s="1"/>
  <c r="C240" i="3"/>
  <c r="BB23" i="4"/>
  <c r="D211" i="5"/>
  <c r="AB12" i="9" s="1"/>
  <c r="D229" i="5"/>
  <c r="AB30" i="9" s="1"/>
  <c r="B247" i="3"/>
  <c r="AG126" i="2"/>
  <c r="D29" i="5"/>
  <c r="W129" i="2" s="1"/>
  <c r="D76" i="5"/>
  <c r="D122" i="5"/>
  <c r="D6" i="3" s="1"/>
  <c r="D212" i="5"/>
  <c r="AB13" i="9" s="1"/>
  <c r="D224" i="5"/>
  <c r="K24" i="8" s="1"/>
  <c r="D219" i="5"/>
  <c r="AB20" i="9" s="1"/>
  <c r="D249" i="5"/>
  <c r="K49" i="8" s="1"/>
  <c r="AG133" i="2"/>
  <c r="AZ25" i="4"/>
  <c r="AN13" i="4"/>
  <c r="AK31" i="4"/>
  <c r="AF5" i="4"/>
  <c r="AC4" i="4"/>
  <c r="AK32" i="4"/>
  <c r="C213" i="3"/>
  <c r="C227" i="3"/>
  <c r="C226" i="3"/>
  <c r="C244" i="3"/>
  <c r="B244" i="3"/>
  <c r="C236" i="3"/>
  <c r="N134" i="2"/>
  <c r="AF134" i="2" s="1"/>
  <c r="C217" i="3" s="1"/>
  <c r="AG127" i="2"/>
  <c r="AJ7" i="4"/>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32" i="3"/>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X75" i="2"/>
  <c r="AF51" i="2"/>
  <c r="AB50" i="9"/>
  <c r="Z36" i="2"/>
  <c r="AR69" i="2"/>
  <c r="Z5" i="2"/>
  <c r="Z92" i="2"/>
  <c r="Y146" i="2"/>
  <c r="K28" i="8"/>
  <c r="X51" i="2"/>
  <c r="X83" i="2"/>
  <c r="X146" i="2"/>
  <c r="X11" i="2"/>
  <c r="X27" i="2" s="1"/>
  <c r="X43" i="2" s="1"/>
  <c r="X67" i="2"/>
  <c r="Z53" i="2"/>
  <c r="Z77" i="2"/>
  <c r="X59" i="2"/>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K33" i="8"/>
  <c r="AB35" i="9"/>
  <c r="K34" i="8"/>
  <c r="B22" i="8"/>
  <c r="B17" i="8"/>
  <c r="K48" i="8"/>
  <c r="AB49" i="9"/>
  <c r="AB44" i="9"/>
  <c r="B44" i="8"/>
  <c r="K43" i="8"/>
  <c r="C255" i="3"/>
  <c r="AJ3" i="2"/>
  <c r="BC5" i="2"/>
  <c r="BC57" i="2" s="1"/>
  <c r="B31" i="8"/>
  <c r="K10" i="8"/>
  <c r="AB11" i="9"/>
  <c r="AB48" i="9"/>
  <c r="B24" i="8"/>
  <c r="K47" i="8"/>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L45" i="4"/>
  <c r="BL17" i="4"/>
  <c r="BL36" i="4"/>
  <c r="BL28" i="4"/>
  <c r="BL7" i="4"/>
  <c r="BL5" i="4"/>
  <c r="BL43" i="4"/>
  <c r="BL46" i="4"/>
  <c r="BL30" i="4"/>
  <c r="BL26" i="4"/>
  <c r="BL51" i="4"/>
  <c r="BL24" i="4"/>
  <c r="BL29" i="4"/>
  <c r="BL49" i="4"/>
  <c r="BL40" i="4"/>
  <c r="BL47" i="4"/>
  <c r="BL37" i="4"/>
  <c r="BL4" i="4"/>
  <c r="BL22" i="4"/>
  <c r="BL23" i="4"/>
  <c r="BL41" i="4"/>
  <c r="BL11" i="4"/>
  <c r="BL12" i="4"/>
  <c r="BL44" i="4"/>
  <c r="BL18" i="4"/>
  <c r="BL35" i="4"/>
  <c r="BL14" i="4"/>
  <c r="BL25" i="4"/>
  <c r="BL33" i="4"/>
  <c r="BL34" i="4"/>
  <c r="BL31" i="4"/>
  <c r="BL19" i="4"/>
  <c r="BL27" i="4"/>
  <c r="BL21" i="4"/>
  <c r="BL42" i="4"/>
  <c r="BL32" i="4"/>
  <c r="BL50" i="4"/>
  <c r="BL16" i="4"/>
  <c r="BL39" i="4"/>
  <c r="BL9" i="4"/>
  <c r="BL20" i="4"/>
  <c r="BL6" i="4"/>
  <c r="BL13" i="4"/>
  <c r="BL38" i="4"/>
  <c r="BL48" i="4"/>
  <c r="BL10" i="4"/>
  <c r="BL15" i="4"/>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CJ44" i="2" s="1"/>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CI10" i="2" s="1"/>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K50" i="2"/>
  <c r="CJ50" i="2"/>
  <c r="CI21" i="2"/>
  <c r="CK21" i="2"/>
  <c r="CJ21" i="2"/>
  <c r="CJ22" i="2"/>
  <c r="CI22" i="2"/>
  <c r="CK22" i="2"/>
  <c r="CI29" i="2"/>
  <c r="CK29" i="2"/>
  <c r="CJ29" i="2"/>
  <c r="CJ33" i="2"/>
  <c r="CI33" i="2"/>
  <c r="CK33" i="2"/>
  <c r="CJ11"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D120" i="2" s="1"/>
  <c r="AG115" i="2"/>
  <c r="M126" i="2"/>
  <c r="AA126" i="2" s="1"/>
  <c r="M127" i="2"/>
  <c r="AA127" i="2" s="1"/>
  <c r="AG113" i="2"/>
  <c r="M124" i="2"/>
  <c r="AA124" i="2" s="1"/>
  <c r="AG112" i="2"/>
  <c r="N124" i="2"/>
  <c r="AF124" i="2" s="1"/>
  <c r="D124" i="2" s="1"/>
  <c r="AG111" i="2"/>
  <c r="M125" i="2"/>
  <c r="AA125" i="2" s="1"/>
  <c r="AG110" i="2"/>
  <c r="N125" i="2"/>
  <c r="AF125" i="2" s="1"/>
  <c r="AG109" i="2"/>
  <c r="N123" i="2"/>
  <c r="AF123" i="2" s="1"/>
  <c r="D123" i="2" s="1"/>
  <c r="AG108" i="2"/>
  <c r="AG106" i="2"/>
  <c r="N120" i="2"/>
  <c r="AF121" i="2" s="1"/>
  <c r="D121" i="2" s="1"/>
  <c r="AG105" i="2"/>
  <c r="N122" i="2"/>
  <c r="AF122" i="2" s="1"/>
  <c r="D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D125" i="2" l="1"/>
  <c r="N132" i="2" s="1"/>
  <c r="AF132" i="2" s="1"/>
  <c r="AG124" i="2"/>
  <c r="M132" i="2"/>
  <c r="AA132" i="2" s="1"/>
  <c r="AG123" i="2"/>
  <c r="N133" i="2"/>
  <c r="AF133" i="2" s="1"/>
  <c r="AG122" i="2"/>
  <c r="M133" i="2"/>
  <c r="AA133" i="2" s="1"/>
  <c r="AG121" i="2"/>
  <c r="M131" i="2"/>
  <c r="AA131" i="2" s="1"/>
  <c r="N131" i="2"/>
  <c r="AF131" i="2" s="1"/>
  <c r="AG120" i="2"/>
  <c r="C197" i="3"/>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AG125" i="2" l="1"/>
  <c r="C215" i="3"/>
  <c r="AI20" i="4"/>
  <c r="C211" i="3"/>
  <c r="AI19" i="4"/>
  <c r="B221" i="3"/>
  <c r="C221" i="3"/>
  <c r="C216" i="3"/>
  <c r="AI32" i="4"/>
  <c r="AI31" i="4"/>
  <c r="C212" i="3"/>
  <c r="C222" i="3"/>
  <c r="B222" i="3"/>
  <c r="AI7" i="4"/>
  <c r="C210" i="3"/>
  <c r="C214" i="3"/>
  <c r="AI8" i="4"/>
  <c r="B220" i="3"/>
  <c r="C220" i="3"/>
  <c r="M123" i="2"/>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K15" i="4" l="1"/>
  <c r="BK38" i="4"/>
  <c r="BK20" i="4"/>
  <c r="BK16" i="4"/>
  <c r="BK37" i="4"/>
  <c r="BK49" i="4"/>
  <c r="BK48" i="4"/>
  <c r="BK42" i="4"/>
  <c r="BK19" i="4"/>
  <c r="BK33" i="4"/>
  <c r="BK35" i="4"/>
  <c r="BK12" i="4"/>
  <c r="BK51" i="4"/>
  <c r="BK46" i="4"/>
  <c r="BK7" i="4"/>
  <c r="BK17" i="4"/>
  <c r="BK11" i="4"/>
  <c r="BK28" i="4"/>
  <c r="BK29" i="4"/>
  <c r="BK47" i="4"/>
  <c r="BK6" i="4"/>
  <c r="BK39" i="4"/>
  <c r="BK10" i="4"/>
  <c r="BK13" i="4"/>
  <c r="BK9" i="4"/>
  <c r="BK50" i="4"/>
  <c r="BK22" i="4"/>
  <c r="BK26" i="4"/>
  <c r="BK43" i="4"/>
  <c r="BK45" i="4"/>
  <c r="BK27" i="4"/>
  <c r="BK14" i="4"/>
  <c r="BK21" i="4"/>
  <c r="BK31" i="4"/>
  <c r="BK25" i="4"/>
  <c r="BK18" i="4"/>
  <c r="BK32" i="4"/>
  <c r="BK34" i="4"/>
  <c r="BK41" i="4"/>
  <c r="BK4" i="4"/>
  <c r="BK40" i="4"/>
  <c r="BK24" i="4"/>
  <c r="BK23" i="4"/>
  <c r="BK44" i="4"/>
  <c r="BK30" i="4"/>
  <c r="BK5" i="4"/>
  <c r="BK36" i="4"/>
  <c r="BK8" i="4"/>
  <c r="AE34" i="4"/>
  <c r="C185" i="3"/>
  <c r="C203" i="3"/>
  <c r="B203" i="3"/>
  <c r="BU63" i="2"/>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<sst xmlns="http://schemas.openxmlformats.org/spreadsheetml/2006/main" count="6754" uniqueCount="1516">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</sst>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05" zoomScale="118" zoomScaleNormal="100" workbookViewId="0">
      <selection activeCell="AL128" sqref="AL12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3"/>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3"/>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0"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3"/>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3"/>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1"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3"/>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4"/>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3"/>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3"/>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3"/>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4"/>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3"/>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3"/>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3"/>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3"/>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3"/>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3"/>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3"/>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v>0</v>
      </c>
      <c r="AD120" s="96">
        <v>3</v>
      </c>
      <c r="AE120" s="89"/>
      <c r="AF120" s="91" t="str">
        <f t="shared" ref="AF120:AF127" ca="1" si="280">+INDEX($N$101:$N$147,MATCH(AH120,$J$101:$J$147,0))</f>
        <v>Marruecos</v>
      </c>
      <c r="AG120" s="320">
        <f t="shared" ref="AG120:AG127" ca="1" si="281">IF(D120="W"&amp;AH120,0,1)</f>
        <v>1</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ca="1" si="276"/>
        <v>Francia</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ca="1" si="279"/>
        <v>Paraguay</v>
      </c>
      <c r="AB121" s="89"/>
      <c r="AC121" s="97">
        <v>0</v>
      </c>
      <c r="AD121" s="97">
        <v>1</v>
      </c>
      <c r="AE121" s="89"/>
      <c r="AF121" s="91" t="str">
        <f t="shared" ca="1" si="280"/>
        <v>Francia</v>
      </c>
      <c r="AG121" s="320">
        <f t="shared" ca="1" si="281"/>
        <v>1</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ca="1" si="276"/>
        <v>Noruega</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ca="1" si="279"/>
        <v>Brasil</v>
      </c>
      <c r="AB122" s="89"/>
      <c r="AC122" s="97">
        <v>1</v>
      </c>
      <c r="AD122" s="97">
        <v>2</v>
      </c>
      <c r="AE122" s="89"/>
      <c r="AF122" s="91" t="str">
        <f t="shared" ca="1" si="280"/>
        <v>Noruega</v>
      </c>
      <c r="AG122" s="320">
        <f t="shared" ca="1" si="281"/>
        <v>1</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ca="1" si="276"/>
        <v>Inglaterra</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ca="1" si="279"/>
        <v>México</v>
      </c>
      <c r="AB123" s="89"/>
      <c r="AC123" s="97">
        <v>2</v>
      </c>
      <c r="AD123" s="97">
        <v>3</v>
      </c>
      <c r="AE123" s="89"/>
      <c r="AF123" s="91" t="str">
        <f t="shared" ca="1" si="280"/>
        <v>Inglaterra</v>
      </c>
      <c r="AG123" s="320">
        <f t="shared" ca="1" si="281"/>
        <v>1</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ca="1" si="276"/>
        <v>España</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0"/>
      <c r="X124" s="24">
        <f ca="1">Horarios!C124</f>
        <v>46209.625</v>
      </c>
      <c r="Y124" s="25">
        <f ca="1">Horarios!C124</f>
        <v>46209.625</v>
      </c>
      <c r="Z124" s="274">
        <f t="shared" si="278"/>
        <v>93</v>
      </c>
      <c r="AA124" s="88" t="str">
        <f t="shared" ca="1" si="279"/>
        <v>Portugal</v>
      </c>
      <c r="AB124" s="98"/>
      <c r="AC124" s="97">
        <v>0</v>
      </c>
      <c r="AD124" s="97">
        <v>1</v>
      </c>
      <c r="AE124" s="90"/>
      <c r="AF124" s="91" t="str">
        <f t="shared" ca="1" si="280"/>
        <v>España</v>
      </c>
      <c r="AG124" s="320">
        <f t="shared" ca="1" si="281"/>
        <v>1</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ca="1" si="276"/>
        <v>Bélgica</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ca="1" si="279"/>
        <v>Estados Unidos</v>
      </c>
      <c r="AB125" s="89"/>
      <c r="AC125" s="99">
        <v>1</v>
      </c>
      <c r="AD125" s="99">
        <v>4</v>
      </c>
      <c r="AE125" s="89"/>
      <c r="AF125" s="91" t="str">
        <f t="shared" ca="1" si="280"/>
        <v>Bélgica</v>
      </c>
      <c r="AG125" s="320">
        <f t="shared" ca="1" si="281"/>
        <v>1</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0"/>
      <c r="X126" s="24">
        <f ca="1">Horarios!C126</f>
        <v>46210.5</v>
      </c>
      <c r="Y126" s="25">
        <f ca="1">Horarios!C126</f>
        <v>46210.5</v>
      </c>
      <c r="Z126" s="274">
        <f t="shared" si="278"/>
        <v>95</v>
      </c>
      <c r="AA126" s="88" t="str">
        <f t="shared" ca="1" si="279"/>
        <v>Argentina</v>
      </c>
      <c r="AB126" s="89"/>
      <c r="AC126" s="99"/>
      <c r="AD126" s="99"/>
      <c r="AE126" s="89"/>
      <c r="AF126" s="91" t="str">
        <f t="shared" ca="1" si="280"/>
        <v>Egipto</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ca="1" si="279"/>
        <v>Suiza</v>
      </c>
      <c r="AB127" s="94"/>
      <c r="AC127" s="100"/>
      <c r="AD127" s="100"/>
      <c r="AE127" s="94"/>
      <c r="AF127" s="95" t="str">
        <f t="shared" ca="1" si="280"/>
        <v>Colombia</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ca="1" si="282">+INDEX($D$101:$D$147,MATCH(E131,$AH$101:$AH$147,0))</f>
        <v>Francia</v>
      </c>
      <c r="N131" s="16" t="str">
        <f t="shared" ca="1" si="282"/>
        <v>Marruecos</v>
      </c>
      <c r="O131" s="16"/>
      <c r="P131" s="16"/>
      <c r="Q131" s="16"/>
      <c r="R131" s="16"/>
      <c r="S131" s="16"/>
      <c r="T131" s="16"/>
      <c r="U131" s="16"/>
      <c r="V131" s="17"/>
      <c r="W131" s="629" t="s">
        <v>198</v>
      </c>
      <c r="X131" s="24">
        <f ca="1">Horarios!C131</f>
        <v>46212.666666666657</v>
      </c>
      <c r="Y131" s="25">
        <f ca="1">Horarios!C131</f>
        <v>46212.666666666657</v>
      </c>
      <c r="Z131" s="276">
        <f>AH131</f>
        <v>97</v>
      </c>
      <c r="AA131" s="88" t="str">
        <f ca="1">+INDEX($M$101:$M$147,MATCH(AH131,$J$101:$J$147,0))</f>
        <v>Francia</v>
      </c>
      <c r="AB131" s="98"/>
      <c r="AC131" s="96"/>
      <c r="AD131" s="96"/>
      <c r="AE131" s="90"/>
      <c r="AF131" s="116" t="str">
        <f ca="1">+INDEX($N$101:$N$147,MATCH(AH131,$J$101:$J$147,0))</f>
        <v>Marruecos</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ca="1" si="282"/>
        <v>España</v>
      </c>
      <c r="N132" s="16" t="str">
        <f t="shared" ca="1" si="282"/>
        <v>Bélgica</v>
      </c>
      <c r="O132" s="16"/>
      <c r="P132" s="16"/>
      <c r="Q132" s="16"/>
      <c r="R132" s="16"/>
      <c r="S132" s="16"/>
      <c r="T132" s="16"/>
      <c r="U132" s="16"/>
      <c r="V132" s="17"/>
      <c r="W132" s="620"/>
      <c r="X132" s="24">
        <f ca="1">Horarios!C132</f>
        <v>46213.625</v>
      </c>
      <c r="Y132" s="25">
        <f ca="1">Horarios!C132</f>
        <v>46213.625</v>
      </c>
      <c r="Z132" s="276">
        <f>AH132</f>
        <v>98</v>
      </c>
      <c r="AA132" s="88" t="str">
        <f ca="1">+INDEX($M$101:$M$147,MATCH(AH132,$J$101:$J$147,0))</f>
        <v>España</v>
      </c>
      <c r="AB132" s="89"/>
      <c r="AC132" s="99"/>
      <c r="AD132" s="99"/>
      <c r="AE132" s="89"/>
      <c r="AF132" s="116" t="str">
        <f ca="1">+INDEX($N$101:$N$147,MATCH(AH132,$J$101:$J$147,0))</f>
        <v>Bélgica</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ca="1" si="282"/>
        <v>Noruega</v>
      </c>
      <c r="N133" s="16" t="str">
        <f t="shared" ca="1" si="282"/>
        <v>Inglaterra</v>
      </c>
      <c r="O133" s="16"/>
      <c r="P133" s="16"/>
      <c r="Q133" s="16"/>
      <c r="R133" s="16"/>
      <c r="S133" s="16"/>
      <c r="T133" s="16"/>
      <c r="U133" s="16"/>
      <c r="V133" s="17"/>
      <c r="W133" s="620"/>
      <c r="X133" s="24">
        <f ca="1">Horarios!C133</f>
        <v>46214.708333333343</v>
      </c>
      <c r="Y133" s="25">
        <f ca="1">Horarios!C133</f>
        <v>46214.708333333343</v>
      </c>
      <c r="Z133" s="276">
        <f>AH133</f>
        <v>99</v>
      </c>
      <c r="AA133" s="88" t="str">
        <f ca="1">+INDEX($M$101:$M$147,MATCH(AH133,$J$101:$J$147,0))</f>
        <v>Noruega</v>
      </c>
      <c r="AB133" s="89"/>
      <c r="AC133" s="99"/>
      <c r="AD133" s="99"/>
      <c r="AE133" s="89"/>
      <c r="AF133" s="116" t="str">
        <f ca="1">+INDEX($N$101:$N$147,MATCH(AH133,$J$101:$J$147,0))</f>
        <v>Inglaterra</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 ca="1">WORLDCUP!AA121</f>
        <v>Paraguay</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 ca="1">WORLDCUP!AA122</f>
        <v>Brasil</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 ca="1">WORLDCUP!AA123</f>
        <v>México</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 ca="1">WORLDCUP!AA124</f>
        <v>Portugal</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 ca="1">WORLDCUP!AA125</f>
        <v>Estados Unidos</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 ca="1">WORLDCUP!AA126</f>
        <v>Argentina</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 ca="1">WORLDCUP!AA127</f>
        <v>Suiza</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 ca="1">WORLDCUP!AF120</f>
        <v>Marruecos</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 ca="1">WORLDCUP!AF121</f>
        <v>Francia</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 ca="1">WORLDCUP!AF122</f>
        <v>Noruega</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 ca="1">WORLDCUP!AF123</f>
        <v>Inglaterra</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 ca="1">WORLDCUP!AF124</f>
        <v>España</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 ca="1">WORLDCUP!AF125</f>
        <v>Bélgica</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 ca="1">WORLDCUP!AF126</f>
        <v>Egipto</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 ca="1">WORLDCUP!AF127</f>
        <v>Colombia</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Canadá-Marruecos·2|0-3</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Paraguay-Francia·2|0-1</v>
      </c>
      <c r="D201" s="628"/>
      <c r="E201" s="650"/>
      <c r="F201" s="650"/>
      <c r="G201" s="650"/>
      <c r="H201" s="650"/>
      <c r="I201" s="345"/>
      <c r="J201" s="361"/>
      <c r="K201" s="361"/>
      <c r="L201" s="361"/>
      <c r="M201" s="377"/>
      <c r="N201" s="368"/>
    </row>
    <row r="202" spans="1:14" ht="15" customHeight="1" x14ac:dyDescent="0.2">
      <c r="A202" s="628"/>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Brasil-Noruega·2|1-2</v>
      </c>
      <c r="D202" s="628"/>
      <c r="E202" s="650"/>
      <c r="F202" s="650"/>
      <c r="G202" s="650"/>
      <c r="H202" s="650"/>
      <c r="I202" s="345"/>
      <c r="J202" s="361"/>
      <c r="K202" s="361"/>
      <c r="L202" s="361"/>
      <c r="M202" s="377"/>
      <c r="N202" s="368"/>
    </row>
    <row r="203" spans="1:14" ht="15" customHeight="1" x14ac:dyDescent="0.2">
      <c r="A203" s="628"/>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México-Inglaterra·2|2-3</v>
      </c>
      <c r="D203" s="628"/>
      <c r="E203" s="650"/>
      <c r="F203" s="650"/>
      <c r="G203" s="650"/>
      <c r="H203" s="650"/>
      <c r="I203" s="345"/>
      <c r="J203" s="361"/>
      <c r="K203" s="361"/>
      <c r="L203" s="361"/>
      <c r="M203" s="377"/>
      <c r="N203" s="368"/>
    </row>
    <row r="204" spans="1:14" ht="15" customHeight="1" x14ac:dyDescent="0.2">
      <c r="A204" s="628"/>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Portugal-España·2|0-1</v>
      </c>
      <c r="D204" s="628"/>
      <c r="E204" s="345"/>
      <c r="F204" s="345"/>
      <c r="G204" s="345"/>
      <c r="H204" s="345"/>
      <c r="I204" s="345"/>
      <c r="J204" s="361"/>
      <c r="K204" s="361"/>
      <c r="L204" s="361"/>
      <c r="M204" s="377"/>
      <c r="N204" s="368"/>
    </row>
    <row r="205" spans="1:14" ht="15" customHeight="1" x14ac:dyDescent="0.2">
      <c r="A205" s="628"/>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Unidos-Bélgica·2|1-4</v>
      </c>
      <c r="D205" s="628"/>
      <c r="E205" s="345"/>
      <c r="F205" s="345"/>
      <c r="G205" s="345"/>
      <c r="H205" s="345"/>
      <c r="I205" s="345"/>
      <c r="J205" s="361"/>
      <c r="K205" s="361"/>
      <c r="L205" s="361"/>
      <c r="M205" s="377"/>
      <c r="N205" s="368"/>
    </row>
    <row r="206" spans="1:14" ht="15" customHeight="1" x14ac:dyDescent="0.2">
      <c r="A206" s="628"/>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Argentina-Egipto·0|-</v>
      </c>
      <c r="D206" s="628"/>
      <c r="E206" s="345"/>
      <c r="F206" s="345"/>
      <c r="G206" s="345"/>
      <c r="H206" s="345"/>
      <c r="I206" s="345"/>
      <c r="J206" s="361"/>
      <c r="K206" s="361"/>
      <c r="L206" s="361"/>
      <c r="M206" s="377"/>
      <c r="N206" s="368"/>
    </row>
    <row r="207" spans="1:14" ht="15" customHeight="1" x14ac:dyDescent="0.2">
      <c r="A207" s="628"/>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 ca="1">WORLDCUP!AA131</f>
        <v>Francia</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 ca="1">WORLDCUP!AA132</f>
        <v>España</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 ca="1">WORLDCUP!AA133</f>
        <v>Noruega</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 ca="1">WORLDCUP!AF131</f>
        <v>Marruecos</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 ca="1">WORLDCUP!AF132</f>
        <v>Bélgica</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 ca="1">WORLDCUP!AF133</f>
        <v>Inglaterra</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 ca="1">CONCATENATE(WORLDCUP!AA131,"-",WORLDCUP!AF131)</f>
        <v>Francia-Marruecos</v>
      </c>
      <c r="C220" s="342" t="str">
        <f ca="1">CONCATENATE(WORLDCUP!AA131,"-",WORLDCUP!AF131,"·",IF(WORLDCUP!AC131&gt;WORLDCUP!AD131,1,IF(WORLDCUP!AC131&lt;WORLDCUP!AD131,2,IF(AND(WORLDCUP!AC131=WORLDCUP!AD131,WORLDCUP!AC131&lt;&gt;"",WORLDCUP!AD131&lt;&gt;""),"X",0))),"|",WORLDCUP!AC131,"-",WORLDCUP!AD131)</f>
        <v>Francia-Marruecos·0|-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 ca="1">CONCATENATE(WORLDCUP!AA132,"-",WORLDCUP!AF132)</f>
        <v>España-Bélgica</v>
      </c>
      <c r="C221" s="342" t="str">
        <f ca="1">CONCATENATE(WORLDCUP!AA132,"-",WORLDCUP!AF132,"·",IF(WORLDCUP!AC132&gt;WORLDCUP!AD132,1,IF(WORLDCUP!AC132&lt;WORLDCUP!AD132,2,IF(AND(WORLDCUP!AC132=WORLDCUP!AD132,WORLDCUP!AC132&lt;&gt;"",WORLDCUP!AD132&lt;&gt;""),"X",0))),"|",WORLDCUP!AC132,"-",WORLDCUP!AD132)</f>
        <v>España-Bélgica·0|-</v>
      </c>
      <c r="D221" s="628"/>
      <c r="E221" s="650"/>
      <c r="F221" s="650"/>
      <c r="G221" s="650"/>
      <c r="H221" s="650"/>
      <c r="I221" s="345"/>
      <c r="J221" s="361"/>
      <c r="K221" s="361"/>
      <c r="L221" s="361"/>
      <c r="M221" s="377"/>
      <c r="N221" s="368"/>
    </row>
    <row r="222" spans="1:14" ht="15" customHeight="1" x14ac:dyDescent="0.2">
      <c r="A222" s="628"/>
      <c r="B222" s="352" t="str">
        <f ca="1">CONCATENATE(WORLDCUP!AA133,"-",WORLDCUP!AF133)</f>
        <v>Noruega-Inglaterra</v>
      </c>
      <c r="C222" s="342" t="str">
        <f ca="1">CONCATENATE(WORLDCUP!AA133,"-",WORLDCUP!AF133,"·",IF(WORLDCUP!AC133&gt;WORLDCUP!AD133,1,IF(WORLDCUP!AC133&lt;WORLDCUP!AD133,2,IF(AND(WORLDCUP!AC133=WORLDCUP!AD133,WORLDCUP!AC133&lt;&gt;"",WORLDCUP!AD133&lt;&gt;""),"X",0))),"|",WORLDCUP!AC133,"-",WORLDCUP!AD133)</f>
        <v>Noruega-Inglaterra·0|-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f>+IF(ISBLANK(INDEX(WORLDCUP!$AC$101:$AC$147,MATCH(AD4,WORLDCUP!$Z$101:$Z$147,0))),"",INDEX(WORLDCUP!$AC$101:$AC$147,MATCH(AD4,WORLDCUP!$Z$101:$Z$147,0)))</f>
        <v>0</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f>+IF(ISBLANK(INDEX(WORLDCUP!$AD$101:$AD$147,MATCH(AD5,WORLDCUP!$Z$101:$Z$147,0))),"",INDEX(WORLDCUP!$AD$101:$AD$147,MATCH(AD5,WORLDCUP!$Z$101:$Z$147,0)))</f>
        <v>1</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Fra</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1</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Mar</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f>+IF(ISBLANK(INDEX(WORLDCUP!$AC$101:$AC$147,MATCH(AD10,WORLDCUP!$Z$101:$Z$147,0))),"",INDEX(WORLDCUP!$AC$101:$AC$147,MATCH(AD10,WORLDCUP!$Z$101:$Z$147,0)))</f>
        <v>0</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0</v>
      </c>
      <c r="BK10" s="453">
        <f ca="1">COUNTIF(Pool!$C$210:$C$217,Fixture!BG10)-BL10-BM10-BN10-BO10</f>
        <v>1</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f>+IF(ISBLANK(INDEX(WORLDCUP!$AD$101:$AD$147,MATCH(AD11,WORLDCUP!$Z$101:$Z$147,0))),"",INDEX(WORLDCUP!$AD$101:$AD$147,MATCH(AD11,WORLDCUP!$Z$101:$Z$147,0)))</f>
        <v>3</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f>+IF(ISBLANK(INDEX(WORLDCUP!$AC$101:$AC$147,MATCH(AD16,WORLDCUP!$Z$101:$Z$147,0))),"",INDEX(WORLDCUP!$AC$101:$AC$147,MATCH(AD16,WORLDCUP!$Z$101:$Z$147,0)))</f>
        <v>0</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f>+IF(ISBLANK(INDEX(WORLDCUP!$AD$101:$AD$147,MATCH(AD17,WORLDCUP!$Z$101:$Z$147,0))),"",INDEX(WORLDCUP!$AD$101:$AD$147,MATCH(AD17,WORLDCUP!$Z$101:$Z$147,0)))</f>
        <v>1</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Esp</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 ca="1">+MID(INDEX(WORLDCUP!$AF$101:$AF$147,MATCH(AH20,WORLDCUP!$Z$101:$Z$147,0)),1,3)</f>
        <v>Bél</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f>+IF(ISBLANK(INDEX(WORLDCUP!$AC$101:$AC$147,MATCH(AD22,WORLDCUP!$Z$101:$Z$147,0))),"",INDEX(WORLDCUP!$AC$101:$AC$147,MATCH(AD22,WORLDCUP!$Z$101:$Z$147,0)))</f>
        <v>1</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f>+IF(ISBLANK(INDEX(WORLDCUP!$AD$101:$AD$147,MATCH(AD23,WORLDCUP!$Z$101:$Z$147,0))),"",INDEX(WORLDCUP!$AD$101:$AD$147,MATCH(AD23,WORLDCUP!$Z$101:$Z$147,0)))</f>
        <v>4</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0</v>
      </c>
      <c r="BK24" s="453">
        <f ca="1">COUNTIF(Pool!$C$210:$C$217,Fixture!BG24)-BL24-BM24-BN24-BO24</f>
        <v>1</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0</v>
      </c>
      <c r="BK26" s="453">
        <f ca="1">COUNTIF(Pool!$C$210:$C$217,Fixture!BG26)-BL26-BM26-BN26-BO26</f>
        <v>1</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f>+IF(ISBLANK(INDEX(WORLDCUP!$AC$101:$AC$147,MATCH(AD28,WORLDCUP!$Z$101:$Z$147,0))),"",INDEX(WORLDCUP!$AC$101:$AC$147,MATCH(AD28,WORLDCUP!$Z$101:$Z$147,0)))</f>
        <v>1</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f>+IF(ISBLANK(INDEX(WORLDCUP!$AD$101:$AD$147,MATCH(AD29,WORLDCUP!$Z$101:$Z$147,0))),"",INDEX(WORLDCUP!$AD$101:$AD$147,MATCH(AD29,WORLDCUP!$Z$101:$Z$147,0)))</f>
        <v>2</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0</v>
      </c>
      <c r="BK29" s="453">
        <f ca="1">COUNTIF(Pool!$C$210:$C$217,Fixture!BG29)-BL29-BM29-BN29-BO29</f>
        <v>1</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Nor</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Ing</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f>+IF(ISBLANK(INDEX(WORLDCUP!$AC$101:$AC$147,MATCH(AD34,WORLDCUP!$Z$101:$Z$147,0))),"",INDEX(WORLDCUP!$AC$101:$AC$147,MATCH(AD34,WORLDCUP!$Z$101:$Z$147,0)))</f>
        <v>2</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0</v>
      </c>
      <c r="BK34" s="453">
        <f ca="1">COUNTIF(Pool!$C$210:$C$217,Fixture!BG34)-BL34-BM34-BN34-BO34</f>
        <v>1</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f>+IF(ISBLANK(INDEX(WORLDCUP!$AD$101:$AD$147,MATCH(AD35,WORLDCUP!$Z$101:$Z$147,0))),"",INDEX(WORLDCUP!$AD$101:$AD$147,MATCH(AD35,WORLDCUP!$Z$101:$Z$147,0)))</f>
        <v>3</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0</v>
      </c>
      <c r="BK36" s="453">
        <f ca="1">COUNTIF(Pool!$C$210:$C$217,Fixture!BG36)-BL36-BM36-BN36-BO36</f>
        <v>1</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1</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2026-07-07T02:06:55Z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
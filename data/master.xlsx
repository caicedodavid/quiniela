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5B4ECA7-F414-8B4E-89D5-E9633C24C286}"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C240" i="3"/>
  <c r="BB23" i="4"/>
  <c r="D211" i="5"/>
  <c r="AB12" i="9" s="1"/>
  <c r="D229" i="5"/>
  <c r="AB30" i="9" s="1"/>
  <c r="B247" i="3"/>
  <c r="AG126" i="2"/>
  <c r="D29" i="5"/>
  <c r="W129" i="2" s="1"/>
  <c r="D76" i="5"/>
  <c r="D122" i="5"/>
  <c r="D6" i="3" s="1"/>
  <c r="D212" i="5"/>
  <c r="AB13" i="9" s="1"/>
  <c r="D224" i="5"/>
  <c r="K24" i="8" s="1"/>
  <c r="D219" i="5"/>
  <c r="AB20" i="9" s="1"/>
  <c r="D249" i="5"/>
  <c r="K49" i="8" s="1"/>
  <c r="AG133" i="2"/>
  <c r="AZ25" i="4"/>
  <c r="AN13" i="4"/>
  <c r="AK31" i="4"/>
  <c r="AF5" i="4"/>
  <c r="AC4" i="4"/>
  <c r="AK32" i="4"/>
  <c r="C213" i="3"/>
  <c r="C227" i="3"/>
  <c r="C226" i="3"/>
  <c r="C244" i="3"/>
  <c r="B244" i="3"/>
  <c r="C236" i="3"/>
  <c r="N134" i="2"/>
  <c r="AF134" i="2" s="1"/>
  <c r="C217" i="3" s="1"/>
  <c r="AG127" i="2"/>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X75" i="2"/>
  <c r="AF51" i="2"/>
  <c r="AB50" i="9"/>
  <c r="Z36" i="2"/>
  <c r="AR69" i="2"/>
  <c r="Z5" i="2"/>
  <c r="Z92" i="2"/>
  <c r="Y146" i="2"/>
  <c r="K28" i="8"/>
  <c r="X51" i="2"/>
  <c r="X83" i="2"/>
  <c r="X146" i="2"/>
  <c r="X11" i="2"/>
  <c r="X27" i="2" s="1"/>
  <c r="X43" i="2" s="1"/>
  <c r="X67" i="2"/>
  <c r="Z53" i="2"/>
  <c r="Z77" i="2"/>
  <c r="X59" i="2"/>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L45" i="4"/>
  <c r="BL17" i="4"/>
  <c r="BL36" i="4"/>
  <c r="BL28" i="4"/>
  <c r="BL7" i="4"/>
  <c r="BL5" i="4"/>
  <c r="BL43" i="4"/>
  <c r="BL46" i="4"/>
  <c r="BL30" i="4"/>
  <c r="BL26" i="4"/>
  <c r="BL51" i="4"/>
  <c r="BL24" i="4"/>
  <c r="BL29" i="4"/>
  <c r="BL49" i="4"/>
  <c r="BL40" i="4"/>
  <c r="BL47" i="4"/>
  <c r="BL37" i="4"/>
  <c r="BL4" i="4"/>
  <c r="BL22" i="4"/>
  <c r="BL23" i="4"/>
  <c r="BL41" i="4"/>
  <c r="BL11" i="4"/>
  <c r="BL12" i="4"/>
  <c r="BL44" i="4"/>
  <c r="BL18" i="4"/>
  <c r="BL35" i="4"/>
  <c r="BL14" i="4"/>
  <c r="BL25" i="4"/>
  <c r="BL33" i="4"/>
  <c r="BL34" i="4"/>
  <c r="BL31" i="4"/>
  <c r="BL19" i="4"/>
  <c r="BL27" i="4"/>
  <c r="BL21" i="4"/>
  <c r="BL42" i="4"/>
  <c r="BL32" i="4"/>
  <c r="BL50" i="4"/>
  <c r="BL16" i="4"/>
  <c r="BL39" i="4"/>
  <c r="BL9" i="4"/>
  <c r="BL20" i="4"/>
  <c r="BL6" i="4"/>
  <c r="BL13" i="4"/>
  <c r="BL38" i="4"/>
  <c r="BL48" i="4"/>
  <c r="BL10" i="4"/>
  <c r="BL15" i="4"/>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M127" i="2"/>
  <c r="AA127" i="2" s="1"/>
  <c r="AG113" i="2"/>
  <c r="M124" i="2"/>
  <c r="AA124" i="2" s="1"/>
  <c r="AG112" i="2"/>
  <c r="N124" i="2"/>
  <c r="AF124" i="2" s="1"/>
  <c r="D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G124" i="2" l="1"/>
  <c r="M132" i="2"/>
  <c r="AA132" i="2" s="1"/>
  <c r="AG123" i="2"/>
  <c r="N133" i="2"/>
  <c r="AF133" i="2" s="1"/>
  <c r="AG122" i="2"/>
  <c r="M133" i="2"/>
  <c r="AA133" i="2" s="1"/>
  <c r="AG121" i="2"/>
  <c r="M131" i="2"/>
  <c r="AA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C211" i="3" l="1"/>
  <c r="AI19" i="4"/>
  <c r="B221" i="3"/>
  <c r="C221" i="3"/>
  <c r="C216" i="3"/>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K15" i="4" l="1"/>
  <c r="BK38" i="4"/>
  <c r="BK20" i="4"/>
  <c r="BK16" i="4"/>
  <c r="BK37" i="4"/>
  <c r="BK49" i="4"/>
  <c r="BK48" i="4"/>
  <c r="BK42" i="4"/>
  <c r="BK19" i="4"/>
  <c r="BK33" i="4"/>
  <c r="BK35" i="4"/>
  <c r="BK12" i="4"/>
  <c r="BK51" i="4"/>
  <c r="BK46" i="4"/>
  <c r="BK7" i="4"/>
  <c r="BK17" i="4"/>
  <c r="BK11" i="4"/>
  <c r="BK28" i="4"/>
  <c r="BK29" i="4"/>
  <c r="BK47" i="4"/>
  <c r="BK6" i="4"/>
  <c r="BK39" i="4"/>
  <c r="BK10" i="4"/>
  <c r="BK13" i="4"/>
  <c r="BK9" i="4"/>
  <c r="BK50" i="4"/>
  <c r="BK22" i="4"/>
  <c r="BK26" i="4"/>
  <c r="BK43" i="4"/>
  <c r="BK45" i="4"/>
  <c r="BK27" i="4"/>
  <c r="BK14" i="4"/>
  <c r="BK21" i="4"/>
  <c r="BK31" i="4"/>
  <c r="BK25" i="4"/>
  <c r="BK18" i="4"/>
  <c r="BK32" i="4"/>
  <c r="BK34" i="4"/>
  <c r="BK41" i="4"/>
  <c r="BK4" i="4"/>
  <c r="BK40" i="4"/>
  <c r="BK24" i="4"/>
  <c r="BK23" i="4"/>
  <c r="BK44" i="4"/>
  <c r="BK30" i="4"/>
  <c r="BK5" i="4"/>
  <c r="BK36" i="4"/>
  <c r="BK8" i="4"/>
  <c r="AE34" i="4"/>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<sst xmlns="http://schemas.openxmlformats.org/spreadsheetml/2006/main" count="6754" uniqueCount="1516">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</sst>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5" zoomScale="118" zoomScaleNormal="100" workbookViewId="0">
      <selection activeCell="AT124" sqref="AT12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4"/>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ca="1" si="276"/>
        <v>España</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0"/>
      <c r="X124" s="24">
        <f ca="1">Horarios!C124</f>
        <v>46209.625</v>
      </c>
      <c r="Y124" s="25">
        <f ca="1">Horarios!C124</f>
        <v>46209.625</v>
      </c>
      <c r="Z124" s="274">
        <f t="shared" si="278"/>
        <v>93</v>
      </c>
      <c r="AA124" s="88" t="str">
        <f t="shared" ca="1" si="279"/>
        <v>Portugal</v>
      </c>
      <c r="AB124" s="98"/>
      <c r="AC124" s="97">
        <v>0</v>
      </c>
      <c r="AD124" s="97">
        <v>1</v>
      </c>
      <c r="AE124" s="90"/>
      <c r="AF124" s="91" t="str">
        <f t="shared" ca="1" si="280"/>
        <v>España</v>
      </c>
      <c r="AG124" s="320">
        <f t="shared" ca="1" si="281"/>
        <v>1</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0"/>
      <c r="X126" s="24">
        <f ca="1">Horarios!C126</f>
        <v>46210.5</v>
      </c>
      <c r="Y126" s="25">
        <f ca="1">Horarios!C126</f>
        <v>46210.5</v>
      </c>
      <c r="Z126" s="274">
        <f t="shared" si="278"/>
        <v>95</v>
      </c>
      <c r="AA126" s="88" t="str">
        <f t="shared" ca="1" si="279"/>
        <v>Argentina</v>
      </c>
      <c r="AB126" s="89"/>
      <c r="AC126" s="99"/>
      <c r="AD126" s="99"/>
      <c r="AE126" s="89"/>
      <c r="AF126" s="91" t="str">
        <f t="shared" ca="1" si="280"/>
        <v>Egipto</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Suiza</v>
      </c>
      <c r="AB127" s="94"/>
      <c r="AC127" s="100"/>
      <c r="AD127" s="100"/>
      <c r="AE127" s="94"/>
      <c r="AF127" s="95" t="str">
        <f t="shared" ca="1" si="280"/>
        <v>Colombia</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9" t="s">
        <v>198</v>
      </c>
      <c r="X131" s="24">
        <f ca="1">Horarios!C131</f>
        <v>46212.666666666657</v>
      </c>
      <c r="Y131" s="25">
        <f ca="1">Horarios!C131</f>
        <v>46212.666666666657</v>
      </c>
      <c r="Z131" s="276">
        <f>AH131</f>
        <v>97</v>
      </c>
      <c r="AA131" s="88" t="str">
        <f ca="1">+INDEX($M$101:$M$147,MATCH(AH131,$J$101:$J$147,0))</f>
        <v>Francia</v>
      </c>
      <c r="AB131" s="98"/>
      <c r="AC131" s="96"/>
      <c r="AD131" s="96"/>
      <c r="AE131" s="90"/>
      <c r="AF131" s="116" t="str">
        <f ca="1">+INDEX($N$101:$N$147,MATCH(AH131,$J$101:$J$147,0))</f>
        <v>Marruecos</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España</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 ca="1">+INDEX($M$101:$M$147,MATCH(AH132,$J$101:$J$147,0))</f>
        <v>España</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0"/>
      <c r="X133" s="24">
        <f ca="1">Horarios!C133</f>
        <v>46214.708333333343</v>
      </c>
      <c r="Y133" s="25">
        <f ca="1">Horarios!C133</f>
        <v>46214.708333333343</v>
      </c>
      <c r="Z133" s="276">
        <f>AH133</f>
        <v>99</v>
      </c>
      <c r="AA133" s="88" t="str">
        <f ca="1">+INDEX($M$101:$M$147,MATCH(AH133,$J$101:$J$147,0))</f>
        <v>Noruega</v>
      </c>
      <c r="AB133" s="89"/>
      <c r="AC133" s="99"/>
      <c r="AD133" s="99"/>
      <c r="AE133" s="89"/>
      <c r="AF133" s="116" t="str">
        <f ca="1">+INDEX($N$101:$N$147,MATCH(AH133,$J$101:$J$147,0))</f>
        <v>Inglaterra</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 ca="1">WORLDCUP!AA121</f>
        <v>Paraguay</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Brasil</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México</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Portugal</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Estados Unidos</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Argentina</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Suiza</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 ca="1">WORLDCUP!AF120</f>
        <v>Marruecos</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Francia</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Noruega</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Inglaterra</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España</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Bélgica</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 ca="1">WORLDCUP!AF126</f>
        <v>Egipto</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 ca="1">WORLDCUP!AF127</f>
        <v>Colombia</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Portugal-España·2|0-1</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Francia</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 ca="1">WORLDCUP!AA132</f>
        <v>España</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 ca="1">WORLDCUP!AA133</f>
        <v>Noruega</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 ca="1">WORLDCUP!AF131</f>
        <v>Marruecos</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 ca="1">WORLDCUP!AF133</f>
        <v>Inglaterra</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 ca="1">CONCATENATE(WORLDCUP!AA132,"-",WORLDCUP!AF132)</f>
        <v>España-W94</v>
      </c>
      <c r="C221" s="342" t="str">
        <f ca="1">CONCATENATE(WORLDCUP!AA132,"-",WORLDCUP!AF132,"·",IF(WORLDCUP!AC132&gt;WORLDCUP!AD132,1,IF(WORLDCUP!AC132&lt;WORLDCUP!AD132,2,IF(AND(WORLDCUP!AC132=WORLDCUP!AD132,WORLDCUP!AC132&lt;&gt;"",WORLDCUP!AD132&lt;&gt;""),"X",0))),"|",WORLDCUP!AC132,"-",WORLDCUP!AD132)</f>
        <v>España-W94·0|-</v>
      </c>
      <c r="D221" s="628"/>
      <c r="E221" s="650"/>
      <c r="F221" s="650"/>
      <c r="G221" s="650"/>
      <c r="H221" s="650"/>
      <c r="I221" s="345"/>
      <c r="J221" s="361"/>
      <c r="K221" s="361"/>
      <c r="L221" s="361"/>
      <c r="M221" s="377"/>
      <c r="N221" s="368"/>
    </row>
    <row r="222" spans="1:14" ht="15" customHeight="1" x14ac:dyDescent="0.2">
      <c r="A222" s="628"/>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1</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f>+IF(ISBLANK(INDEX(WORLDCUP!$AC$101:$AC$147,MATCH(AD16,WORLDCUP!$Z$101:$Z$147,0))),"",INDEX(WORLDCUP!$AC$101:$AC$147,MATCH(AD16,WORLDCUP!$Z$101:$Z$147,0)))</f>
        <v>0</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f>+IF(ISBLANK(INDEX(WORLDCUP!$AD$101:$AD$147,MATCH(AD17,WORLDCUP!$Z$101:$Z$147,0))),"",INDEX(WORLDCUP!$AD$101:$AD$147,MATCH(AD17,WORLDCUP!$Z$101:$Z$147,0)))</f>
        <v>1</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Esp</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0</v>
      </c>
      <c r="BK24" s="453">
        <f ca="1">COUNTIF(Pool!$C$210:$C$217,Fixture!BG24)-BL24-BM24-BN24-BO24</f>
        <v>1</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1</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1</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2026-07-06T21:05:29Z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
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694DDF14-85BA-1243-BD90-7B5622A2F018}"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U97" i="2"/>
  <c r="C244" i="3"/>
  <c r="B244" i="3"/>
  <c r="C236" i="3"/>
  <c r="C258" i="3"/>
  <c r="AG160" i="2"/>
  <c r="E48" i="2"/>
  <c r="I49" i="2"/>
  <c r="U56" i="2"/>
  <c r="E57" i="2"/>
  <c r="AG103" i="2"/>
  <c r="M120" i="2"/>
  <c r="AA121" i="2" s="1"/>
  <c r="M125" i="2"/>
  <c r="AA125" i="2" s="1"/>
  <c r="AG110" i="2"/>
  <c r="U73" i="2"/>
  <c r="AG105" i="2"/>
  <c r="N122" i="2"/>
  <c r="AF122" i="2" s="1"/>
  <c r="C192" i="3" s="1"/>
  <c r="M124" i="2"/>
  <c r="AA124" i="2" s="1"/>
  <c r="AG112" i="2"/>
  <c r="E73"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I88" i="2"/>
  <c r="AA159" i="2"/>
  <c r="BA21" i="4"/>
  <c r="R73" i="2"/>
  <c r="E81" i="2"/>
  <c r="K88"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R15" i="4" s="1"/>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6" i="4" l="1"/>
  <c r="F15" i="4"/>
  <c r="R46" i="4"/>
  <c r="R45" i="4"/>
  <c r="R30" i="4"/>
  <c r="R29" i="4"/>
  <c r="R6" i="4"/>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AA73" i="2"/>
  <c r="AF68" i="2"/>
  <c r="AY71" i="2"/>
  <c r="AF24" i="2"/>
  <c r="AA23" i="2"/>
  <c r="AA20" i="2"/>
  <c r="AY22" i="2"/>
  <c r="AA14" i="2"/>
  <c r="AF13" i="2"/>
  <c r="AA16" i="2"/>
  <c r="AY17" i="2"/>
  <c r="BC24" i="2"/>
  <c r="AA85" i="2"/>
  <c r="AF89" i="2"/>
  <c r="R40" i="4" s="1"/>
  <c r="AF86" i="2"/>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24" i="4" l="1"/>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BP27" i="2"/>
  <c r="BP53" i="2"/>
  <c r="AU53" i="2"/>
  <c r="AV52" i="2" s="1"/>
  <c r="M105" i="2"/>
  <c r="AA106" i="2" s="1"/>
  <c r="N106" i="2"/>
  <c r="AF105" i="2" s="1"/>
  <c r="BP31" i="2"/>
  <c r="BP41" i="2"/>
  <c r="BP16" i="2"/>
  <c r="M116" i="2"/>
  <c r="AA114" i="2" s="1"/>
  <c r="M109" i="2"/>
  <c r="AA110" i="2" s="1"/>
  <c r="BP44" i="2"/>
  <c r="BP39" i="2"/>
  <c r="BP25" i="2"/>
  <c r="BP9" i="2"/>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33"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3" i="3"/>
  <c r="C173" i="3"/>
  <c r="AA49" i="4"/>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F70" i="2" s="1"/>
  <c r="BT47" i="2"/>
  <c r="BT43" i="2"/>
  <c r="BT51" i="2"/>
  <c r="BT41" i="2"/>
  <c r="BT38" i="2"/>
  <c r="BT44" i="2"/>
  <c r="BT14" i="2"/>
  <c r="F24" i="2" s="1"/>
  <c r="BT42" i="2"/>
  <c r="BT9" i="2"/>
  <c r="E8" i="2" s="1"/>
  <c r="BT37" i="2"/>
  <c r="BT8" i="2"/>
  <c r="F9" i="2" s="1"/>
  <c r="BT18" i="2"/>
  <c r="BT11" i="2"/>
  <c r="E17" i="2" s="1"/>
  <c r="BT25" i="2"/>
  <c r="BT39" i="2"/>
  <c r="BT52" i="2"/>
  <c r="BT16" i="2"/>
  <c r="F25" i="2" s="1"/>
  <c r="BT32" i="2"/>
  <c r="BT17" i="2"/>
  <c r="E24" i="2" s="1"/>
  <c r="BT35" i="2"/>
  <c r="BT26" i="2"/>
  <c r="BT50" i="2"/>
  <c r="BT30" i="2"/>
  <c r="BT34" i="2"/>
  <c r="BT7" i="2"/>
  <c r="E9" i="2" s="1"/>
  <c r="BT27" i="2"/>
  <c r="BT28" i="2"/>
  <c r="BT48" i="2"/>
  <c r="BT20" i="2"/>
  <c r="BT24" i="2"/>
  <c r="BT13" i="2"/>
  <c r="E16" i="2" s="1"/>
  <c r="BT23" i="2"/>
  <c r="BT22" i="2"/>
  <c r="BT31" i="2"/>
  <c r="BT49" i="2"/>
  <c r="BT21" i="2"/>
  <c r="BT15" i="2"/>
  <c r="E25" i="2" s="1"/>
  <c r="BT45" i="2"/>
  <c r="BT33" i="2"/>
  <c r="BT12" i="2"/>
  <c r="F17" i="2" s="1"/>
  <c r="BT6" i="2"/>
  <c r="F8" i="2" s="1"/>
  <c r="BT10" i="2"/>
  <c r="F16" i="2" s="1"/>
  <c r="BT46" i="2"/>
  <c r="BT19" i="2"/>
  <c r="BT29" i="2"/>
  <c r="BT53" i="2"/>
  <c r="BT36" i="2"/>
  <c r="F85" i="2" l="1"/>
  <c r="E87" i="2"/>
  <c r="F84" i="2"/>
  <c r="F87" i="2"/>
  <c r="F93" i="2"/>
  <c r="E95" i="2"/>
  <c r="F92" i="2"/>
  <c r="F95" i="2"/>
  <c r="E93" i="2"/>
  <c r="F94" i="2"/>
  <c r="E92" i="2"/>
  <c r="E94" i="2"/>
  <c r="E85" i="2"/>
  <c r="F86" i="2"/>
  <c r="E84" i="2"/>
  <c r="E86" i="2"/>
  <c r="F77" i="2"/>
  <c r="E79" i="2"/>
  <c r="F76" i="2"/>
  <c r="F79" i="2"/>
  <c r="F69" i="2"/>
  <c r="BW40" i="2" s="1"/>
  <c r="E71" i="2"/>
  <c r="F68" i="2"/>
  <c r="F71" i="2"/>
  <c r="E68" i="2"/>
  <c r="E70" i="2"/>
  <c r="E76" i="2"/>
  <c r="E78" i="2"/>
  <c r="E77" i="2"/>
  <c r="F78" i="2"/>
  <c r="F52" i="2"/>
  <c r="F55" i="2"/>
  <c r="F53" i="2"/>
  <c r="BV32" i="2" s="1"/>
  <c r="E55" i="2"/>
  <c r="F61" i="2"/>
  <c r="E63" i="2"/>
  <c r="F60" i="2"/>
  <c r="F63" i="2"/>
  <c r="E52" i="2"/>
  <c r="E54" i="2"/>
  <c r="E53" i="2"/>
  <c r="F54" i="2"/>
  <c r="E61" i="2"/>
  <c r="F62" i="2"/>
  <c r="E60" i="2"/>
  <c r="BV35" i="2" s="1"/>
  <c r="E62" i="2"/>
  <c r="F45" i="2"/>
  <c r="E47" i="2"/>
  <c r="F44" i="2"/>
  <c r="BV26" i="2" s="1"/>
  <c r="F47" i="2"/>
  <c r="F37" i="2"/>
  <c r="E39" i="2"/>
  <c r="F36" i="2"/>
  <c r="F39" i="2"/>
  <c r="BV25" i="2" s="1"/>
  <c r="E36" i="2"/>
  <c r="E38" i="2"/>
  <c r="E37" i="2"/>
  <c r="BW25" i="2" s="1"/>
  <c r="F38" i="2"/>
  <c r="E45" i="2"/>
  <c r="F46" i="2"/>
  <c r="BU26" i="2" s="1"/>
  <c r="E44" i="2"/>
  <c r="BV27" i="2" s="1"/>
  <c r="E46" i="2"/>
  <c r="F28" i="2"/>
  <c r="F31" i="2"/>
  <c r="F29" i="2"/>
  <c r="E31" i="2"/>
  <c r="E21" i="2"/>
  <c r="F23" i="2"/>
  <c r="E20" i="2"/>
  <c r="BV15" i="2" s="1"/>
  <c r="E23" i="2"/>
  <c r="F20" i="2"/>
  <c r="F22" i="2"/>
  <c r="F21" i="2"/>
  <c r="E22" i="2"/>
  <c r="E29" i="2"/>
  <c r="F30" i="2"/>
  <c r="E28" i="2"/>
  <c r="E30" i="2"/>
  <c r="BW20" i="2" s="1"/>
  <c r="E13" i="2"/>
  <c r="F15" i="2"/>
  <c r="E12" i="2"/>
  <c r="BV11" i="2" s="1"/>
  <c r="E15" i="2"/>
  <c r="F13" i="2"/>
  <c r="E14" i="2"/>
  <c r="F12" i="2"/>
  <c r="BV10" i="2" s="1"/>
  <c r="F14" i="2"/>
  <c r="BV40" i="2"/>
  <c r="E69" i="2"/>
  <c r="BU41" i="2" s="1"/>
  <c r="E5" i="2"/>
  <c r="F7" i="2"/>
  <c r="E4" i="2"/>
  <c r="E7" i="2"/>
  <c r="F5" i="2"/>
  <c r="BU8" i="2" s="1"/>
  <c r="E6" i="2"/>
  <c r="F4" i="2"/>
  <c r="BU6" i="2" s="1"/>
  <c r="F6" i="2"/>
  <c r="BV9" i="2" s="1"/>
  <c r="BU40" i="2"/>
  <c r="BV17" i="2"/>
  <c r="BW17" i="2"/>
  <c r="BU17" i="2"/>
  <c r="BV28" i="2"/>
  <c r="BW28" i="2"/>
  <c r="BU28" i="2"/>
  <c r="BW27" i="2"/>
  <c r="BU27" i="2"/>
  <c r="BW6" i="2"/>
  <c r="BV6" i="2"/>
  <c r="BV12" i="2"/>
  <c r="BW12" i="2"/>
  <c r="BU12" i="2"/>
  <c r="BV53" i="2"/>
  <c r="BU53" i="2"/>
  <c r="BW53" i="2"/>
  <c r="BV24" i="2"/>
  <c r="BW24" i="2"/>
  <c r="BU24" i="2"/>
  <c r="BW26" i="2"/>
  <c r="BU25" i="2"/>
  <c r="BV20" i="2"/>
  <c r="BU20" i="2"/>
  <c r="BW8" i="2"/>
  <c r="BV8" i="2"/>
  <c r="BW46" i="2"/>
  <c r="BV46" i="2"/>
  <c r="BU46" i="2"/>
  <c r="BV31" i="2"/>
  <c r="BW31" i="2"/>
  <c r="BU31" i="2"/>
  <c r="BW14" i="2"/>
  <c r="BV14" i="2"/>
  <c r="BU14" i="2"/>
  <c r="BW23" i="2"/>
  <c r="BV23" i="2"/>
  <c r="BU23" i="2"/>
  <c r="BU45" i="2"/>
  <c r="BV45" i="2"/>
  <c r="BW45" i="2"/>
  <c r="BU35" i="2"/>
  <c r="BW35" i="2"/>
  <c r="BU11" i="2"/>
  <c r="BW11" i="2"/>
  <c r="BV41" i="2"/>
  <c r="BW41" i="2"/>
  <c r="BW18" i="2"/>
  <c r="BV18" i="2"/>
  <c r="BU18" i="2"/>
  <c r="BW29" i="2"/>
  <c r="BV29" i="2"/>
  <c r="BU29" i="2"/>
  <c r="BU51" i="2"/>
  <c r="BW51" i="2"/>
  <c r="BV51" i="2"/>
  <c r="BU48" i="2"/>
  <c r="BW48" i="2"/>
  <c r="BV48" i="2"/>
  <c r="BW37" i="2"/>
  <c r="BV37" i="2"/>
  <c r="BU37" i="2"/>
  <c r="BU32" i="2"/>
  <c r="BW32" i="2"/>
  <c r="BW16" i="2"/>
  <c r="BV16" i="2"/>
  <c r="BU16" i="2"/>
  <c r="BU42" i="2"/>
  <c r="BW42" i="2"/>
  <c r="BV42" i="2"/>
  <c r="BW47" i="2"/>
  <c r="BV47" i="2"/>
  <c r="BU47" i="2"/>
  <c r="BU10" i="2"/>
  <c r="BW10" i="2"/>
  <c r="BU34" i="2"/>
  <c r="BW34" i="2"/>
  <c r="BV34" i="2"/>
  <c r="BU52" i="2"/>
  <c r="BV52" i="2"/>
  <c r="BW52" i="2"/>
  <c r="BW19" i="2"/>
  <c r="BV19" i="2"/>
  <c r="BU19" i="2"/>
  <c r="BV21" i="2"/>
  <c r="BU21" i="2"/>
  <c r="BW21" i="2"/>
  <c r="BW9" i="2"/>
  <c r="BU9" i="2"/>
  <c r="BV22" i="2"/>
  <c r="BU22" i="2"/>
  <c r="BW22" i="2"/>
  <c r="BW33" i="2"/>
  <c r="BV33" i="2"/>
  <c r="BU33" i="2"/>
  <c r="BW44" i="2"/>
  <c r="BV44" i="2"/>
  <c r="BU44" i="2"/>
  <c r="BU15" i="2"/>
  <c r="BW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H78" i="2" s="1"/>
  <c r="BZ45" i="2"/>
  <c r="H79" i="2" s="1"/>
  <c r="BZ24" i="2"/>
  <c r="I38" i="2" s="1"/>
  <c r="BZ36" i="2"/>
  <c r="I62" i="2" s="1"/>
  <c r="BZ39" i="2"/>
  <c r="I71" i="2" s="1"/>
  <c r="BZ31" i="2"/>
  <c r="I55" i="2" s="1"/>
  <c r="BZ22" i="2"/>
  <c r="H38" i="2" s="1"/>
  <c r="BZ23" i="2"/>
  <c r="I39" i="2" s="1"/>
  <c r="BZ33" i="2"/>
  <c r="H55" i="2" s="1"/>
  <c r="BZ21" i="2"/>
  <c r="H31" i="2" s="1"/>
  <c r="BZ27" i="2"/>
  <c r="I47" i="2" s="1"/>
  <c r="BZ12" i="2"/>
  <c r="I17" i="2" s="1"/>
  <c r="BZ53" i="2"/>
  <c r="H95" i="2" s="1"/>
  <c r="BZ25" i="2"/>
  <c r="H39" i="2" s="1"/>
  <c r="BZ51" i="2"/>
  <c r="I95" i="2" s="1"/>
  <c r="BZ16" i="2"/>
  <c r="BZ50" i="2"/>
  <c r="H94" i="2" s="1"/>
  <c r="BZ34" i="2"/>
  <c r="H62" i="2" s="1"/>
  <c r="BZ41" i="2"/>
  <c r="H71" i="2" s="1"/>
  <c r="BZ30" i="2"/>
  <c r="H54" i="2" s="1"/>
  <c r="BZ9" i="2"/>
  <c r="H8" i="2" s="1"/>
  <c r="BZ32" i="2"/>
  <c r="I54" i="2" s="1"/>
  <c r="BZ17" i="2"/>
  <c r="BZ47" i="2"/>
  <c r="I87" i="2" s="1"/>
  <c r="BZ6" i="2"/>
  <c r="BZ38" i="2"/>
  <c r="H70" i="2" s="1"/>
  <c r="BZ46" i="2"/>
  <c r="H86" i="2" s="1"/>
  <c r="BZ15" i="2"/>
  <c r="BZ44" i="2"/>
  <c r="I78" i="2" s="1"/>
  <c r="BZ48" i="2"/>
  <c r="I86" i="2" s="1"/>
  <c r="BZ26" i="2"/>
  <c r="H46" i="2" s="1"/>
  <c r="BZ19" i="2"/>
  <c r="I31" i="2" s="1"/>
  <c r="BZ20" i="2"/>
  <c r="I30" i="2" s="1"/>
  <c r="BZ29" i="2"/>
  <c r="H47" i="2" s="1"/>
  <c r="BZ10" i="2"/>
  <c r="BZ8" i="2"/>
  <c r="BZ28" i="2"/>
  <c r="I46" i="2" s="1"/>
  <c r="BZ37" i="2"/>
  <c r="H63" i="2" s="1"/>
  <c r="BZ52" i="2"/>
  <c r="I94" i="2" s="1"/>
  <c r="BZ13" i="2"/>
  <c r="BZ35" i="2"/>
  <c r="I63" i="2" s="1"/>
  <c r="BZ18" i="2"/>
  <c r="H30" i="2" s="1"/>
  <c r="BZ43" i="2"/>
  <c r="I79" i="2" s="1"/>
  <c r="BZ11" i="2"/>
  <c r="BZ14" i="2"/>
  <c r="BZ7" i="2"/>
  <c r="H9" i="2" s="1"/>
  <c r="I22" i="2" l="1"/>
  <c r="H25" i="2"/>
  <c r="I23" i="2"/>
  <c r="I25" i="2"/>
  <c r="H23" i="2"/>
  <c r="I24" i="2"/>
  <c r="H22" i="2"/>
  <c r="H24" i="2"/>
  <c r="I14" i="2"/>
  <c r="H17" i="2"/>
  <c r="H14" i="2"/>
  <c r="H16" i="2"/>
  <c r="H15" i="2"/>
  <c r="I16" i="2"/>
  <c r="I85" i="2"/>
  <c r="H87" i="2"/>
  <c r="H69" i="2"/>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B48" i="2"/>
  <c r="CC48" i="2" s="1"/>
  <c r="H4" i="2"/>
  <c r="CA41" i="2"/>
  <c r="CC49" i="2"/>
  <c r="CB38" i="2" l="1"/>
  <c r="CA38" i="2"/>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38" i="2" l="1"/>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K47" i="2" s="1"/>
  <c r="CE23" i="2"/>
  <c r="L39" i="2" s="1"/>
  <c r="CE30" i="2"/>
  <c r="K54" i="2" s="1"/>
  <c r="CE51" i="2"/>
  <c r="L95" i="2" s="1"/>
  <c r="CE53" i="2"/>
  <c r="K95" i="2" s="1"/>
  <c r="CE44" i="2"/>
  <c r="L78" i="2" s="1"/>
  <c r="CE52" i="2"/>
  <c r="L94" i="2" s="1"/>
  <c r="CE24" i="2"/>
  <c r="L38" i="2" s="1"/>
  <c r="CE50" i="2"/>
  <c r="K94" i="2" s="1"/>
  <c r="CE27" i="2"/>
  <c r="L47" i="2" s="1"/>
  <c r="CE39" i="2"/>
  <c r="L71" i="2" s="1"/>
  <c r="CE36" i="2"/>
  <c r="L62" i="2" s="1"/>
  <c r="CE42" i="2"/>
  <c r="K78" i="2" s="1"/>
  <c r="CE7" i="2"/>
  <c r="CE25" i="2"/>
  <c r="K39" i="2" s="1"/>
  <c r="CE20" i="2"/>
  <c r="L30" i="2" s="1"/>
  <c r="CE47" i="2"/>
  <c r="L87" i="2" s="1"/>
  <c r="CE34" i="2"/>
  <c r="K62" i="2" s="1"/>
  <c r="CE6" i="2"/>
  <c r="L8" i="2" s="1"/>
  <c r="CE33" i="2"/>
  <c r="K55" i="2" s="1"/>
  <c r="CE11" i="2"/>
  <c r="CE15" i="2"/>
  <c r="CE32" i="2"/>
  <c r="L54" i="2" s="1"/>
  <c r="CE8" i="2"/>
  <c r="L9" i="2" s="1"/>
  <c r="CE31" i="2"/>
  <c r="L55" i="2" s="1"/>
  <c r="CE45" i="2"/>
  <c r="K79" i="2" s="1"/>
  <c r="CE12" i="2"/>
  <c r="CE22" i="2"/>
  <c r="K38" i="2" s="1"/>
  <c r="CE37" i="2"/>
  <c r="K63" i="2" s="1"/>
  <c r="CE9" i="2"/>
  <c r="CE49" i="2"/>
  <c r="K87" i="2" s="1"/>
  <c r="CE28" i="2"/>
  <c r="L46" i="2" s="1"/>
  <c r="CE21" i="2"/>
  <c r="K31" i="2" s="1"/>
  <c r="CE48" i="2"/>
  <c r="L86" i="2" s="1"/>
  <c r="CE10" i="2"/>
  <c r="CE13" i="2"/>
  <c r="CE40" i="2"/>
  <c r="L70" i="2" s="1"/>
  <c r="CE38" i="2"/>
  <c r="K70" i="2" s="1"/>
  <c r="CE35" i="2"/>
  <c r="L63" i="2" s="1"/>
  <c r="CE16" i="2"/>
  <c r="CE26" i="2"/>
  <c r="K46" i="2" s="1"/>
  <c r="CE19" i="2"/>
  <c r="L31" i="2" s="1"/>
  <c r="CE18" i="2"/>
  <c r="K30" i="2" s="1"/>
  <c r="CE41" i="2"/>
  <c r="K71" i="2" s="1"/>
  <c r="CE43" i="2"/>
  <c r="L79" i="2" s="1"/>
  <c r="CE14" i="2"/>
  <c r="CE46" i="2"/>
  <c r="K86" i="2" s="1"/>
  <c r="L22" i="2" l="1"/>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N71" i="2" s="1"/>
  <c r="CH7" i="2"/>
  <c r="O4" i="2" s="1"/>
  <c r="CH28" i="2"/>
  <c r="CJ28" i="2" s="1"/>
  <c r="CH6" i="2"/>
  <c r="N4" i="2" s="1"/>
  <c r="CH34" i="2"/>
  <c r="N62" i="2" s="1"/>
  <c r="CH16" i="2"/>
  <c r="O25" i="2" s="1"/>
  <c r="CH44" i="2"/>
  <c r="O78" i="2" s="1"/>
  <c r="CH25" i="2"/>
  <c r="N39" i="2" s="1"/>
  <c r="CH8" i="2"/>
  <c r="O9" i="2" s="1"/>
  <c r="CH45" i="2"/>
  <c r="N79" i="2" s="1"/>
  <c r="CH18" i="2"/>
  <c r="CH23" i="2"/>
  <c r="CH47" i="2"/>
  <c r="O87" i="2" s="1"/>
  <c r="CH32" i="2"/>
  <c r="O54" i="2" s="1"/>
  <c r="CH43" i="2"/>
  <c r="O79" i="2" s="1"/>
  <c r="CH49" i="2"/>
  <c r="N87" i="2" s="1"/>
  <c r="CH14" i="2"/>
  <c r="CH38" i="2"/>
  <c r="CH36" i="2"/>
  <c r="O62" i="2" s="1"/>
  <c r="CH46" i="2"/>
  <c r="N86" i="2" s="1"/>
  <c r="CH48" i="2"/>
  <c r="O86" i="2" s="1"/>
  <c r="CH24" i="2"/>
  <c r="O38" i="2" s="1"/>
  <c r="CH31" i="2"/>
  <c r="O55" i="2" s="1"/>
  <c r="CH12" i="2"/>
  <c r="CH37" i="2"/>
  <c r="N63" i="2" s="1"/>
  <c r="CH35" i="2"/>
  <c r="O63" i="2" s="1"/>
  <c r="CH53" i="2"/>
  <c r="N95" i="2" s="1"/>
  <c r="CH17" i="2"/>
  <c r="CH19" i="2"/>
  <c r="O31" i="2" s="1"/>
  <c r="CH52" i="2"/>
  <c r="CH51" i="2"/>
  <c r="O95" i="2" s="1"/>
  <c r="CH9" i="2"/>
  <c r="O5" i="2" s="1"/>
  <c r="CH30" i="2"/>
  <c r="N54" i="2" s="1"/>
  <c r="CH13" i="2"/>
  <c r="CH42" i="2"/>
  <c r="N78" i="2" s="1"/>
  <c r="CH27" i="2"/>
  <c r="O47" i="2" s="1"/>
  <c r="CH40" i="2"/>
  <c r="N9" i="2"/>
  <c r="CH26" i="2"/>
  <c r="CH11" i="2"/>
  <c r="N17" i="2" s="1"/>
  <c r="CH33" i="2"/>
  <c r="CH22" i="2"/>
  <c r="CH21" i="2"/>
  <c r="CH15" i="2"/>
  <c r="CH10" i="2"/>
  <c r="O16" i="2" s="1"/>
  <c r="CH39" i="2"/>
  <c r="CH29" i="2"/>
  <c r="CH20" i="2"/>
  <c r="O30" i="2" s="1"/>
  <c r="CH50" i="2"/>
  <c r="O8" i="2"/>
  <c r="O22" i="2" l="1"/>
  <c r="N25" i="2"/>
  <c r="N23" i="2"/>
  <c r="O24" i="2"/>
  <c r="N22" i="2"/>
  <c r="N24" i="2"/>
  <c r="O15" i="2"/>
  <c r="O17" i="2"/>
  <c r="N14" i="2"/>
  <c r="N16" i="2"/>
  <c r="N93" i="2"/>
  <c r="O94" i="2"/>
  <c r="N92" i="2"/>
  <c r="N94" i="2"/>
  <c r="CK41" i="2"/>
  <c r="O68" i="2"/>
  <c r="O71" i="2"/>
  <c r="N68" i="2"/>
  <c r="N70" i="2"/>
  <c r="N69" i="2"/>
  <c r="O70" i="2"/>
  <c r="O53" i="2"/>
  <c r="N55" i="2"/>
  <c r="O45" i="2"/>
  <c r="N47" i="2"/>
  <c r="O36" i="2"/>
  <c r="O39" i="2"/>
  <c r="CJ25" i="2" s="1"/>
  <c r="N36" i="2"/>
  <c r="N38" i="2"/>
  <c r="N44" i="2"/>
  <c r="N46" i="2"/>
  <c r="N45" i="2"/>
  <c r="O46" i="2"/>
  <c r="N7" i="2"/>
  <c r="O29" i="2"/>
  <c r="N31" i="2"/>
  <c r="CI16" i="2"/>
  <c r="O23" i="2"/>
  <c r="CK18" i="2"/>
  <c r="N30" i="2"/>
  <c r="O7" i="2"/>
  <c r="N12" i="2"/>
  <c r="N15" i="2"/>
  <c r="O12" i="2"/>
  <c r="O14" i="2"/>
  <c r="CK28" i="2"/>
  <c r="O6" i="2"/>
  <c r="CJ48" i="2"/>
  <c r="N85" i="2"/>
  <c r="CI49" i="2"/>
  <c r="O85" i="2"/>
  <c r="CI28" i="2"/>
  <c r="CJ53" i="2"/>
  <c r="O93" i="2"/>
  <c r="CI52" i="2" s="1"/>
  <c r="CK51" i="2"/>
  <c r="O92" i="2"/>
  <c r="CK46" i="2"/>
  <c r="N84" i="2"/>
  <c r="CI47" i="2"/>
  <c r="O84" i="2"/>
  <c r="CJ45" i="2"/>
  <c r="O77" i="2"/>
  <c r="CI44" i="2" s="1"/>
  <c r="N77" i="2"/>
  <c r="CJ43" i="2"/>
  <c r="O76" i="2"/>
  <c r="CI42" i="2" s="1"/>
  <c r="N76" i="2"/>
  <c r="CK43" i="2" s="1"/>
  <c r="N5" i="2"/>
  <c r="CJ41" i="2"/>
  <c r="O69" i="2"/>
  <c r="CK40" i="2" s="1"/>
  <c r="CI32" i="2"/>
  <c r="N53" i="2"/>
  <c r="CI36" i="2"/>
  <c r="N61" i="2"/>
  <c r="CJ37" i="2" s="1"/>
  <c r="CK37" i="2"/>
  <c r="O61" i="2"/>
  <c r="O52" i="2"/>
  <c r="CJ30" i="2" s="1"/>
  <c r="N52" i="2"/>
  <c r="CJ31" i="2" s="1"/>
  <c r="O60" i="2"/>
  <c r="CJ34" i="2" s="1"/>
  <c r="N60" i="2"/>
  <c r="CJ35" i="2" s="1"/>
  <c r="CJ24" i="2"/>
  <c r="N37" i="2"/>
  <c r="CK25" i="2" s="1"/>
  <c r="O37" i="2"/>
  <c r="CI24" i="2" s="1"/>
  <c r="CI27" i="2"/>
  <c r="O44" i="2"/>
  <c r="CJ26" i="2" s="1"/>
  <c r="CI45" i="2"/>
  <c r="CK20" i="2"/>
  <c r="N29" i="2"/>
  <c r="CK45" i="2"/>
  <c r="CI8" i="2"/>
  <c r="CK17" i="2"/>
  <c r="O21" i="2"/>
  <c r="CJ16" i="2"/>
  <c r="N21" i="2"/>
  <c r="CI15" i="2"/>
  <c r="O20" i="2"/>
  <c r="CJ14" i="2" s="1"/>
  <c r="CI14" i="2"/>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I41" i="2" l="1"/>
  <c r="CL41" i="2" s="1"/>
  <c r="CL43"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Q78" i="2" s="1"/>
  <c r="CN37" i="2"/>
  <c r="CN32" i="2"/>
  <c r="CN45" i="2"/>
  <c r="CN53" i="2"/>
  <c r="CN18" i="2"/>
  <c r="CN33" i="2"/>
  <c r="CN30" i="2"/>
  <c r="CN28" i="2"/>
  <c r="CN36" i="2"/>
  <c r="CN24" i="2"/>
  <c r="CN48" i="2"/>
  <c r="CN34" i="2"/>
  <c r="CN13" i="2"/>
  <c r="Q16" i="2" s="1"/>
  <c r="CN51" i="2"/>
  <c r="CN43" i="2"/>
  <c r="CN15" i="2"/>
  <c r="Q25" i="2" s="1"/>
  <c r="CN14" i="2"/>
  <c r="R24" i="2" s="1"/>
  <c r="CN40" i="2"/>
  <c r="CN26" i="2"/>
  <c r="CN31" i="2"/>
  <c r="CN38" i="2"/>
  <c r="CN21" i="2"/>
  <c r="CN23" i="2"/>
  <c r="CN17" i="2"/>
  <c r="Q24" i="2" s="1"/>
  <c r="CN20" i="2"/>
  <c r="CN35" i="2"/>
  <c r="CN44" i="2"/>
  <c r="CN25" i="2"/>
  <c r="CN39" i="2"/>
  <c r="CN52" i="2"/>
  <c r="CN47" i="2"/>
  <c r="CN50" i="2"/>
  <c r="CN16" i="2"/>
  <c r="R25" i="2" s="1"/>
  <c r="CN12" i="2"/>
  <c r="R17" i="2" s="1"/>
  <c r="CN22" i="2"/>
  <c r="CN19" i="2"/>
  <c r="CN49" i="2"/>
  <c r="CN41" i="2"/>
  <c r="CN8" i="2"/>
  <c r="CN9" i="2"/>
  <c r="CN10" i="2"/>
  <c r="R16" i="2" s="1"/>
  <c r="CN6" i="2"/>
  <c r="Q4" i="2" s="1"/>
  <c r="CN7" i="2"/>
  <c r="R4" i="2" s="1"/>
  <c r="CN46" i="2"/>
  <c r="CN11" i="2"/>
  <c r="Q17" i="2" s="1"/>
  <c r="R84" i="2" l="1"/>
  <c r="R87" i="2"/>
  <c r="R85" i="2"/>
  <c r="Q87" i="2"/>
  <c r="R93" i="2"/>
  <c r="Q95" i="2"/>
  <c r="R92" i="2"/>
  <c r="R95" i="2"/>
  <c r="Q92" i="2"/>
  <c r="Q94" i="2"/>
  <c r="Q93" i="2"/>
  <c r="R94" i="2"/>
  <c r="Q84" i="2"/>
  <c r="Q86" i="2"/>
  <c r="Q85" i="2"/>
  <c r="R86" i="2"/>
  <c r="R77" i="2"/>
  <c r="CO44" i="2" s="1"/>
  <c r="Q79" i="2"/>
  <c r="R76" i="2"/>
  <c r="R79" i="2"/>
  <c r="R68" i="2"/>
  <c r="R71" i="2"/>
  <c r="R69" i="2"/>
  <c r="CO40" i="2" s="1"/>
  <c r="Q71" i="2"/>
  <c r="Q68" i="2"/>
  <c r="Q70" i="2"/>
  <c r="Q69" i="2"/>
  <c r="R70" i="2"/>
  <c r="Q77" i="2"/>
  <c r="R78" i="2"/>
  <c r="R52" i="2"/>
  <c r="R55" i="2"/>
  <c r="R53" i="2"/>
  <c r="Q55" i="2"/>
  <c r="R60" i="2"/>
  <c r="R63" i="2"/>
  <c r="R61" i="2"/>
  <c r="Q63" i="2"/>
  <c r="Q53" i="2"/>
  <c r="R54" i="2"/>
  <c r="Q52" i="2"/>
  <c r="Q54" i="2"/>
  <c r="Q61" i="2"/>
  <c r="R62" i="2"/>
  <c r="Q60" i="2"/>
  <c r="Q62" i="2"/>
  <c r="R37" i="2"/>
  <c r="Q39" i="2"/>
  <c r="R36" i="2"/>
  <c r="R39" i="2"/>
  <c r="Q36" i="2"/>
  <c r="Q38" i="2"/>
  <c r="Q37" i="2"/>
  <c r="CP25" i="2" s="1"/>
  <c r="R38" i="2"/>
  <c r="Q45" i="2"/>
  <c r="R46" i="2"/>
  <c r="Q44" i="2"/>
  <c r="CP27" i="2" s="1"/>
  <c r="Q46" i="2"/>
  <c r="R28" i="2"/>
  <c r="R31" i="2"/>
  <c r="R29" i="2"/>
  <c r="Q31" i="2"/>
  <c r="Q21" i="2"/>
  <c r="R23" i="2"/>
  <c r="Q20" i="2"/>
  <c r="CP15" i="2" s="1"/>
  <c r="Q23" i="2"/>
  <c r="R21" i="2"/>
  <c r="Q22" i="2"/>
  <c r="R20" i="2"/>
  <c r="R22" i="2"/>
  <c r="Q28" i="2"/>
  <c r="CP19" i="2" s="1"/>
  <c r="Q30" i="2"/>
  <c r="Q29" i="2"/>
  <c r="R30" i="2"/>
  <c r="Q12" i="2"/>
  <c r="Q15" i="2"/>
  <c r="Q13" i="2"/>
  <c r="CO13" i="2" s="1"/>
  <c r="R15" i="2"/>
  <c r="R12" i="2"/>
  <c r="R14" i="2"/>
  <c r="R13" i="2"/>
  <c r="Q14" i="2"/>
  <c r="CP11" i="2" s="1"/>
  <c r="CP42" i="2"/>
  <c r="Q76" i="2"/>
  <c r="CP29" i="2"/>
  <c r="R45" i="2"/>
  <c r="R44" i="2"/>
  <c r="CP26" i="2" s="1"/>
  <c r="CO42" i="2"/>
  <c r="CO29" i="2"/>
  <c r="CQ29" i="2" s="1"/>
  <c r="CO27" i="2"/>
  <c r="CP38" i="2"/>
  <c r="R8" i="2"/>
  <c r="Q7" i="2"/>
  <c r="CP40" i="2"/>
  <c r="Q8" i="2"/>
  <c r="R5" i="2"/>
  <c r="CO8" i="2" s="1"/>
  <c r="Q6" i="2"/>
  <c r="CP7" i="2" s="1"/>
  <c r="CP39" i="2"/>
  <c r="CO33" i="2"/>
  <c r="CP33" i="2"/>
  <c r="CP16" i="2"/>
  <c r="CO16" i="2"/>
  <c r="CO36" i="2"/>
  <c r="CP36" i="2"/>
  <c r="R6" i="2"/>
  <c r="Q9" i="2"/>
  <c r="CO47" i="2"/>
  <c r="CP47" i="2"/>
  <c r="CO52" i="2"/>
  <c r="CP52" i="2"/>
  <c r="R9" i="2"/>
  <c r="Q5" i="2"/>
  <c r="R7" i="2"/>
  <c r="CP41" i="2"/>
  <c r="CO41" i="2"/>
  <c r="CP44" i="2"/>
  <c r="CO43" i="2"/>
  <c r="CP43" i="2"/>
  <c r="CO18" i="2"/>
  <c r="CP18" i="2"/>
  <c r="CO53" i="2"/>
  <c r="CP53" i="2"/>
  <c r="CP24" i="2"/>
  <c r="CO24" i="2"/>
  <c r="CP31" i="2"/>
  <c r="CO31" i="2"/>
  <c r="CP49" i="2"/>
  <c r="CO49" i="2"/>
  <c r="CO35" i="2"/>
  <c r="CP35" i="2"/>
  <c r="CO19" i="2"/>
  <c r="CP13" i="2"/>
  <c r="CO45" i="2"/>
  <c r="CP45" i="2"/>
  <c r="CP46" i="2"/>
  <c r="CO46" i="2"/>
  <c r="CO50" i="2"/>
  <c r="CP50" i="2"/>
  <c r="CP28" i="2"/>
  <c r="CO28" i="2"/>
  <c r="CP51" i="2"/>
  <c r="CO51" i="2"/>
  <c r="CP20" i="2"/>
  <c r="CO20" i="2"/>
  <c r="CO22" i="2"/>
  <c r="CP22" i="2"/>
  <c r="CP17" i="2"/>
  <c r="CO17" i="2"/>
  <c r="CP34" i="2"/>
  <c r="CO34" i="2"/>
  <c r="CP32" i="2"/>
  <c r="CO32" i="2"/>
  <c r="CP37" i="2"/>
  <c r="CO37" i="2"/>
  <c r="CP12" i="2"/>
  <c r="CO23" i="2"/>
  <c r="CP23" i="2"/>
  <c r="CP48" i="2"/>
  <c r="CO48" i="2"/>
  <c r="CO11" i="2"/>
  <c r="CO21" i="2"/>
  <c r="CP21" i="2"/>
  <c r="CO6" i="2"/>
  <c r="CO12" i="2" l="1"/>
  <c r="CQ12" i="2" s="1"/>
  <c r="CO25" i="2"/>
  <c r="CQ25" i="2" s="1"/>
  <c r="CP14" i="2"/>
  <c r="CP30" i="2"/>
  <c r="CO15" i="2"/>
  <c r="CQ15" i="2" s="1"/>
  <c r="CO39" i="2"/>
  <c r="CQ39" i="2" s="1"/>
  <c r="CO38" i="2"/>
  <c r="CQ38" i="2" s="1"/>
  <c r="CO30" i="2"/>
  <c r="CP10" i="2"/>
  <c r="CO10" i="2"/>
  <c r="CO14" i="2"/>
  <c r="CO7" i="2"/>
  <c r="CQ7" i="2" s="1"/>
  <c r="CO26" i="2"/>
  <c r="CQ26" i="2" s="1"/>
  <c r="CQ42" i="2"/>
  <c r="CQ27" i="2"/>
  <c r="CP8" i="2"/>
  <c r="CQ8" i="2" s="1"/>
  <c r="CP6" i="2"/>
  <c r="CQ6" i="2" s="1"/>
  <c r="CQ16" i="2"/>
  <c r="CQ36" i="2"/>
  <c r="CQ31" i="2"/>
  <c r="CQ37" i="2"/>
  <c r="CQ11" i="2"/>
  <c r="CQ49" i="2"/>
  <c r="CQ53" i="2"/>
  <c r="CQ48" i="2"/>
  <c r="CQ17" i="2"/>
  <c r="CQ52" i="2"/>
  <c r="CQ20" i="2"/>
  <c r="CQ28" i="2"/>
  <c r="CQ18" i="2"/>
  <c r="CO9" i="2"/>
  <c r="CQ35" i="2"/>
  <c r="CQ40" i="2"/>
  <c r="CQ24" i="2"/>
  <c r="CQ47" i="2"/>
  <c r="CQ32" i="2"/>
  <c r="CP9" i="2"/>
  <c r="CQ19" i="2"/>
  <c r="CQ43" i="2"/>
  <c r="CQ50" i="2"/>
  <c r="CQ22" i="2"/>
  <c r="CQ13" i="2"/>
  <c r="CQ21" i="2"/>
  <c r="CQ44" i="2"/>
  <c r="CQ34" i="2"/>
  <c r="CQ51" i="2"/>
  <c r="CQ46" i="2"/>
  <c r="CQ41" i="2"/>
  <c r="CQ23" i="2"/>
  <c r="CQ45" i="2"/>
  <c r="CQ33" i="2"/>
  <c r="CQ14" i="2" l="1"/>
  <c r="CQ30" i="2"/>
  <c r="CQ10" i="2"/>
  <c r="CR46" i="2"/>
  <c r="CR44" i="2"/>
  <c r="CQ9" i="2"/>
  <c r="CR9" i="2" s="1"/>
  <c r="CR21" i="2"/>
  <c r="CR13" i="2"/>
  <c r="CR16" i="2"/>
  <c r="CR22" i="2"/>
  <c r="CR33" i="2"/>
  <c r="CR45" i="2"/>
  <c r="CR17" i="2"/>
  <c r="CR19" i="2"/>
  <c r="CR37" i="2"/>
  <c r="CR42" i="2"/>
  <c r="CR20" i="2"/>
  <c r="CR25" i="2"/>
  <c r="CR32" i="2"/>
  <c r="CR28" i="2"/>
  <c r="CR51" i="2"/>
  <c r="CR34" i="2"/>
  <c r="CR43" i="2"/>
  <c r="CR24" i="2"/>
  <c r="CR50" i="2"/>
  <c r="CR47" i="2"/>
  <c r="CR27" i="2"/>
  <c r="CR35" i="2"/>
  <c r="CR10" i="2"/>
  <c r="CR36" i="2"/>
  <c r="CR48" i="2"/>
  <c r="CR40" i="2" l="1"/>
  <c r="CR39" i="2"/>
  <c r="CR12" i="2"/>
  <c r="CR38" i="2"/>
  <c r="CR23" i="2"/>
  <c r="CR31" i="2"/>
  <c r="CR29" i="2"/>
  <c r="CR7" i="2"/>
  <c r="CR41" i="2"/>
  <c r="CR52" i="2"/>
  <c r="CR26" i="2"/>
  <c r="CR11" i="2"/>
  <c r="CR30" i="2"/>
  <c r="CR49" i="2"/>
  <c r="CR18" i="2"/>
  <c r="CR15" i="2"/>
  <c r="CR14" i="2"/>
  <c r="CR6" i="2"/>
  <c r="CR8" i="2"/>
  <c r="CR53" i="2"/>
  <c r="CS14" i="2" l="1"/>
  <c r="CS15" i="2"/>
  <c r="CS18" i="2"/>
  <c r="T30" i="2" s="1"/>
  <c r="CS49" i="2"/>
  <c r="T87" i="2" s="1"/>
  <c r="CS26" i="2"/>
  <c r="T46" i="2" s="1"/>
  <c r="CS52" i="2"/>
  <c r="U94" i="2" s="1"/>
  <c r="CS53" i="2"/>
  <c r="T95" i="2" s="1"/>
  <c r="CS41" i="2"/>
  <c r="T71" i="2" s="1"/>
  <c r="CS29" i="2"/>
  <c r="T47" i="2" s="1"/>
  <c r="CS8" i="2"/>
  <c r="U7" i="2" s="1"/>
  <c r="CS31" i="2"/>
  <c r="U55" i="2" s="1"/>
  <c r="CS39" i="2"/>
  <c r="U71" i="2" s="1"/>
  <c r="CS28" i="2"/>
  <c r="U46" i="2" s="1"/>
  <c r="CS44" i="2"/>
  <c r="U78" i="2" s="1"/>
  <c r="CS20" i="2"/>
  <c r="U30" i="2" s="1"/>
  <c r="CS21" i="2"/>
  <c r="T31" i="2" s="1"/>
  <c r="CS38" i="2"/>
  <c r="T70" i="2" s="1"/>
  <c r="CS30" i="2"/>
  <c r="T54" i="2" s="1"/>
  <c r="CS32" i="2"/>
  <c r="U54" i="2" s="1"/>
  <c r="CS17" i="2"/>
  <c r="CS7" i="2"/>
  <c r="U4" i="2" s="1"/>
  <c r="CS23" i="2"/>
  <c r="U39" i="2" s="1"/>
  <c r="CS48" i="2"/>
  <c r="U86" i="2" s="1"/>
  <c r="CS12" i="2"/>
  <c r="CS34" i="2"/>
  <c r="T62" i="2" s="1"/>
  <c r="CS16" i="2"/>
  <c r="CS10" i="2"/>
  <c r="CS9" i="2"/>
  <c r="T6" i="2" s="1"/>
  <c r="CS40" i="2"/>
  <c r="U70" i="2" s="1"/>
  <c r="CS6" i="2"/>
  <c r="T7" i="2" s="1"/>
  <c r="CS11" i="2"/>
  <c r="CS27" i="2"/>
  <c r="U47" i="2" s="1"/>
  <c r="CS46" i="2"/>
  <c r="T86" i="2" s="1"/>
  <c r="CS42" i="2"/>
  <c r="T78" i="2" s="1"/>
  <c r="CS25" i="2"/>
  <c r="T39" i="2" s="1"/>
  <c r="CS19" i="2"/>
  <c r="U31" i="2" s="1"/>
  <c r="CS33" i="2"/>
  <c r="T55" i="2" s="1"/>
  <c r="CS13" i="2"/>
  <c r="CS37" i="2"/>
  <c r="T63" i="2" s="1"/>
  <c r="CS36" i="2"/>
  <c r="U62" i="2" s="1"/>
  <c r="CS51" i="2"/>
  <c r="U95" i="2" s="1"/>
  <c r="CS50" i="2"/>
  <c r="T94" i="2" s="1"/>
  <c r="CS45" i="2"/>
  <c r="T79" i="2" s="1"/>
  <c r="CS24" i="2"/>
  <c r="U38" i="2" s="1"/>
  <c r="CS47" i="2"/>
  <c r="U87" i="2" s="1"/>
  <c r="CS43" i="2"/>
  <c r="U79" i="2" s="1"/>
  <c r="CS35" i="2"/>
  <c r="U63" i="2" s="1"/>
  <c r="CS22" i="2"/>
  <c r="T38" i="2" s="1"/>
  <c r="U23" i="2" l="1"/>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15" i="2" l="1"/>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31" i="2"/>
  <c r="DN26" i="2" a="1"/>
  <c r="DN26" i="2" s="1"/>
  <c r="DM26" i="2"/>
  <c r="DN20" i="2" a="1"/>
  <c r="DN20" i="2" s="1"/>
  <c r="DM20" i="2"/>
  <c r="DM28" i="2"/>
  <c r="DN28" i="2" a="1"/>
  <c r="DN28" i="2" s="1"/>
  <c r="DN32" i="2" a="1"/>
  <c r="DN32" i="2" s="1"/>
  <c r="DM32" i="2"/>
  <c r="DM14" i="2"/>
  <c r="DN14" i="2" a="1"/>
  <c r="DN14" i="2" s="1"/>
  <c r="DN43" i="2" a="1"/>
  <c r="DN43" i="2" s="1"/>
  <c r="DM43" i="2"/>
  <c r="DM22" i="2"/>
  <c r="DN22" i="2" a="1"/>
  <c r="DN22" i="2" s="1"/>
  <c r="DN39" i="2" a="1"/>
  <c r="DN39" i="2" s="1"/>
  <c r="DM39" i="2"/>
  <c r="DM21" i="2"/>
  <c r="DN21" i="2" a="1"/>
  <c r="DN21" i="2" s="1"/>
  <c r="DN23" i="2" a="1"/>
  <c r="DN23" i="2" s="1"/>
  <c r="DM23" i="2"/>
  <c r="DN44" i="2" a="1"/>
  <c r="DN44" i="2" s="1"/>
  <c r="DM44" i="2"/>
  <c r="DM51" i="2"/>
  <c r="DN51" i="2" a="1"/>
  <c r="DN51" i="2" s="1"/>
  <c r="DM38" i="2"/>
  <c r="DN38" i="2" a="1"/>
  <c r="DN38" i="2" s="1"/>
  <c r="DN35" i="2" a="1"/>
  <c r="DN35" i="2" s="1"/>
  <c r="DM35" i="2"/>
  <c r="DN36" i="2" a="1"/>
  <c r="DN36" i="2" s="1"/>
  <c r="DM36" i="2"/>
  <c r="DN41" i="2" a="1"/>
  <c r="DN41" i="2" s="1"/>
  <c r="DM41" i="2"/>
  <c r="DM16" i="2"/>
  <c r="DN13" i="2" a="1"/>
  <c r="DN13" i="2" s="1"/>
  <c r="DM13" i="2"/>
  <c r="DM18" i="2"/>
  <c r="DN18" i="2" a="1"/>
  <c r="DN18" i="2" s="1"/>
  <c r="DN47" i="2" a="1"/>
  <c r="DN47" i="2" s="1"/>
  <c r="DM47"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M34" i="2"/>
  <c r="DN34" i="2" a="1"/>
  <c r="DN34" i="2" s="1"/>
  <c r="DM42" i="2"/>
  <c r="DN42" i="2" a="1"/>
  <c r="DN42" i="2" s="1"/>
  <c r="DN17" i="2" a="1"/>
  <c r="DN17" i="2" s="1"/>
  <c r="DM17" i="2"/>
  <c r="DM53" i="2"/>
  <c r="DN53" i="2" a="1"/>
  <c r="DN53" i="2" s="1"/>
  <c r="DM50" i="2"/>
  <c r="DN50" i="2" a="1"/>
  <c r="DN50" i="2" s="1"/>
  <c r="DM52" i="2"/>
  <c r="DN52" i="2" a="1"/>
  <c r="DN52" i="2" s="1"/>
  <c r="DN49" i="2" a="1"/>
  <c r="DN49" i="2" s="1"/>
  <c r="DM49" i="2"/>
  <c r="DN30" i="2" a="1"/>
  <c r="DN30" i="2" s="1"/>
  <c r="DM30" i="2"/>
  <c r="DN46" i="2" a="1"/>
  <c r="DN46" i="2" s="1"/>
  <c r="DM46" i="2"/>
  <c r="DN12" i="2" l="1" a="1"/>
  <c r="DN12" i="2" s="1"/>
  <c r="DN16" i="2" a="1"/>
  <c r="DN16" i="2" s="1"/>
  <c r="DM11" i="2"/>
  <c r="DN11" i="2" a="1"/>
  <c r="DN11" i="2" s="1"/>
  <c r="AU21" i="2"/>
  <c r="AV20" i="2" s="1"/>
  <c r="DM12" i="2"/>
  <c r="AU13" i="2"/>
  <c r="AV12" i="2" s="1"/>
  <c r="DF10" i="2" s="1"/>
  <c r="DM10" i="2"/>
  <c r="DF14" i="2"/>
  <c r="DF26" i="2"/>
  <c r="DF16" i="2"/>
  <c r="DF18"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21" i="2" l="1"/>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M113" i="2" s="1"/>
  <c r="AA113" i="2" s="1"/>
  <c r="BH65" i="2"/>
  <c r="AL25" i="2"/>
  <c r="BD61" i="2"/>
  <c r="AL30" i="2"/>
  <c r="BJ67" i="2"/>
  <c r="BK59" i="2"/>
  <c r="BI64" i="2"/>
  <c r="BI60" i="2"/>
  <c r="AL22" i="2"/>
  <c r="M104" i="2" s="1"/>
  <c r="AA102" i="2" s="1"/>
  <c r="AL46" i="2"/>
  <c r="BG67" i="2"/>
  <c r="BH59" i="2"/>
  <c r="BI67" i="2"/>
  <c r="AL64" i="2"/>
  <c r="BG68" i="2"/>
  <c r="AL95" i="2"/>
  <c r="BG65" i="2"/>
  <c r="BH69" i="2"/>
  <c r="AL23" i="2"/>
  <c r="N103" i="2" s="1"/>
  <c r="AF104" i="2" s="1"/>
  <c r="AL86" i="2"/>
  <c r="BK66" i="2"/>
  <c r="BI59" i="2"/>
  <c r="BJ65" i="2"/>
  <c r="BG64" i="2"/>
  <c r="BI61" i="2"/>
  <c r="BG63" i="2"/>
  <c r="AL16" i="2"/>
  <c r="BD59" i="2"/>
  <c r="AL24" i="2"/>
  <c r="BK63" i="2"/>
  <c r="BH62" i="2"/>
  <c r="AL15" i="2"/>
  <c r="N101" i="2" s="1"/>
  <c r="AF101" i="2" s="1"/>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C165" i="3" l="1"/>
  <c r="B165" i="3"/>
  <c r="C131" i="3"/>
  <c r="AA27" i="4"/>
  <c r="C167" i="3"/>
  <c r="B167" i="3"/>
  <c r="C149" i="3"/>
  <c r="AA13" i="4"/>
  <c r="C142" i="3"/>
  <c r="AA45" i="4"/>
  <c r="B176" i="3"/>
  <c r="C176" i="3"/>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<sst xmlns="http://schemas.openxmlformats.org/spreadsheetml/2006/main" count="6754" uniqueCount="1516">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</sst>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5"/>
  <sheetViews>
    <sheetView showGridLines="0" showRowColHeaders="0" tabSelected="1" zoomScaleNormal="100" workbookViewId="0">
      <selection activeCell="AV23" sqref="AV23"/>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30"/>
      <c r="D3" s="630"/>
      <c r="E3" s="630"/>
      <c r="F3" s="630"/>
      <c r="G3" s="630"/>
      <c r="H3" s="630"/>
      <c r="I3" s="630"/>
      <c r="J3" s="630"/>
      <c r="K3" s="630"/>
      <c r="L3" s="63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30"/>
      <c r="G16" s="630"/>
      <c r="H16" s="630"/>
      <c r="I16" s="63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3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4" zoomScaleNormal="100" workbookViewId="0">
      <selection activeCell="AV23" sqref="AV2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30"/>
      <c r="Y1" s="630"/>
      <c r="Z1" s="630"/>
      <c r="AA1" s="630"/>
      <c r="AB1" s="630"/>
      <c r="AC1" s="630"/>
      <c r="AD1" s="630"/>
      <c r="AE1" s="630"/>
      <c r="AF1" s="63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4"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22"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1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3"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7"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2</v>
      </c>
      <c r="BG38" s="16">
        <f t="shared" ca="1" si="18"/>
        <v>2</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8</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2</v>
      </c>
      <c r="BG39" s="16">
        <f t="shared" ca="1" si="18"/>
        <v>0</v>
      </c>
      <c r="BH39" s="16">
        <f t="shared" ca="1" si="19"/>
        <v>0</v>
      </c>
      <c r="BI39" s="16">
        <f t="shared" ca="1" si="20"/>
        <v>2</v>
      </c>
      <c r="BJ39" s="16">
        <f t="shared" ca="1" si="21"/>
        <v>3</v>
      </c>
      <c r="BK39" s="16">
        <f t="shared" ca="1" si="22"/>
        <v>6</v>
      </c>
      <c r="BL39" s="16">
        <f t="shared" ca="1" si="23"/>
        <v>-3</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8</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2</v>
      </c>
      <c r="BG40" s="16">
        <f t="shared" ca="1" si="18"/>
        <v>0</v>
      </c>
      <c r="BH40" s="16">
        <f t="shared" ca="1" si="19"/>
        <v>0</v>
      </c>
      <c r="BI40" s="16">
        <f t="shared" ca="1" si="20"/>
        <v>2</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8</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2</v>
      </c>
      <c r="BG41" s="16">
        <f t="shared" ca="1" si="18"/>
        <v>2</v>
      </c>
      <c r="BH41" s="16">
        <f t="shared" ca="1" si="19"/>
        <v>0</v>
      </c>
      <c r="BI41" s="16">
        <f t="shared" ca="1" si="20"/>
        <v>0</v>
      </c>
      <c r="BJ41" s="16">
        <f t="shared" ca="1" si="21"/>
        <v>7</v>
      </c>
      <c r="BK41" s="16">
        <f t="shared" ca="1" si="22"/>
        <v>3</v>
      </c>
      <c r="BL41" s="16">
        <f t="shared" ca="1" si="23"/>
        <v>4</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8</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8</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2</v>
      </c>
      <c r="BG43" s="16">
        <f t="shared" ca="1" si="18"/>
        <v>1</v>
      </c>
      <c r="BH43" s="16">
        <f t="shared" ca="1" si="19"/>
        <v>0</v>
      </c>
      <c r="BI43" s="16">
        <f t="shared" ca="1" si="20"/>
        <v>1</v>
      </c>
      <c r="BJ43" s="16">
        <f t="shared" ca="1" si="21"/>
        <v>2</v>
      </c>
      <c r="BK43" s="16">
        <f t="shared" ca="1" si="22"/>
        <v>4</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8</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0"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8</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2</v>
      </c>
      <c r="BG45" s="16">
        <f t="shared" ca="1" si="18"/>
        <v>0</v>
      </c>
      <c r="BH45" s="16">
        <f t="shared" ca="1" si="19"/>
        <v>0</v>
      </c>
      <c r="BI45" s="16">
        <f t="shared" ca="1" si="20"/>
        <v>2</v>
      </c>
      <c r="BJ45" s="16">
        <f t="shared" ca="1" si="21"/>
        <v>2</v>
      </c>
      <c r="BK45" s="16">
        <f t="shared" ca="1" si="22"/>
        <v>5</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8</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4</v>
      </c>
      <c r="BF46" s="16">
        <f t="shared" ca="1" si="17"/>
        <v>2</v>
      </c>
      <c r="BG46" s="16">
        <f t="shared" ca="1" si="18"/>
        <v>1</v>
      </c>
      <c r="BH46" s="16">
        <f t="shared" ca="1" si="19"/>
        <v>1</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8</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2</v>
      </c>
      <c r="BG47" s="16">
        <f t="shared" ca="1" si="18"/>
        <v>0</v>
      </c>
      <c r="BH47" s="16">
        <f t="shared" ca="1" si="19"/>
        <v>1</v>
      </c>
      <c r="BI47" s="16">
        <f t="shared" ca="1" si="20"/>
        <v>1</v>
      </c>
      <c r="BJ47" s="16">
        <f t="shared" ca="1" si="21"/>
        <v>1</v>
      </c>
      <c r="BK47" s="16">
        <f t="shared" ca="1" si="22"/>
        <v>2</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8</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2</v>
      </c>
      <c r="BG48" s="16">
        <f t="shared" ca="1" si="18"/>
        <v>0</v>
      </c>
      <c r="BH48" s="16">
        <f t="shared" ca="1" si="19"/>
        <v>0</v>
      </c>
      <c r="BI48" s="16">
        <f t="shared" ca="1" si="20"/>
        <v>2</v>
      </c>
      <c r="BJ48" s="16">
        <f t="shared" ca="1" si="21"/>
        <v>1</v>
      </c>
      <c r="BK48" s="16">
        <f t="shared" ca="1" si="22"/>
        <v>8</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8</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2</v>
      </c>
      <c r="BG49" s="16">
        <f t="shared" ca="1" si="18"/>
        <v>2</v>
      </c>
      <c r="BH49" s="16">
        <f t="shared" ca="1" si="19"/>
        <v>0</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8</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4</v>
      </c>
      <c r="BF50" s="16">
        <f t="shared" ca="1" si="17"/>
        <v>2</v>
      </c>
      <c r="BG50" s="16">
        <f t="shared" ca="1" si="18"/>
        <v>1</v>
      </c>
      <c r="BH50" s="16">
        <f t="shared" ca="1" si="19"/>
        <v>1</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8</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2</v>
      </c>
      <c r="BG51" s="16">
        <f t="shared" ca="1" si="18"/>
        <v>1</v>
      </c>
      <c r="BH51" s="16">
        <f t="shared" ca="1" si="19"/>
        <v>0</v>
      </c>
      <c r="BI51" s="16">
        <f t="shared" ca="1" si="20"/>
        <v>1</v>
      </c>
      <c r="BJ51" s="16">
        <f t="shared" ca="1" si="21"/>
        <v>3</v>
      </c>
      <c r="BK51" s="16">
        <f t="shared" ca="1" si="22"/>
        <v>4</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8</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5"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2</v>
      </c>
      <c r="BG52" s="16">
        <f t="shared" ca="1" si="18"/>
        <v>1</v>
      </c>
      <c r="BH52" s="16">
        <f t="shared" ca="1" si="19"/>
        <v>1</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1</v>
      </c>
      <c r="BW52" s="16">
        <f t="shared" ca="1" si="30"/>
        <v>0</v>
      </c>
      <c r="BX52" s="16">
        <f t="shared" ca="1" si="31"/>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1</v>
      </c>
      <c r="CK52" s="16">
        <f t="shared" ca="1" si="38"/>
        <v>0</v>
      </c>
      <c r="CL52" s="16">
        <f t="shared" ca="1" si="39"/>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8</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2</v>
      </c>
      <c r="BG53" s="16">
        <f t="shared" ca="1" si="18"/>
        <v>0</v>
      </c>
      <c r="BH53" s="16">
        <f t="shared" ca="1" si="19"/>
        <v>0</v>
      </c>
      <c r="BI53" s="16">
        <f t="shared" ca="1" si="20"/>
        <v>2</v>
      </c>
      <c r="BJ53" s="16">
        <f t="shared" ca="1" si="21"/>
        <v>0</v>
      </c>
      <c r="BK53" s="16">
        <f t="shared" ca="1" si="22"/>
        <v>2</v>
      </c>
      <c r="BL53" s="16">
        <f t="shared" ca="1" si="23"/>
        <v>-2</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8</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9</v>
      </c>
      <c r="BN58" s="16">
        <f t="shared" ref="BN58:BN69" ca="1" si="153">CF58</f>
        <v>9</v>
      </c>
      <c r="BO58" s="16" t="str">
        <f t="shared" ref="BO58:BO69" si="154">"4"&amp;BC58</f>
        <v>4A</v>
      </c>
      <c r="BP58" s="16"/>
      <c r="BQ58" s="16"/>
      <c r="BR58" s="16">
        <f t="shared" ref="BR58:BR69" ca="1" si="155">+BE58</f>
        <v>1</v>
      </c>
      <c r="BS58" s="16">
        <f t="shared" ref="BS58:BS69" ca="1" si="156">COUNTIFS(BR$58:BR$69,"&gt;"&amp;BR58)+1</f>
        <v>9</v>
      </c>
      <c r="BT58" s="16" t="str">
        <f t="shared" ref="BT58:BT69" ca="1" si="157">IF(COUNTIF(BS$58:BS$69,BS58)=1,"-","Pos. "&amp;BS58&amp;" ("&amp;COUNTIF(BS$58:BS$69,BS58)&amp;")")</f>
        <v>Pos. 9 (3)</v>
      </c>
      <c r="BU58" s="16">
        <f t="shared" ref="BU58:BU69" ca="1" si="158">IF(BT58="-","-",BL58)</f>
        <v>-1</v>
      </c>
      <c r="BV58" s="16">
        <f t="shared" ref="BV58:BV69" ca="1" si="159">BS58+COUNTIFS(BT$58:BT$69,BT58,BU$58:BU$69,"&gt;"&amp;BU58)</f>
        <v>9</v>
      </c>
      <c r="BW58" s="16" t="str">
        <f t="shared" ref="BW58:BW69" ca="1" si="160">IF(COUNTIF(BV$58:BV$69,BV58)=1,"-","Pos. "&amp;BV58&amp;" ("&amp;COUNTIF(BV$58:BV$69,BV58)&amp;")")</f>
        <v>Pos. 9 (3)</v>
      </c>
      <c r="BX58" s="16">
        <f t="shared" ref="BX58:BX69" ca="1" si="161">IF(BW58="-","-",BJ58)</f>
        <v>2</v>
      </c>
      <c r="BY58" s="16">
        <f t="shared" ref="BY58:BY69" ca="1" si="162">BV58+COUNTIFS(BW$58:BW$69,BW58,BX$58:BX$69,"&gt;"&amp;BX58)</f>
        <v>9</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9</v>
      </c>
      <c r="CC58" s="16"/>
      <c r="CD58" s="16">
        <f t="shared" ref="CD58:CD69" ca="1" si="166">IF(OR(INDEX($AW$102:$AW$113,MATCH($BD58,$AV$102:$AV$113,0))="",BZ58="-"),CB58,INDEX($AW$102:$AW$113,MATCH($BD58,$AV$102:$AV$113,0))+CB58/1000)</f>
        <v>9</v>
      </c>
      <c r="CE58" s="16" t="str">
        <f t="shared" ref="CE58:CE69" ca="1" si="167">IF(BZ58="-","-",COUNTIF(CD$58:CD$69,"&lt;"&amp;CD58))</f>
        <v>-</v>
      </c>
      <c r="CF58" s="16">
        <f t="shared" ref="CF58:CF69" ca="1" si="168">BY58+COUNTIFS(BZ$58:BZ$69,BZ58,CE$58:CE$69,"&lt;"&amp;CE58)</f>
        <v>9</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Bosnia y Herzegovina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v>
      </c>
      <c r="BU59" s="16" t="str">
        <f t="shared" ca="1" si="158"/>
        <v>-</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8"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6</v>
      </c>
      <c r="BN60" s="16">
        <f t="shared" ca="1" si="153"/>
        <v>6</v>
      </c>
      <c r="BO60" s="16" t="str">
        <f t="shared" si="154"/>
        <v>4C</v>
      </c>
      <c r="BP60" s="16"/>
      <c r="BQ60" s="16"/>
      <c r="BR60" s="16">
        <f t="shared" ca="1" si="155"/>
        <v>3</v>
      </c>
      <c r="BS60" s="16">
        <f t="shared" ca="1" si="156"/>
        <v>2</v>
      </c>
      <c r="BT60" s="16" t="str">
        <f t="shared" ca="1" si="157"/>
        <v>Pos. 2 (5)</v>
      </c>
      <c r="BU60" s="16">
        <f t="shared" ca="1" si="158"/>
        <v>-3</v>
      </c>
      <c r="BV60" s="16">
        <f t="shared" ca="1" si="159"/>
        <v>6</v>
      </c>
      <c r="BW60" s="16" t="str">
        <f t="shared" ca="1" si="160"/>
        <v>-</v>
      </c>
      <c r="BX60" s="16" t="str">
        <f t="shared" ca="1" si="161"/>
        <v>-</v>
      </c>
      <c r="BY60" s="16">
        <f t="shared" ca="1" si="162"/>
        <v>6</v>
      </c>
      <c r="BZ60" s="16" t="str">
        <f t="shared" ca="1" si="163"/>
        <v>-</v>
      </c>
      <c r="CA60" s="16" t="str">
        <f t="shared" ca="1" si="164"/>
        <v>-</v>
      </c>
      <c r="CB60" s="16">
        <f t="shared" ca="1" si="165"/>
        <v>6</v>
      </c>
      <c r="CC60" s="16"/>
      <c r="CD60" s="16">
        <f t="shared" ca="1" si="166"/>
        <v>6</v>
      </c>
      <c r="CE60" s="16" t="str">
        <f t="shared" ca="1" si="167"/>
        <v>-</v>
      </c>
      <c r="CF60" s="16">
        <f t="shared" ca="1" si="168"/>
        <v>6</v>
      </c>
      <c r="DJ60" s="16">
        <f t="shared" ca="1" si="169"/>
        <v>3</v>
      </c>
      <c r="DK60" s="16"/>
      <c r="DL60" s="16">
        <f t="shared" ca="1" si="170"/>
        <v>1</v>
      </c>
      <c r="DM60" s="16" t="str">
        <f t="shared" ca="1" si="171"/>
        <v>3.1</v>
      </c>
      <c r="DN60" s="16">
        <f t="array" aca="1" ref="DN60" ca="1">OFFSET(Horarios!$P$3,DJ60-1,0,DL60,1)</f>
        <v>3</v>
      </c>
      <c r="DO60" s="16"/>
      <c r="DP60" s="16">
        <v>3</v>
      </c>
      <c r="DQ60" s="16" t="str">
        <f t="shared" ca="1" si="172"/>
        <v>Croacia</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5</v>
      </c>
      <c r="BN61" s="16">
        <f t="shared" ca="1" si="153"/>
        <v>5</v>
      </c>
      <c r="BO61" s="16" t="str">
        <f t="shared" si="154"/>
        <v>4D</v>
      </c>
      <c r="BP61" s="16"/>
      <c r="BQ61" s="16"/>
      <c r="BR61" s="16">
        <f t="shared" ca="1" si="155"/>
        <v>3</v>
      </c>
      <c r="BS61" s="16">
        <f t="shared" ca="1" si="156"/>
        <v>2</v>
      </c>
      <c r="BT61" s="16" t="str">
        <f t="shared" ca="1" si="157"/>
        <v>Pos. 2 (5)</v>
      </c>
      <c r="BU61" s="16">
        <f t="shared" ca="1" si="158"/>
        <v>-2</v>
      </c>
      <c r="BV61" s="16">
        <f t="shared" ca="1" si="159"/>
        <v>4</v>
      </c>
      <c r="BW61" s="16" t="str">
        <f t="shared" ca="1" si="160"/>
        <v>Pos. 4 (2)</v>
      </c>
      <c r="BX61" s="16">
        <f t="shared" ca="1" si="161"/>
        <v>2</v>
      </c>
      <c r="BY61" s="16">
        <f t="shared" ca="1" si="162"/>
        <v>4</v>
      </c>
      <c r="BZ61" s="16" t="str">
        <f t="shared" ca="1" si="163"/>
        <v>Pos. 4 (2)</v>
      </c>
      <c r="CA61" s="16">
        <f t="shared" ca="1" si="164"/>
        <v>4</v>
      </c>
      <c r="CB61" s="16">
        <f t="shared" ca="1" si="165"/>
        <v>5</v>
      </c>
      <c r="CC61" s="16"/>
      <c r="CD61" s="16">
        <f t="shared" ca="1" si="166"/>
        <v>5</v>
      </c>
      <c r="CE61" s="16">
        <f t="shared" ca="1" si="167"/>
        <v>4</v>
      </c>
      <c r="CF61" s="16">
        <f t="shared" ca="1" si="168"/>
        <v>5</v>
      </c>
      <c r="DJ61" s="16">
        <f t="shared" ca="1" si="169"/>
        <v>4</v>
      </c>
      <c r="DK61" s="16"/>
      <c r="DL61" s="16">
        <f t="shared" ca="1" si="170"/>
        <v>1</v>
      </c>
      <c r="DM61" s="16" t="str">
        <f t="shared" ca="1" si="171"/>
        <v>4.1</v>
      </c>
      <c r="DN61" s="16">
        <f t="array" aca="1" ref="DN61" ca="1">OFFSET(Horarios!$P$3,DJ61-1,0,DL61,1)</f>
        <v>4</v>
      </c>
      <c r="DO61" s="16"/>
      <c r="DP61" s="16">
        <v>4</v>
      </c>
      <c r="DQ61" s="16" t="str">
        <f t="shared" ca="1" si="172"/>
        <v>Argelia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11</v>
      </c>
      <c r="BN62" s="16">
        <f t="shared" ca="1" si="153"/>
        <v>11</v>
      </c>
      <c r="BO62" s="16" t="str">
        <f t="shared" si="154"/>
        <v>4E</v>
      </c>
      <c r="BP62" s="16"/>
      <c r="BQ62" s="16"/>
      <c r="BR62" s="16">
        <f t="shared" ca="1" si="155"/>
        <v>1</v>
      </c>
      <c r="BS62" s="16">
        <f t="shared" ca="1" si="156"/>
        <v>9</v>
      </c>
      <c r="BT62" s="16" t="str">
        <f t="shared" ca="1" si="157"/>
        <v>Pos. 9 (3)</v>
      </c>
      <c r="BU62" s="16">
        <f t="shared" ca="1" si="158"/>
        <v>-1</v>
      </c>
      <c r="BV62" s="16">
        <f t="shared" ca="1" si="159"/>
        <v>9</v>
      </c>
      <c r="BW62" s="16" t="str">
        <f t="shared" ca="1" si="160"/>
        <v>Pos. 9 (3)</v>
      </c>
      <c r="BX62" s="16">
        <f t="shared" ca="1" si="161"/>
        <v>0</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4</v>
      </c>
      <c r="DK62" s="16"/>
      <c r="DL62" s="16">
        <f t="shared" ca="1" si="170"/>
        <v>1</v>
      </c>
      <c r="DM62" s="16" t="str">
        <f t="shared" ca="1" si="171"/>
        <v>4.1</v>
      </c>
      <c r="DN62" s="16">
        <f t="array" aca="1" ref="DN62" ca="1">OFFSET(Horarios!$P$3,DJ62-1,0,DL62,1)</f>
        <v>4</v>
      </c>
      <c r="DO62" s="16"/>
      <c r="DP62" s="16">
        <v>5</v>
      </c>
      <c r="DQ62" s="16" t="str">
        <f t="shared" ca="1" si="172"/>
        <v>Paraguay</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2</v>
      </c>
      <c r="BN63" s="16">
        <f t="shared" ca="1" si="153"/>
        <v>2</v>
      </c>
      <c r="BO63" s="16" t="str">
        <f t="shared" si="154"/>
        <v>4F</v>
      </c>
      <c r="BP63" s="16"/>
      <c r="BQ63" s="16"/>
      <c r="BR63" s="16">
        <f t="shared" ca="1" si="155"/>
        <v>3</v>
      </c>
      <c r="BS63" s="16">
        <f t="shared" ca="1" si="156"/>
        <v>2</v>
      </c>
      <c r="BT63" s="16" t="str">
        <f t="shared" ca="1" si="157"/>
        <v>Pos. 2 (5)</v>
      </c>
      <c r="BU63" s="16">
        <f t="shared" ca="1" si="158"/>
        <v>0</v>
      </c>
      <c r="BV63" s="16">
        <f t="shared" ca="1" si="159"/>
        <v>2</v>
      </c>
      <c r="BW63" s="16" t="str">
        <f t="shared" ca="1" si="160"/>
        <v>-</v>
      </c>
      <c r="BX63" s="16" t="str">
        <f t="shared" ca="1" si="161"/>
        <v>-</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Escocia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8</v>
      </c>
      <c r="BN64" s="16">
        <f t="shared" ca="1" si="153"/>
        <v>8</v>
      </c>
      <c r="BO64" s="16" t="str">
        <f t="shared" si="154"/>
        <v>4G</v>
      </c>
      <c r="BP64" s="16"/>
      <c r="BQ64" s="16"/>
      <c r="BR64" s="16">
        <f t="shared" ca="1" si="155"/>
        <v>2</v>
      </c>
      <c r="BS64" s="16">
        <f t="shared" ca="1" si="156"/>
        <v>7</v>
      </c>
      <c r="BT64" s="16" t="str">
        <f t="shared" ca="1" si="157"/>
        <v>Pos. 7 (2)</v>
      </c>
      <c r="BU64" s="16">
        <f t="shared" ca="1" si="158"/>
        <v>0</v>
      </c>
      <c r="BV64" s="16">
        <f t="shared" ca="1" si="159"/>
        <v>7</v>
      </c>
      <c r="BW64" s="16" t="str">
        <f t="shared" ca="1" si="160"/>
        <v>Pos. 7 (2)</v>
      </c>
      <c r="BX64" s="16">
        <f t="shared" ca="1" si="161"/>
        <v>1</v>
      </c>
      <c r="BY64" s="16">
        <f t="shared" ca="1" si="162"/>
        <v>8</v>
      </c>
      <c r="BZ64" s="16" t="str">
        <f t="shared" ca="1" si="163"/>
        <v>-</v>
      </c>
      <c r="CA64" s="16" t="str">
        <f t="shared" ca="1" si="164"/>
        <v>-</v>
      </c>
      <c r="CB64" s="16">
        <f t="shared" ca="1" si="165"/>
        <v>8</v>
      </c>
      <c r="CC64" s="16"/>
      <c r="CD64" s="16">
        <f t="shared" ca="1" si="166"/>
        <v>8</v>
      </c>
      <c r="CE64" s="16" t="str">
        <f t="shared" ca="1" si="167"/>
        <v>-</v>
      </c>
      <c r="CF64" s="16">
        <f t="shared" ca="1" si="168"/>
        <v>8</v>
      </c>
      <c r="DJ64" s="16">
        <f t="shared" ca="1" si="169"/>
        <v>7</v>
      </c>
      <c r="DK64" s="16"/>
      <c r="DL64" s="16">
        <f t="shared" ca="1" si="170"/>
        <v>1</v>
      </c>
      <c r="DM64" s="16" t="str">
        <f t="shared" ca="1" si="171"/>
        <v>7.1</v>
      </c>
      <c r="DN64" s="16">
        <f t="array" aca="1" ref="DN64" ca="1">OFFSET(Horarios!$P$3,DJ64-1,0,DL64,1)</f>
        <v>7</v>
      </c>
      <c r="DO64" s="16"/>
      <c r="DP64" s="16">
        <v>7</v>
      </c>
      <c r="DQ64" s="16" t="str">
        <f t="shared" ca="1" si="172"/>
        <v>Cabo Verde</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7</v>
      </c>
      <c r="BN65" s="16">
        <f t="shared" ca="1" si="153"/>
        <v>7</v>
      </c>
      <c r="BO65" s="16" t="str">
        <f t="shared" si="154"/>
        <v>4H</v>
      </c>
      <c r="BP65" s="16"/>
      <c r="BQ65" s="16"/>
      <c r="BR65" s="16">
        <f t="shared" ca="1" si="155"/>
        <v>2</v>
      </c>
      <c r="BS65" s="16">
        <f t="shared" ca="1" si="156"/>
        <v>7</v>
      </c>
      <c r="BT65" s="16" t="str">
        <f t="shared" ca="1" si="157"/>
        <v>Pos. 7 (2)</v>
      </c>
      <c r="BU65" s="16">
        <f t="shared" ca="1" si="158"/>
        <v>0</v>
      </c>
      <c r="BV65" s="16">
        <f t="shared" ca="1" si="159"/>
        <v>7</v>
      </c>
      <c r="BW65" s="16" t="str">
        <f t="shared" ca="1" si="160"/>
        <v>Pos. 7 (2)</v>
      </c>
      <c r="BX65" s="16">
        <f t="shared" ca="1" si="161"/>
        <v>2</v>
      </c>
      <c r="BY65" s="16">
        <f t="shared" ca="1" si="162"/>
        <v>7</v>
      </c>
      <c r="BZ65" s="16" t="str">
        <f t="shared" ca="1" si="163"/>
        <v>-</v>
      </c>
      <c r="CA65" s="16" t="str">
        <f t="shared" ca="1" si="164"/>
        <v>-</v>
      </c>
      <c r="CB65" s="16">
        <f t="shared" ca="1" si="165"/>
        <v>7</v>
      </c>
      <c r="CC65" s="16"/>
      <c r="CD65" s="16">
        <f t="shared" ca="1" si="166"/>
        <v>7</v>
      </c>
      <c r="CE65" s="16" t="str">
        <f t="shared" ca="1" si="167"/>
        <v>-</v>
      </c>
      <c r="CF65" s="16">
        <f t="shared" ca="1" si="168"/>
        <v>7</v>
      </c>
      <c r="DJ65" s="16">
        <f t="shared" ca="1" si="169"/>
        <v>8</v>
      </c>
      <c r="DK65" s="16"/>
      <c r="DL65" s="16">
        <f t="shared" ca="1" si="170"/>
        <v>1</v>
      </c>
      <c r="DM65" s="16" t="str">
        <f t="shared" ca="1" si="171"/>
        <v>8.1</v>
      </c>
      <c r="DN65" s="16">
        <f t="array" aca="1" ref="DN65" ca="1">OFFSET(Horarios!$P$3,DJ65-1,0,DL65,1)</f>
        <v>8</v>
      </c>
      <c r="DO65" s="16"/>
      <c r="DP65" s="16">
        <v>8</v>
      </c>
      <c r="DQ65" s="16" t="str">
        <f t="shared" ca="1" si="172"/>
        <v>Bélgica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2</v>
      </c>
      <c r="BG66" s="16">
        <f t="shared" ca="1" si="174"/>
        <v>0</v>
      </c>
      <c r="BH66" s="16">
        <f t="shared" ca="1" si="175"/>
        <v>0</v>
      </c>
      <c r="BI66" s="16">
        <f t="shared" ca="1" si="176"/>
        <v>2</v>
      </c>
      <c r="BJ66" s="16">
        <f t="shared" ca="1" si="177"/>
        <v>3</v>
      </c>
      <c r="BK66" s="16">
        <f t="shared" ca="1" si="178"/>
        <v>6</v>
      </c>
      <c r="BL66" s="16">
        <f t="shared" ca="1" si="151"/>
        <v>-3</v>
      </c>
      <c r="BM66" s="16">
        <f t="shared" ca="1" si="152"/>
        <v>12</v>
      </c>
      <c r="BN66" s="16">
        <f t="shared" ca="1" si="153"/>
        <v>12</v>
      </c>
      <c r="BO66" s="16" t="str">
        <f t="shared" si="154"/>
        <v>4I</v>
      </c>
      <c r="BP66" s="16"/>
      <c r="BQ66" s="16"/>
      <c r="BR66" s="16">
        <f t="shared" ca="1" si="155"/>
        <v>0</v>
      </c>
      <c r="BS66" s="16">
        <f t="shared" ca="1" si="156"/>
        <v>12</v>
      </c>
      <c r="BT66" s="16" t="str">
        <f t="shared" ca="1" si="157"/>
        <v>-</v>
      </c>
      <c r="BU66" s="16" t="str">
        <f t="shared" ca="1" si="158"/>
        <v>-</v>
      </c>
      <c r="BV66" s="16">
        <f t="shared" ca="1" si="159"/>
        <v>12</v>
      </c>
      <c r="BW66" s="16" t="str">
        <f t="shared" ca="1" si="160"/>
        <v>-</v>
      </c>
      <c r="BX66" s="16" t="str">
        <f t="shared" ca="1" si="161"/>
        <v>-</v>
      </c>
      <c r="BY66" s="16">
        <f t="shared" ca="1" si="162"/>
        <v>12</v>
      </c>
      <c r="BZ66" s="16" t="str">
        <f t="shared" ca="1" si="163"/>
        <v>-</v>
      </c>
      <c r="CA66" s="16" t="str">
        <f t="shared" ca="1" si="164"/>
        <v>-</v>
      </c>
      <c r="CB66" s="16">
        <f t="shared" ca="1" si="165"/>
        <v>12</v>
      </c>
      <c r="CC66" s="16"/>
      <c r="CD66" s="16">
        <f t="shared" ca="1" si="166"/>
        <v>12</v>
      </c>
      <c r="CE66" s="16" t="str">
        <f t="shared" ca="1" si="167"/>
        <v>-</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República Checa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2</v>
      </c>
      <c r="BG67" s="16">
        <f t="shared" ca="1" si="174"/>
        <v>1</v>
      </c>
      <c r="BH67" s="16">
        <f t="shared" ca="1" si="175"/>
        <v>0</v>
      </c>
      <c r="BI67" s="16">
        <f t="shared" ca="1" si="176"/>
        <v>1</v>
      </c>
      <c r="BJ67" s="16">
        <f t="shared" ca="1" si="177"/>
        <v>2</v>
      </c>
      <c r="BK67" s="16">
        <f t="shared" ca="1" si="178"/>
        <v>4</v>
      </c>
      <c r="BL67" s="16">
        <f t="shared" ca="1" si="151"/>
        <v>-2</v>
      </c>
      <c r="BM67" s="16">
        <f t="shared" ca="1" si="152"/>
        <v>4</v>
      </c>
      <c r="BN67" s="16">
        <f t="shared" ca="1" si="153"/>
        <v>4</v>
      </c>
      <c r="BO67" s="16" t="str">
        <f t="shared" si="154"/>
        <v>4J</v>
      </c>
      <c r="BP67" s="16"/>
      <c r="BQ67" s="16"/>
      <c r="BR67" s="16">
        <f t="shared" ca="1" si="155"/>
        <v>3</v>
      </c>
      <c r="BS67" s="16">
        <f t="shared" ca="1" si="156"/>
        <v>2</v>
      </c>
      <c r="BT67" s="16" t="str">
        <f t="shared" ca="1" si="157"/>
        <v>Pos. 2 (5)</v>
      </c>
      <c r="BU67" s="16">
        <f t="shared" ca="1" si="158"/>
        <v>-2</v>
      </c>
      <c r="BV67" s="16">
        <f t="shared" ca="1" si="159"/>
        <v>4</v>
      </c>
      <c r="BW67" s="16" t="str">
        <f t="shared" ca="1" si="160"/>
        <v>Pos. 4 (2)</v>
      </c>
      <c r="BX67" s="16">
        <f t="shared" ca="1" si="161"/>
        <v>2</v>
      </c>
      <c r="BY67" s="16">
        <f t="shared" ca="1" si="162"/>
        <v>4</v>
      </c>
      <c r="BZ67" s="16" t="str">
        <f t="shared" ca="1" si="163"/>
        <v>Pos. 4 (2)</v>
      </c>
      <c r="CA67" s="16">
        <f t="shared" ca="1" si="164"/>
        <v>11</v>
      </c>
      <c r="CB67" s="16">
        <f t="shared" ca="1" si="165"/>
        <v>4</v>
      </c>
      <c r="CC67" s="16"/>
      <c r="CD67" s="16">
        <f t="shared" ca="1" si="166"/>
        <v>4</v>
      </c>
      <c r="CE67" s="16">
        <f t="shared" ca="1" si="167"/>
        <v>3</v>
      </c>
      <c r="CF67" s="16">
        <f t="shared" ca="1" si="168"/>
        <v>4</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RD Congo</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41"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2</v>
      </c>
      <c r="BG68" s="16">
        <f t="shared" ca="1" si="174"/>
        <v>0</v>
      </c>
      <c r="BH68" s="16">
        <f t="shared" ca="1" si="175"/>
        <v>1</v>
      </c>
      <c r="BI68" s="16">
        <f t="shared" ca="1" si="176"/>
        <v>1</v>
      </c>
      <c r="BJ68" s="16">
        <f t="shared" ca="1" si="177"/>
        <v>1</v>
      </c>
      <c r="BK68" s="16">
        <f t="shared" ca="1" si="178"/>
        <v>2</v>
      </c>
      <c r="BL68" s="16">
        <f t="shared" ca="1" si="151"/>
        <v>-1</v>
      </c>
      <c r="BM68" s="16">
        <f t="shared" ca="1" si="152"/>
        <v>10</v>
      </c>
      <c r="BN68" s="16">
        <f t="shared" ca="1" si="153"/>
        <v>10</v>
      </c>
      <c r="BO68" s="16" t="str">
        <f t="shared" si="154"/>
        <v>4K</v>
      </c>
      <c r="BP68" s="16"/>
      <c r="BQ68" s="16"/>
      <c r="BR68" s="16">
        <f t="shared" ca="1" si="155"/>
        <v>1</v>
      </c>
      <c r="BS68" s="16">
        <f t="shared" ca="1" si="156"/>
        <v>9</v>
      </c>
      <c r="BT68" s="16" t="str">
        <f t="shared" ca="1" si="157"/>
        <v>Pos. 9 (3)</v>
      </c>
      <c r="BU68" s="16">
        <f t="shared" ca="1" si="158"/>
        <v>-1</v>
      </c>
      <c r="BV68" s="16">
        <f t="shared" ca="1" si="159"/>
        <v>9</v>
      </c>
      <c r="BW68" s="16" t="str">
        <f t="shared" ca="1" si="160"/>
        <v>Pos. 9 (3)</v>
      </c>
      <c r="BX68" s="16">
        <f t="shared" ca="1" si="161"/>
        <v>1</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Ecuador</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2</v>
      </c>
      <c r="BG69" s="16">
        <f t="shared" ca="1" si="174"/>
        <v>1</v>
      </c>
      <c r="BH69" s="16">
        <f t="shared" ca="1" si="175"/>
        <v>0</v>
      </c>
      <c r="BI69" s="16">
        <f t="shared" ca="1" si="176"/>
        <v>1</v>
      </c>
      <c r="BJ69" s="16">
        <f t="shared" ca="1" si="177"/>
        <v>3</v>
      </c>
      <c r="BK69" s="16">
        <f t="shared" ca="1" si="178"/>
        <v>4</v>
      </c>
      <c r="BL69" s="16">
        <f t="shared" ca="1" si="151"/>
        <v>-1</v>
      </c>
      <c r="BM69" s="16">
        <f t="shared" ca="1" si="152"/>
        <v>3</v>
      </c>
      <c r="BN69" s="16">
        <f t="shared" ca="1" si="153"/>
        <v>3</v>
      </c>
      <c r="BO69" s="16" t="str">
        <f t="shared" si="154"/>
        <v>4L</v>
      </c>
      <c r="BP69" s="16"/>
      <c r="BQ69" s="16"/>
      <c r="BR69" s="16">
        <f t="shared" ca="1" si="155"/>
        <v>3</v>
      </c>
      <c r="BS69" s="16">
        <f t="shared" ca="1" si="156"/>
        <v>2</v>
      </c>
      <c r="BT69" s="16" t="str">
        <f t="shared" ca="1" si="157"/>
        <v>Pos. 2 (5)</v>
      </c>
      <c r="BU69" s="16">
        <f t="shared" ca="1" si="158"/>
        <v>-1</v>
      </c>
      <c r="BV69" s="16">
        <f t="shared" ca="1" si="159"/>
        <v>3</v>
      </c>
      <c r="BW69" s="16" t="str">
        <f t="shared" ca="1" si="160"/>
        <v>-</v>
      </c>
      <c r="BX69" s="16" t="str">
        <f t="shared" ca="1" si="161"/>
        <v>-</v>
      </c>
      <c r="BY69" s="16">
        <f t="shared" ca="1" si="162"/>
        <v>3</v>
      </c>
      <c r="BZ69" s="16" t="str">
        <f t="shared" ca="1" si="163"/>
        <v>-</v>
      </c>
      <c r="CA69" s="16" t="str">
        <f t="shared" ca="1" si="164"/>
        <v>-</v>
      </c>
      <c r="CB69" s="16">
        <f t="shared" ca="1" si="165"/>
        <v>3</v>
      </c>
      <c r="CC69" s="16"/>
      <c r="CD69" s="16">
        <f t="shared" ca="1" si="166"/>
        <v>3</v>
      </c>
      <c r="CE69" s="16" t="str">
        <f t="shared" ca="1" si="167"/>
        <v>-</v>
      </c>
      <c r="CF69" s="16">
        <f t="shared" ca="1" si="168"/>
        <v>3</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Senegal</v>
      </c>
    </row>
    <row r="70" spans="1:121" ht="16" customHeight="1" x14ac:dyDescent="0.2">
      <c r="A70" s="16" t="str">
        <f ca="1">+Equipos!B35</f>
        <v>Senegal</v>
      </c>
      <c r="B70" s="16"/>
      <c r="C70" s="16"/>
      <c r="D70" s="16" t="str">
        <f t="shared" si="196"/>
        <v>Local</v>
      </c>
      <c r="E70" s="16" t="str">
        <f t="shared" ca="1" si="197"/>
        <v>P.1 (2)</v>
      </c>
      <c r="F70" s="16" t="str">
        <f t="shared" ca="1" si="198"/>
        <v>P.3 (2)</v>
      </c>
      <c r="G70" s="16"/>
      <c r="H70" s="16" t="str">
        <f t="shared" ca="1" si="199"/>
        <v>P.1 (2)</v>
      </c>
      <c r="I70" s="16" t="str">
        <f t="shared" ca="1" si="200"/>
        <v>P.3 (2)</v>
      </c>
      <c r="J70" s="16"/>
      <c r="K70" s="16" t="str">
        <f t="shared" ca="1" si="201"/>
        <v>P.1 (2)</v>
      </c>
      <c r="L70" s="16" t="str">
        <f t="shared" ca="1" si="202"/>
        <v>P.3 (2)</v>
      </c>
      <c r="M70" s="16"/>
      <c r="N70" s="16" t="str">
        <f t="shared" ca="1" si="203"/>
        <v>P.1 (2)</v>
      </c>
      <c r="O70" s="16" t="str">
        <f t="shared" ca="1" si="204"/>
        <v>P.3 (2)</v>
      </c>
      <c r="P70" s="16"/>
      <c r="Q70" s="16" t="str">
        <f t="shared" ca="1" si="205"/>
        <v>P.1 (2)</v>
      </c>
      <c r="R70" s="16" t="str">
        <f t="shared" ca="1" si="206"/>
        <v>P.3 (2)</v>
      </c>
      <c r="S70" s="16"/>
      <c r="T70" s="16" t="str">
        <f t="shared" ca="1" si="207"/>
        <v>P.1 (2)</v>
      </c>
      <c r="U70" s="16" t="str">
        <f t="shared" ca="1" si="208"/>
        <v>P.3 (2)</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6</v>
      </c>
      <c r="AN70" s="36">
        <f t="shared" ca="1" si="211"/>
        <v>2</v>
      </c>
      <c r="AO70" s="36">
        <f t="shared" ca="1" si="211"/>
        <v>2</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P.3 (2)</v>
      </c>
      <c r="G71" s="16"/>
      <c r="H71" s="16" t="str">
        <f t="shared" ca="1" si="199"/>
        <v>P.1 (2)</v>
      </c>
      <c r="I71" s="16" t="str">
        <f t="shared" ca="1" si="200"/>
        <v>P.3 (2)</v>
      </c>
      <c r="J71" s="16"/>
      <c r="K71" s="16" t="str">
        <f t="shared" ca="1" si="201"/>
        <v>P.1 (2)</v>
      </c>
      <c r="L71" s="16" t="str">
        <f t="shared" ca="1" si="202"/>
        <v>P.3 (2)</v>
      </c>
      <c r="M71" s="16"/>
      <c r="N71" s="16" t="str">
        <f t="shared" ca="1" si="203"/>
        <v>P.1 (2)</v>
      </c>
      <c r="O71" s="16" t="str">
        <f t="shared" ca="1" si="204"/>
        <v>P.3 (2)</v>
      </c>
      <c r="P71" s="16"/>
      <c r="Q71" s="16" t="str">
        <f t="shared" ca="1" si="205"/>
        <v>P.1 (2)</v>
      </c>
      <c r="R71" s="16" t="str">
        <f t="shared" ca="1" si="206"/>
        <v>P.3 (2)</v>
      </c>
      <c r="S71" s="16"/>
      <c r="T71" s="16" t="str">
        <f t="shared" ca="1" si="207"/>
        <v>P.1 (2)</v>
      </c>
      <c r="U71" s="16" t="str">
        <f t="shared" ca="1" si="208"/>
        <v>P.3 (2)</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2</v>
      </c>
      <c r="AO71" s="39">
        <f t="shared" ca="1" si="211"/>
        <v>2</v>
      </c>
      <c r="AP71" s="39">
        <f t="shared" ca="1" si="211"/>
        <v>0</v>
      </c>
      <c r="AQ71" s="39">
        <f t="shared" ca="1" si="211"/>
        <v>0</v>
      </c>
      <c r="AR71" s="39">
        <f t="shared" ca="1" si="211"/>
        <v>7</v>
      </c>
      <c r="AS71" s="39">
        <f t="shared" ca="1" si="211"/>
        <v>3</v>
      </c>
      <c r="AT71" s="43">
        <f t="shared" ca="1" si="211"/>
        <v>4</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2</v>
      </c>
      <c r="AO72" s="39">
        <f t="shared" ca="1" si="211"/>
        <v>0</v>
      </c>
      <c r="AP72" s="39">
        <f t="shared" ca="1" si="211"/>
        <v>0</v>
      </c>
      <c r="AQ72" s="39">
        <f t="shared" ca="1" si="211"/>
        <v>2</v>
      </c>
      <c r="AR72" s="39">
        <f t="shared" ca="1" si="211"/>
        <v>3</v>
      </c>
      <c r="AS72" s="39">
        <f t="shared" ca="1" si="211"/>
        <v>6</v>
      </c>
      <c r="AT72" s="43">
        <f t="shared" ca="1" si="211"/>
        <v>-3</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2</v>
      </c>
      <c r="AO73" s="47">
        <f t="shared" ca="1" si="211"/>
        <v>0</v>
      </c>
      <c r="AP73" s="47">
        <f t="shared" ca="1" si="211"/>
        <v>0</v>
      </c>
      <c r="AQ73" s="47">
        <f t="shared" ca="1" si="211"/>
        <v>2</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2</v>
      </c>
      <c r="AO80" s="39">
        <f t="shared" ca="1" si="227"/>
        <v>1</v>
      </c>
      <c r="AP80" s="39">
        <f t="shared" ca="1" si="227"/>
        <v>0</v>
      </c>
      <c r="AQ80" s="39">
        <f t="shared" ca="1" si="227"/>
        <v>1</v>
      </c>
      <c r="AR80" s="39">
        <f t="shared" ca="1" si="227"/>
        <v>2</v>
      </c>
      <c r="AS80" s="39">
        <f t="shared" ca="1" si="227"/>
        <v>4</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2</v>
      </c>
      <c r="AO81" s="47">
        <f t="shared" ca="1" si="227"/>
        <v>0</v>
      </c>
      <c r="AP81" s="47">
        <f t="shared" ca="1" si="227"/>
        <v>0</v>
      </c>
      <c r="AQ81" s="47">
        <f t="shared" ca="1" si="227"/>
        <v>2</v>
      </c>
      <c r="AR81" s="47">
        <f t="shared" ca="1" si="227"/>
        <v>2</v>
      </c>
      <c r="AS81" s="47">
        <f t="shared" ca="1" si="227"/>
        <v>5</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6"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6</v>
      </c>
      <c r="AN86" s="36">
        <f t="shared" ca="1" si="243"/>
        <v>2</v>
      </c>
      <c r="AO86" s="36">
        <f t="shared" ca="1" si="243"/>
        <v>2</v>
      </c>
      <c r="AP86" s="36">
        <f t="shared" ca="1" si="243"/>
        <v>0</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4</v>
      </c>
      <c r="AN87" s="39">
        <f t="shared" ca="1" si="243"/>
        <v>2</v>
      </c>
      <c r="AO87" s="39">
        <f t="shared" ca="1" si="243"/>
        <v>1</v>
      </c>
      <c r="AP87" s="39">
        <f t="shared" ca="1" si="243"/>
        <v>1</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2</v>
      </c>
      <c r="AO88" s="39">
        <f t="shared" ca="1" si="243"/>
        <v>0</v>
      </c>
      <c r="AP88" s="39">
        <f t="shared" ca="1" si="243"/>
        <v>1</v>
      </c>
      <c r="AQ88" s="39">
        <f t="shared" ca="1" si="243"/>
        <v>1</v>
      </c>
      <c r="AR88" s="39">
        <f t="shared" ca="1" si="243"/>
        <v>1</v>
      </c>
      <c r="AS88" s="39">
        <f t="shared" ca="1" si="243"/>
        <v>2</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2</v>
      </c>
      <c r="AO89" s="47">
        <f t="shared" ca="1" si="243"/>
        <v>0</v>
      </c>
      <c r="AP89" s="47">
        <f t="shared" ca="1" si="243"/>
        <v>0</v>
      </c>
      <c r="AQ89" s="47">
        <f t="shared" ca="1" si="243"/>
        <v>2</v>
      </c>
      <c r="AR89" s="47">
        <f t="shared" ca="1" si="243"/>
        <v>1</v>
      </c>
      <c r="AS89" s="47">
        <f t="shared" ca="1" si="243"/>
        <v>8</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v>
      </c>
      <c r="G92" s="16"/>
      <c r="H92" s="16" t="str">
        <f t="shared" ref="H92:H97" ca="1" si="247">IF(D92="Pendiente","-",INDEX($BZ$6:$BZ$53,MATCH($AA92,$BD$6:$BD$53,0)))</f>
        <v>P.1 (2)</v>
      </c>
      <c r="I92" s="16" t="str">
        <f t="shared" ref="I92:I97" ca="1" si="248">IF(D92="Pendiente","-",INDEX($BZ$6:$BZ$53,MATCH($AF92,$BD$6:$BD$53,0)))</f>
        <v>-</v>
      </c>
      <c r="J92" s="16"/>
      <c r="K92" s="16" t="str">
        <f t="shared" ref="K92:K97" ca="1" si="249">IF(D92="Pendiente","-",INDEX($CE$6:$CE$53,MATCH($AA92,$BD$6:$BD$53,0)))</f>
        <v>P.1 (2)</v>
      </c>
      <c r="L92" s="16" t="str">
        <f t="shared" ref="L92:L97" ca="1" si="250">IF(D92="Pendiente","-",INDEX($CE$6:$CE$53,MATCH($AF92,$BD$6:$BD$53,0)))</f>
        <v>-</v>
      </c>
      <c r="M92" s="16"/>
      <c r="N92" s="16" t="str">
        <f t="shared" ref="N92:N97" ca="1" si="251">IF(D92="Pendiente","-",INDEX($CH$6:$CH$53,MATCH($AA92,$BD$6:$BD$53,0)))</f>
        <v>P.1 (2)</v>
      </c>
      <c r="O92" s="16" t="str">
        <f t="shared" ref="O92:O97" ca="1" si="252">IF(D92="Pendiente","-",INDEX($CH$6:$CH$53,MATCH($AF92,$BD$6:$BD$53,0)))</f>
        <v>-</v>
      </c>
      <c r="P92" s="16"/>
      <c r="Q92" s="16" t="str">
        <f t="shared" ref="Q92:Q97" ca="1" si="253">IF(D92="Pendiente","-",INDEX($CN$6:$CN$53,MATCH($AA92,$BD$6:$BD$53,0)))</f>
        <v>P.1 (2)</v>
      </c>
      <c r="R92" s="16" t="str">
        <f t="shared" ref="R92:R97" ca="1" si="254">IF(D92="Pendiente","-",INDEX($CN$6:$CN$53,MATCH($AF92,$BD$6:$BD$53,0)))</f>
        <v>-</v>
      </c>
      <c r="S92" s="16"/>
      <c r="T92" s="16" t="str">
        <f t="shared" ref="T92:T97" ca="1" si="255">IF(D92="Pendiente","-",INDEX($CS$6:$CS$53,MATCH($AA92,$BD$6:$BD$53,0)))</f>
        <v>P.1 (2)</v>
      </c>
      <c r="U92" s="16" t="str">
        <f t="shared" ref="U92:U97" ca="1" si="256">IF(D92="Pendiente","-",INDEX($CS$6:$CS$53,MATCH($AF92,$BD$6:$BD$53,0)))</f>
        <v>-</v>
      </c>
      <c r="V92" s="17"/>
      <c r="W92" s="639"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v>
      </c>
      <c r="G93" s="16"/>
      <c r="H93" s="16" t="str">
        <f t="shared" ca="1" si="247"/>
        <v>P.1 (2)</v>
      </c>
      <c r="I93" s="16" t="str">
        <f t="shared" ca="1" si="248"/>
        <v>-</v>
      </c>
      <c r="J93" s="16"/>
      <c r="K93" s="16" t="str">
        <f t="shared" ca="1" si="249"/>
        <v>P.1 (2)</v>
      </c>
      <c r="L93" s="16" t="str">
        <f t="shared" ca="1" si="250"/>
        <v>-</v>
      </c>
      <c r="M93" s="16"/>
      <c r="N93" s="16" t="str">
        <f t="shared" ca="1" si="251"/>
        <v>P.1 (2)</v>
      </c>
      <c r="O93" s="16" t="str">
        <f t="shared" ca="1" si="252"/>
        <v>-</v>
      </c>
      <c r="P93" s="16"/>
      <c r="Q93" s="16" t="str">
        <f t="shared" ca="1" si="253"/>
        <v>P.1 (2)</v>
      </c>
      <c r="R93" s="16" t="str">
        <f t="shared" ca="1" si="254"/>
        <v>-</v>
      </c>
      <c r="S93" s="16"/>
      <c r="T93" s="16" t="str">
        <f t="shared" ca="1" si="255"/>
        <v>P.1 (2)</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P.1 (2)</v>
      </c>
      <c r="F94" s="16" t="str">
        <f t="shared" ca="1" si="246"/>
        <v>P.1 (2)</v>
      </c>
      <c r="G94" s="16"/>
      <c r="H94" s="16" t="str">
        <f t="shared" ca="1" si="247"/>
        <v>P.1 (2)</v>
      </c>
      <c r="I94" s="16" t="str">
        <f t="shared" ca="1" si="248"/>
        <v>P.1 (2)</v>
      </c>
      <c r="J94" s="16"/>
      <c r="K94" s="16" t="str">
        <f t="shared" ca="1" si="249"/>
        <v>P.1 (2)</v>
      </c>
      <c r="L94" s="16" t="str">
        <f t="shared" ca="1" si="250"/>
        <v>P.1 (2)</v>
      </c>
      <c r="M94" s="16"/>
      <c r="N94" s="16" t="str">
        <f t="shared" ca="1" si="251"/>
        <v>P.1 (2)</v>
      </c>
      <c r="O94" s="16" t="str">
        <f t="shared" ca="1" si="252"/>
        <v>P.1 (2)</v>
      </c>
      <c r="P94" s="16"/>
      <c r="Q94" s="16" t="str">
        <f t="shared" ca="1" si="253"/>
        <v>P.1 (2)</v>
      </c>
      <c r="R94" s="16" t="str">
        <f t="shared" ca="1" si="254"/>
        <v>P.1 (2)</v>
      </c>
      <c r="S94" s="16"/>
      <c r="T94" s="16" t="str">
        <f t="shared" ca="1" si="255"/>
        <v>P.1 (2)</v>
      </c>
      <c r="U94" s="16" t="str">
        <f t="shared" ca="1" si="256"/>
        <v>P.1 (2)</v>
      </c>
      <c r="V94" s="17"/>
      <c r="W94" s="620"/>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4</v>
      </c>
      <c r="AN94" s="36">
        <f t="shared" ca="1" si="259"/>
        <v>2</v>
      </c>
      <c r="AO94" s="36">
        <f t="shared" ca="1" si="259"/>
        <v>1</v>
      </c>
      <c r="AP94" s="36">
        <f t="shared" ca="1" si="259"/>
        <v>1</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4</v>
      </c>
      <c r="AN95" s="39">
        <f t="shared" ca="1" si="259"/>
        <v>2</v>
      </c>
      <c r="AO95" s="39">
        <f t="shared" ca="1" si="259"/>
        <v>1</v>
      </c>
      <c r="AP95" s="39">
        <f t="shared" ca="1" si="259"/>
        <v>1</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2</v>
      </c>
      <c r="AO96" s="39">
        <f t="shared" ca="1" si="259"/>
        <v>1</v>
      </c>
      <c r="AP96" s="39">
        <f t="shared" ca="1" si="259"/>
        <v>0</v>
      </c>
      <c r="AQ96" s="39">
        <f t="shared" ca="1" si="259"/>
        <v>1</v>
      </c>
      <c r="AR96" s="39">
        <f t="shared" ca="1" si="259"/>
        <v>3</v>
      </c>
      <c r="AS96" s="39">
        <f t="shared" ca="1" si="259"/>
        <v>4</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2</v>
      </c>
      <c r="AO97" s="47">
        <f t="shared" ca="1" si="259"/>
        <v>0</v>
      </c>
      <c r="AP97" s="47">
        <f t="shared" ca="1" si="259"/>
        <v>0</v>
      </c>
      <c r="AQ97" s="47">
        <f t="shared" ca="1" si="259"/>
        <v>2</v>
      </c>
      <c r="AR97" s="47">
        <f t="shared" ca="1" si="259"/>
        <v>0</v>
      </c>
      <c r="AS97" s="47">
        <f t="shared" ca="1" si="259"/>
        <v>2</v>
      </c>
      <c r="AT97" s="48">
        <f t="shared" ca="1" si="259"/>
        <v>-2</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BCDFGHJL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Bosnia y Herzegovina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6</v>
      </c>
      <c r="AT102" s="84">
        <f t="shared" ca="1" si="269"/>
        <v>-1</v>
      </c>
      <c r="AU102" s="323" t="str">
        <f t="shared" ref="AU102:AU113" ca="1" si="270">IF($H$113=144,INDEX($DL$58:$DL$69,MATCH(AI102,$DP$58:$DP$69,0)),"")</f>
        <v/>
      </c>
      <c r="AV102" s="182" t="str">
        <f t="shared" ref="AV102:AV113" ca="1" si="271">INDEX($BD$58:$BD$69,MATCH(AI102,$BM$58:$BM$69,0))</f>
        <v>Bosnia y Herzegovina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Suecia</v>
      </c>
      <c r="AM103" s="576">
        <f t="shared" ca="1" si="269"/>
        <v>3</v>
      </c>
      <c r="AN103" s="86">
        <f t="shared" ca="1" si="269"/>
        <v>2</v>
      </c>
      <c r="AO103" s="86">
        <f t="shared" ca="1" si="269"/>
        <v>1</v>
      </c>
      <c r="AP103" s="86">
        <f t="shared" ca="1" si="269"/>
        <v>0</v>
      </c>
      <c r="AQ103" s="86">
        <f t="shared" ca="1" si="269"/>
        <v>1</v>
      </c>
      <c r="AR103" s="86">
        <f t="shared" ca="1" si="269"/>
        <v>6</v>
      </c>
      <c r="AS103" s="86">
        <f t="shared" ca="1" si="269"/>
        <v>6</v>
      </c>
      <c r="AT103" s="87">
        <f t="shared" ca="1" si="269"/>
        <v>0</v>
      </c>
      <c r="AU103" s="323" t="str">
        <f t="shared" ca="1" si="270"/>
        <v/>
      </c>
      <c r="AV103" s="182" t="str">
        <f t="shared" ca="1" si="271"/>
        <v>Suecia</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1</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Croacia</v>
      </c>
      <c r="AM104" s="576">
        <f t="shared" ca="1" si="269"/>
        <v>3</v>
      </c>
      <c r="AN104" s="86">
        <f t="shared" ca="1" si="269"/>
        <v>2</v>
      </c>
      <c r="AO104" s="86">
        <f t="shared" ca="1" si="269"/>
        <v>1</v>
      </c>
      <c r="AP104" s="86">
        <f t="shared" ca="1" si="269"/>
        <v>0</v>
      </c>
      <c r="AQ104" s="86">
        <f t="shared" ca="1" si="269"/>
        <v>1</v>
      </c>
      <c r="AR104" s="86">
        <f t="shared" ca="1" si="269"/>
        <v>3</v>
      </c>
      <c r="AS104" s="86">
        <f t="shared" ca="1" si="269"/>
        <v>4</v>
      </c>
      <c r="AT104" s="87">
        <f t="shared" ca="1" si="269"/>
        <v>-1</v>
      </c>
      <c r="AU104" s="323" t="str">
        <f t="shared" ca="1" si="270"/>
        <v/>
      </c>
      <c r="AV104" s="182" t="str">
        <f t="shared" ca="1" si="271"/>
        <v>Croacia</v>
      </c>
      <c r="AW104" s="215"/>
      <c r="AX104" s="170"/>
      <c r="AY104" s="270"/>
      <c r="AZ104" s="273" t="str">
        <f t="shared" ca="1" si="272"/>
        <v>1B - 3G</v>
      </c>
      <c r="BA104" s="176"/>
      <c r="BF104" t="str">
        <f t="shared" ca="1" si="273"/>
        <v>F</v>
      </c>
      <c r="BG104">
        <f t="shared" ca="1" si="274"/>
        <v>4</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Argelia</v>
      </c>
      <c r="AM105" s="576">
        <f t="shared" ca="1" si="269"/>
        <v>3</v>
      </c>
      <c r="AN105" s="86">
        <f t="shared" ca="1" si="269"/>
        <v>2</v>
      </c>
      <c r="AO105" s="86">
        <f t="shared" ca="1" si="269"/>
        <v>1</v>
      </c>
      <c r="AP105" s="86">
        <f t="shared" ca="1" si="269"/>
        <v>0</v>
      </c>
      <c r="AQ105" s="86">
        <f t="shared" ca="1" si="269"/>
        <v>1</v>
      </c>
      <c r="AR105" s="86">
        <f t="shared" ca="1" si="269"/>
        <v>2</v>
      </c>
      <c r="AS105" s="86">
        <f t="shared" ca="1" si="269"/>
        <v>4</v>
      </c>
      <c r="AT105" s="87">
        <f t="shared" ca="1" si="269"/>
        <v>-2</v>
      </c>
      <c r="AU105" s="323" t="str">
        <f t="shared" ca="1" si="270"/>
        <v/>
      </c>
      <c r="AV105" s="182" t="str">
        <f t="shared" ca="1" si="271"/>
        <v>Argelia</v>
      </c>
      <c r="AW105" s="215"/>
      <c r="AX105" s="170"/>
      <c r="AY105" s="270"/>
      <c r="AZ105" s="273" t="str">
        <f t="shared" ca="1" si="272"/>
        <v>1D - 3B</v>
      </c>
      <c r="BA105" s="176"/>
      <c r="BF105" t="str">
        <f t="shared" ca="1" si="273"/>
        <v>L</v>
      </c>
      <c r="BG105">
        <f t="shared" ca="1" si="274"/>
        <v>8</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Paraguay</v>
      </c>
      <c r="AM106" s="576">
        <f t="shared" ca="1" si="269"/>
        <v>3</v>
      </c>
      <c r="AN106" s="86">
        <f t="shared" ca="1" si="269"/>
        <v>2</v>
      </c>
      <c r="AO106" s="86">
        <f t="shared" ca="1" si="269"/>
        <v>1</v>
      </c>
      <c r="AP106" s="86">
        <f t="shared" ca="1" si="269"/>
        <v>0</v>
      </c>
      <c r="AQ106" s="86">
        <f t="shared" ca="1" si="269"/>
        <v>1</v>
      </c>
      <c r="AR106" s="86">
        <f t="shared" ca="1" si="269"/>
        <v>2</v>
      </c>
      <c r="AS106" s="86">
        <f t="shared" ca="1" si="269"/>
        <v>4</v>
      </c>
      <c r="AT106" s="87">
        <f t="shared" ca="1" si="269"/>
        <v>-2</v>
      </c>
      <c r="AU106" s="323" t="str">
        <f t="shared" ca="1" si="270"/>
        <v/>
      </c>
      <c r="AV106" s="182" t="str">
        <f t="shared" ca="1" si="271"/>
        <v>Paraguay</v>
      </c>
      <c r="AW106" s="215"/>
      <c r="AX106" s="170"/>
      <c r="AY106" s="270"/>
      <c r="AZ106" s="273" t="str">
        <f t="shared" ca="1" si="272"/>
        <v>1E - 3D</v>
      </c>
      <c r="BA106" s="176"/>
      <c r="BF106" t="str">
        <f t="shared" ca="1" si="273"/>
        <v>J</v>
      </c>
      <c r="BG106">
        <f t="shared" ca="1" si="274"/>
        <v>7</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Escocia</v>
      </c>
      <c r="AM107" s="576">
        <f t="shared" ca="1" si="269"/>
        <v>3</v>
      </c>
      <c r="AN107" s="86">
        <f t="shared" ca="1" si="269"/>
        <v>3</v>
      </c>
      <c r="AO107" s="86">
        <f t="shared" ca="1" si="269"/>
        <v>1</v>
      </c>
      <c r="AP107" s="86">
        <f t="shared" ca="1" si="269"/>
        <v>0</v>
      </c>
      <c r="AQ107" s="86">
        <f t="shared" ca="1" si="269"/>
        <v>2</v>
      </c>
      <c r="AR107" s="86">
        <f t="shared" ca="1" si="269"/>
        <v>1</v>
      </c>
      <c r="AS107" s="86">
        <f t="shared" ca="1" si="269"/>
        <v>4</v>
      </c>
      <c r="AT107" s="87">
        <f t="shared" ca="1" si="269"/>
        <v>-3</v>
      </c>
      <c r="AU107" s="323" t="str">
        <f t="shared" ca="1" si="270"/>
        <v/>
      </c>
      <c r="AV107" s="182" t="str">
        <f t="shared" ca="1" si="271"/>
        <v>Escocia</v>
      </c>
      <c r="AW107" s="215"/>
      <c r="AX107" s="170"/>
      <c r="AY107" s="270"/>
      <c r="AZ107" s="273" t="str">
        <f t="shared" ca="1" si="272"/>
        <v>1G - 3H</v>
      </c>
      <c r="BA107" s="176"/>
      <c r="BF107" t="str">
        <f t="shared" ca="1" si="273"/>
        <v>D</v>
      </c>
      <c r="BG107">
        <f t="shared" ca="1" si="274"/>
        <v>3</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Cabo Verde</v>
      </c>
      <c r="AM108" s="576">
        <f t="shared" ca="1" si="269"/>
        <v>2</v>
      </c>
      <c r="AN108" s="86">
        <f t="shared" ca="1" si="269"/>
        <v>2</v>
      </c>
      <c r="AO108" s="86">
        <f t="shared" ca="1" si="269"/>
        <v>0</v>
      </c>
      <c r="AP108" s="86">
        <f t="shared" ca="1" si="269"/>
        <v>2</v>
      </c>
      <c r="AQ108" s="86">
        <f t="shared" ca="1" si="269"/>
        <v>0</v>
      </c>
      <c r="AR108" s="86">
        <f t="shared" ca="1" si="269"/>
        <v>2</v>
      </c>
      <c r="AS108" s="86">
        <f t="shared" ca="1" si="269"/>
        <v>2</v>
      </c>
      <c r="AT108" s="87">
        <f t="shared" ca="1" si="269"/>
        <v>0</v>
      </c>
      <c r="AU108" s="323" t="str">
        <f t="shared" ca="1" si="270"/>
        <v/>
      </c>
      <c r="AV108" s="182" t="str">
        <f t="shared" ca="1" si="271"/>
        <v>Cabo Verde</v>
      </c>
      <c r="AW108" s="215"/>
      <c r="AX108" s="170"/>
      <c r="AY108" s="270"/>
      <c r="AZ108" s="273" t="str">
        <f t="shared" ca="1" si="272"/>
        <v>1I - 3F</v>
      </c>
      <c r="BA108" s="176"/>
      <c r="BF108" t="str">
        <f t="shared" ca="1" si="273"/>
        <v>C</v>
      </c>
      <c r="BG108">
        <f t="shared" ca="1" si="274"/>
        <v>2</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8</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Bélgica</v>
      </c>
      <c r="AM109" s="576">
        <f t="shared" ca="1" si="269"/>
        <v>2</v>
      </c>
      <c r="AN109" s="86">
        <f t="shared" ca="1" si="269"/>
        <v>2</v>
      </c>
      <c r="AO109" s="86">
        <f t="shared" ca="1" si="269"/>
        <v>0</v>
      </c>
      <c r="AP109" s="86">
        <f t="shared" ca="1" si="269"/>
        <v>2</v>
      </c>
      <c r="AQ109" s="86">
        <f t="shared" ca="1" si="269"/>
        <v>0</v>
      </c>
      <c r="AR109" s="86">
        <f t="shared" ca="1" si="269"/>
        <v>1</v>
      </c>
      <c r="AS109" s="86">
        <f t="shared" ca="1" si="269"/>
        <v>1</v>
      </c>
      <c r="AT109" s="87">
        <f t="shared" ca="1" si="269"/>
        <v>0</v>
      </c>
      <c r="AU109" s="323" t="str">
        <f t="shared" ca="1" si="270"/>
        <v/>
      </c>
      <c r="AV109" s="182" t="str">
        <f t="shared" ca="1" si="271"/>
        <v>Bélgica</v>
      </c>
      <c r="AW109" s="215"/>
      <c r="AX109" s="170"/>
      <c r="AY109" s="270"/>
      <c r="AZ109" s="273" t="str">
        <f t="shared" ca="1" si="272"/>
        <v>1K - 3L</v>
      </c>
      <c r="BA109" s="176"/>
      <c r="BF109" t="str">
        <f t="shared" ca="1" si="273"/>
        <v>H</v>
      </c>
      <c r="BG109">
        <f t="shared" ca="1" si="274"/>
        <v>6</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8</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República Checa</v>
      </c>
      <c r="AM110" s="576">
        <f t="shared" ca="1" si="269"/>
        <v>1</v>
      </c>
      <c r="AN110" s="86">
        <f t="shared" ca="1" si="269"/>
        <v>2</v>
      </c>
      <c r="AO110" s="86">
        <f t="shared" ca="1" si="269"/>
        <v>0</v>
      </c>
      <c r="AP110" s="86">
        <f t="shared" ca="1" si="269"/>
        <v>1</v>
      </c>
      <c r="AQ110" s="86">
        <f t="shared" ca="1" si="269"/>
        <v>1</v>
      </c>
      <c r="AR110" s="86">
        <f t="shared" ca="1" si="269"/>
        <v>2</v>
      </c>
      <c r="AS110" s="86">
        <f t="shared" ca="1" si="269"/>
        <v>3</v>
      </c>
      <c r="AT110" s="87">
        <f t="shared" ca="1" si="269"/>
        <v>-1</v>
      </c>
      <c r="AU110" s="323" t="str">
        <f t="shared" ca="1" si="270"/>
        <v/>
      </c>
      <c r="AV110" s="182" t="str">
        <f t="shared" ca="1" si="271"/>
        <v>República Checa</v>
      </c>
      <c r="AW110" s="215"/>
      <c r="AX110" s="170"/>
      <c r="AY110" s="270"/>
      <c r="AZ110" s="273" t="str">
        <f t="shared" ca="1" si="272"/>
        <v>1L - 3J</v>
      </c>
      <c r="BA110" s="176"/>
      <c r="BF110" t="str">
        <f t="shared" ca="1" si="273"/>
        <v>G</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8</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RD Congo</v>
      </c>
      <c r="AM111" s="576">
        <f t="shared" ca="1" si="269"/>
        <v>1</v>
      </c>
      <c r="AN111" s="86">
        <f t="shared" ca="1" si="269"/>
        <v>2</v>
      </c>
      <c r="AO111" s="86">
        <f t="shared" ca="1" si="269"/>
        <v>0</v>
      </c>
      <c r="AP111" s="86">
        <f t="shared" ca="1" si="269"/>
        <v>1</v>
      </c>
      <c r="AQ111" s="86">
        <f t="shared" ca="1" si="269"/>
        <v>1</v>
      </c>
      <c r="AR111" s="86">
        <f t="shared" ca="1" si="269"/>
        <v>1</v>
      </c>
      <c r="AS111" s="86">
        <f t="shared" ca="1" si="269"/>
        <v>2</v>
      </c>
      <c r="AT111" s="87">
        <f t="shared" ca="1" si="269"/>
        <v>-1</v>
      </c>
      <c r="AU111" s="323" t="str">
        <f t="shared" ca="1" si="270"/>
        <v/>
      </c>
      <c r="AV111" s="182" t="str">
        <f t="shared" ca="1" si="271"/>
        <v>RD Congo</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8</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Ecuador</v>
      </c>
      <c r="AM112" s="576">
        <f t="shared" ca="1" si="269"/>
        <v>1</v>
      </c>
      <c r="AN112" s="86">
        <f t="shared" ca="1" si="269"/>
        <v>2</v>
      </c>
      <c r="AO112" s="86">
        <f t="shared" ca="1" si="269"/>
        <v>0</v>
      </c>
      <c r="AP112" s="86">
        <f t="shared" ca="1" si="269"/>
        <v>1</v>
      </c>
      <c r="AQ112" s="86">
        <f t="shared" ca="1" si="269"/>
        <v>1</v>
      </c>
      <c r="AR112" s="86">
        <f t="shared" ca="1" si="269"/>
        <v>0</v>
      </c>
      <c r="AS112" s="86">
        <f t="shared" ca="1" si="269"/>
        <v>1</v>
      </c>
      <c r="AT112" s="87">
        <f t="shared" ca="1" si="269"/>
        <v>-1</v>
      </c>
      <c r="AU112" s="323" t="str">
        <f t="shared" ca="1" si="270"/>
        <v/>
      </c>
      <c r="AV112" s="182" t="str">
        <f t="shared" ca="1" si="271"/>
        <v>Ecuador</v>
      </c>
      <c r="AW112" s="215"/>
      <c r="AX112" s="170"/>
      <c r="AY112" s="269"/>
      <c r="AZ112" s="269"/>
      <c r="BA112" s="176"/>
      <c r="BI112" t="str">
        <f ca="1">IFERROR(CONCATENATE(BJ103,BJ104,BJ105,BJ106,BJ107,BJ108,BJ109,BJ110),"¿A/B/C/D/E/F/G/H/I/J/K/L?")</f>
        <v>BCDFGHJL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104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2</v>
      </c>
      <c r="AO113" s="47">
        <f t="shared" ca="1" si="269"/>
        <v>0</v>
      </c>
      <c r="AP113" s="47">
        <f t="shared" ca="1" si="269"/>
        <v>0</v>
      </c>
      <c r="AQ113" s="47">
        <f t="shared" ca="1" si="269"/>
        <v>2</v>
      </c>
      <c r="AR113" s="47">
        <f t="shared" ca="1" si="269"/>
        <v>3</v>
      </c>
      <c r="AS113" s="47">
        <f t="shared" ca="1" si="269"/>
        <v>6</v>
      </c>
      <c r="AT113" s="48">
        <f t="shared" ca="1" si="269"/>
        <v>-3</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3"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3J</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30"/>
      <c r="G1" s="630"/>
      <c r="H1" s="630"/>
      <c r="I1" s="630"/>
      <c r="J1" s="630"/>
      <c r="K1" s="630"/>
      <c r="L1" s="630"/>
      <c r="M1" s="630"/>
      <c r="N1" s="630"/>
    </row>
    <row r="2" spans="1:14" ht="20" customHeight="1" thickBot="1" x14ac:dyDescent="0.3">
      <c r="A2" s="284"/>
      <c r="B2" s="285"/>
      <c r="C2" s="285"/>
      <c r="D2" s="360"/>
      <c r="E2" s="630"/>
      <c r="F2" s="630"/>
      <c r="G2" s="630"/>
      <c r="H2" s="630"/>
      <c r="I2" s="630"/>
      <c r="J2" s="630"/>
      <c r="K2" s="630"/>
      <c r="L2" s="630"/>
      <c r="M2" s="630"/>
      <c r="N2" s="63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30"/>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30"/>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30"/>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3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3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3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30"/>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30"/>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3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30"/>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30"/>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30"/>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30"/>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30"/>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30"/>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30"/>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30"/>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30"/>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30"/>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30"/>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30"/>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30"/>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30"/>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30"/>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30"/>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30"/>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30"/>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30"/>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30"/>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30"/>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30"/>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30"/>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30"/>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30"/>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30"/>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30"/>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30"/>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30"/>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30"/>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30"/>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30"/>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30"/>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30"/>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30"/>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30"/>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30"/>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30"/>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3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30"/>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30"/>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30"/>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3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30"/>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30"/>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30"/>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30"/>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30"/>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30"/>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30"/>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30"/>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30"/>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30"/>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30"/>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30"/>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30"/>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30"/>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30"/>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2A-Canadá</v>
      </c>
      <c r="C164" s="342" t="str">
        <f ca="1">CONCATENATE(WORLDCUP!AA101,"-",WORLDCUP!AF101,"·",IF(WORLDCUP!AC101&gt;WORLDCUP!AD101,1,IF(WORLDCUP!AC101&lt;WORLDCUP!AD101,2,IF(AND(WORLDCUP!AC101=WORLDCUP!AD101,WORLDCUP!AC101&lt;&gt;"",WORLDCUP!AD101&lt;&gt;""),"X",0))),"|",WORLDCUP!AC101,"-",WORLDCUP!AD101)</f>
        <v>2A-Canadá·0|-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30"/>
      <c r="B165" s="352" t="str">
        <f ca="1">CONCATENATE(WORLDCUP!AA102,"-",WORLDCUP!AF102)</f>
        <v>Brasil-2F</v>
      </c>
      <c r="C165" s="342" t="str">
        <f ca="1">CONCATENATE(WORLDCUP!AA102,"-",WORLDCUP!AF102,"·",IF(WORLDCUP!AC102&gt;WORLDCUP!AD102,1,IF(WORLDCUP!AC102&lt;WORLDCUP!AD102,2,IF(AND(WORLDCUP!AC102=WORLDCUP!AD102,WORLDCUP!AC102&lt;&gt;"",WORLDCUP!AD102&lt;&gt;""),"X",0))),"|",WORLDCUP!AC102,"-",WORLDCUP!AD102)</f>
        <v>Brasil-2F·0|-</v>
      </c>
      <c r="D165" s="630"/>
      <c r="E165" s="650"/>
      <c r="F165" s="650"/>
      <c r="G165" s="650"/>
      <c r="H165" s="650"/>
      <c r="I165" s="345"/>
      <c r="J165" s="361"/>
      <c r="K165" s="361"/>
      <c r="L165" s="361"/>
      <c r="M165" s="377"/>
      <c r="N165" s="368"/>
    </row>
    <row r="166" spans="1:14" ht="15" customHeight="1" x14ac:dyDescent="0.2">
      <c r="A166" s="63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30"/>
      <c r="E166" s="650"/>
      <c r="F166" s="650"/>
      <c r="G166" s="650"/>
      <c r="H166" s="650"/>
      <c r="I166" s="345"/>
      <c r="J166" s="361"/>
      <c r="K166" s="361"/>
      <c r="L166" s="361"/>
      <c r="M166" s="377"/>
      <c r="N166" s="368"/>
    </row>
    <row r="167" spans="1:14" ht="15" customHeight="1" x14ac:dyDescent="0.2">
      <c r="A167" s="630"/>
      <c r="B167" s="352" t="str">
        <f ca="1">CONCATENATE(WORLDCUP!AA104,"-",WORLDCUP!AF104)</f>
        <v>1F-Marruecos</v>
      </c>
      <c r="C167" s="342" t="str">
        <f ca="1">CONCATENATE(WORLDCUP!AA104,"-",WORLDCUP!AF104,"·",IF(WORLDCUP!AC104&gt;WORLDCUP!AD104,1,IF(WORLDCUP!AC104&lt;WORLDCUP!AD104,2,IF(AND(WORLDCUP!AC104=WORLDCUP!AD104,WORLDCUP!AC104&lt;&gt;"",WORLDCUP!AD104&lt;&gt;""),"X",0))),"|",WORLDCUP!AC104,"-",WORLDCUP!AD104)</f>
        <v>1F-Marruecos·0|-</v>
      </c>
      <c r="D167" s="630"/>
      <c r="E167" s="650"/>
      <c r="F167" s="650"/>
      <c r="G167" s="650"/>
      <c r="H167" s="650"/>
      <c r="I167" s="345"/>
      <c r="J167" s="361"/>
      <c r="K167" s="361"/>
      <c r="L167" s="361"/>
      <c r="M167" s="377"/>
      <c r="N167" s="368"/>
    </row>
    <row r="168" spans="1:14" ht="15" customHeight="1" x14ac:dyDescent="0.2">
      <c r="A168" s="63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30"/>
      <c r="E168" s="361"/>
      <c r="F168" s="361"/>
      <c r="G168" s="361"/>
      <c r="H168" s="361"/>
      <c r="I168" s="345"/>
      <c r="J168" s="361"/>
      <c r="K168" s="361"/>
      <c r="L168" s="361"/>
      <c r="M168" s="377"/>
      <c r="N168" s="368"/>
    </row>
    <row r="169" spans="1:14" ht="15" customHeight="1" x14ac:dyDescent="0.2">
      <c r="A169" s="63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30"/>
      <c r="E169" s="361"/>
      <c r="F169" s="361"/>
      <c r="G169" s="361"/>
      <c r="H169" s="361"/>
      <c r="I169" s="345"/>
      <c r="J169" s="361"/>
      <c r="K169" s="361"/>
      <c r="L169" s="361"/>
      <c r="M169" s="377"/>
      <c r="N169" s="368"/>
    </row>
    <row r="170" spans="1:14" ht="15" customHeight="1" x14ac:dyDescent="0.2">
      <c r="A170" s="63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30"/>
      <c r="E170" s="361"/>
      <c r="F170" s="361"/>
      <c r="G170" s="361"/>
      <c r="H170" s="361"/>
      <c r="I170" s="345"/>
      <c r="J170" s="361"/>
      <c r="K170" s="361"/>
      <c r="L170" s="361"/>
      <c r="M170" s="377"/>
      <c r="N170" s="368"/>
    </row>
    <row r="171" spans="1:14" ht="15" customHeight="1" x14ac:dyDescent="0.2">
      <c r="A171" s="63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30"/>
      <c r="E171" s="361"/>
      <c r="F171" s="361"/>
      <c r="G171" s="361"/>
      <c r="H171" s="361"/>
      <c r="I171" s="345"/>
      <c r="J171" s="361"/>
      <c r="K171" s="361"/>
      <c r="L171" s="361"/>
      <c r="M171" s="377"/>
      <c r="N171" s="368"/>
    </row>
    <row r="172" spans="1:14" ht="15" customHeight="1" x14ac:dyDescent="0.2">
      <c r="A172" s="63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30"/>
      <c r="E172" s="361"/>
      <c r="F172" s="361"/>
      <c r="G172" s="361"/>
      <c r="H172" s="361"/>
      <c r="I172" s="345"/>
      <c r="J172" s="361"/>
      <c r="K172" s="361"/>
      <c r="L172" s="361"/>
      <c r="M172" s="377"/>
      <c r="N172" s="368"/>
    </row>
    <row r="173" spans="1:14" ht="15" customHeight="1" x14ac:dyDescent="0.2">
      <c r="A173" s="63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30"/>
      <c r="E173" s="361"/>
      <c r="F173" s="361"/>
      <c r="G173" s="361"/>
      <c r="H173" s="361"/>
      <c r="I173" s="345"/>
      <c r="J173" s="361"/>
      <c r="K173" s="361"/>
      <c r="L173" s="361"/>
      <c r="M173" s="377"/>
      <c r="N173" s="368"/>
    </row>
    <row r="174" spans="1:14" ht="15" customHeight="1" x14ac:dyDescent="0.2">
      <c r="A174" s="63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30"/>
      <c r="E174" s="361"/>
      <c r="F174" s="361"/>
      <c r="G174" s="361"/>
      <c r="H174" s="361"/>
      <c r="I174" s="345"/>
      <c r="J174" s="361"/>
      <c r="K174" s="361"/>
      <c r="L174" s="361"/>
      <c r="M174" s="377"/>
      <c r="N174" s="368"/>
    </row>
    <row r="175" spans="1:14" ht="15" customHeight="1" x14ac:dyDescent="0.2">
      <c r="A175" s="63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30"/>
      <c r="E175" s="361"/>
      <c r="F175" s="361"/>
      <c r="G175" s="361"/>
      <c r="H175" s="361"/>
      <c r="I175" s="345"/>
      <c r="J175" s="361"/>
      <c r="K175" s="361"/>
      <c r="L175" s="361"/>
      <c r="M175" s="377"/>
      <c r="N175" s="368"/>
    </row>
    <row r="176" spans="1:14" ht="15" customHeight="1" x14ac:dyDescent="0.2">
      <c r="A176" s="630"/>
      <c r="B176" s="352" t="str">
        <f ca="1">CONCATENATE(WORLDCUP!AA113,"-",WORLDCUP!AF113)</f>
        <v>Suiza-3EFGIJ</v>
      </c>
      <c r="C176" s="342" t="str">
        <f ca="1">CONCATENATE(WORLDCUP!AA113,"-",WORLDCUP!AF113,"·",IF(WORLDCUP!AC113&gt;WORLDCUP!AD113,1,IF(WORLDCUP!AC113&lt;WORLDCUP!AD113,2,IF(AND(WORLDCUP!AC113=WORLDCUP!AD113,WORLDCUP!AC113&lt;&gt;"",WORLDCUP!AD113&lt;&gt;""),"X",0))),"|",WORLDCUP!AC113,"-",WORLDCUP!AD113)</f>
        <v>Suiza-3EFGIJ·0|-</v>
      </c>
      <c r="D176" s="630"/>
      <c r="E176" s="361"/>
      <c r="F176" s="361"/>
      <c r="G176" s="361"/>
      <c r="H176" s="361"/>
      <c r="I176" s="345"/>
      <c r="J176" s="361"/>
      <c r="K176" s="361"/>
      <c r="L176" s="361"/>
      <c r="M176" s="377"/>
      <c r="N176" s="368"/>
    </row>
    <row r="177" spans="1:14" ht="15" customHeight="1" x14ac:dyDescent="0.2">
      <c r="A177" s="63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30"/>
      <c r="E177" s="361"/>
      <c r="F177" s="361"/>
      <c r="G177" s="361"/>
      <c r="H177" s="361"/>
      <c r="I177" s="345"/>
      <c r="J177" s="361"/>
      <c r="K177" s="361"/>
      <c r="L177" s="361"/>
      <c r="M177" s="377"/>
      <c r="N177" s="368"/>
    </row>
    <row r="178" spans="1:14" ht="15" customHeight="1" x14ac:dyDescent="0.2">
      <c r="A178" s="63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30"/>
      <c r="E178" s="361"/>
      <c r="F178" s="361"/>
      <c r="G178" s="361"/>
      <c r="H178" s="361"/>
      <c r="I178" s="345"/>
      <c r="J178" s="361"/>
      <c r="K178" s="361"/>
      <c r="L178" s="361"/>
      <c r="M178" s="377"/>
      <c r="N178" s="368"/>
    </row>
    <row r="179" spans="1:14" ht="15" customHeight="1" x14ac:dyDescent="0.2">
      <c r="A179" s="63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30"/>
      <c r="E179" s="361"/>
      <c r="F179" s="361"/>
      <c r="G179" s="361"/>
      <c r="H179" s="361"/>
      <c r="I179" s="345"/>
      <c r="J179" s="361"/>
      <c r="K179" s="361"/>
      <c r="L179" s="361"/>
      <c r="M179" s="377"/>
      <c r="N179" s="368"/>
    </row>
    <row r="180" spans="1:14" ht="15" customHeight="1" x14ac:dyDescent="0.2">
      <c r="A180" s="223"/>
      <c r="B180" s="223"/>
      <c r="C180" s="343"/>
      <c r="D180" s="63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3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30"/>
      <c r="E182" s="361"/>
      <c r="F182" s="361"/>
      <c r="G182" s="361"/>
      <c r="H182" s="361"/>
      <c r="I182" s="345"/>
      <c r="J182" s="361"/>
      <c r="K182" s="361"/>
      <c r="L182" s="361"/>
      <c r="M182" s="377"/>
      <c r="N182" s="368"/>
    </row>
    <row r="183" spans="1:14" ht="15" customHeight="1" x14ac:dyDescent="0.2">
      <c r="A183" s="630"/>
      <c r="B183" s="352" t="str">
        <f t="shared" ref="B183:B197" si="2">B182</f>
        <v>Octavofinalista</v>
      </c>
      <c r="C183" s="342" t="str">
        <f>WORLDCUP!AA121</f>
        <v>W74</v>
      </c>
      <c r="D183" s="630"/>
      <c r="E183" s="361"/>
      <c r="F183" s="361"/>
      <c r="G183" s="361"/>
      <c r="H183" s="361"/>
      <c r="I183" s="345"/>
      <c r="J183" s="361"/>
      <c r="K183" s="361"/>
      <c r="L183" s="361"/>
      <c r="M183" s="377"/>
      <c r="N183" s="368"/>
    </row>
    <row r="184" spans="1:14" ht="15" customHeight="1" x14ac:dyDescent="0.2">
      <c r="A184" s="630"/>
      <c r="B184" s="352" t="str">
        <f t="shared" si="2"/>
        <v>Octavofinalista</v>
      </c>
      <c r="C184" s="342" t="str">
        <f>WORLDCUP!AA122</f>
        <v>W76</v>
      </c>
      <c r="D184" s="630"/>
      <c r="E184" s="361"/>
      <c r="F184" s="361"/>
      <c r="G184" s="361"/>
      <c r="H184" s="361"/>
      <c r="I184" s="345"/>
      <c r="J184" s="361"/>
      <c r="K184" s="361"/>
      <c r="L184" s="361"/>
      <c r="M184" s="377"/>
      <c r="N184" s="368"/>
    </row>
    <row r="185" spans="1:14" ht="15" customHeight="1" x14ac:dyDescent="0.2">
      <c r="A185" s="630"/>
      <c r="B185" s="352" t="str">
        <f t="shared" si="2"/>
        <v>Octavofinalista</v>
      </c>
      <c r="C185" s="342" t="str">
        <f>WORLDCUP!AA123</f>
        <v>W79</v>
      </c>
      <c r="D185" s="630"/>
      <c r="E185" s="361"/>
      <c r="F185" s="361"/>
      <c r="G185" s="361"/>
      <c r="H185" s="361"/>
      <c r="I185" s="345"/>
      <c r="J185" s="361"/>
      <c r="K185" s="361"/>
      <c r="L185" s="361"/>
      <c r="M185" s="377"/>
      <c r="N185" s="368"/>
    </row>
    <row r="186" spans="1:14" ht="15" customHeight="1" x14ac:dyDescent="0.2">
      <c r="A186" s="630"/>
      <c r="B186" s="352" t="str">
        <f t="shared" si="2"/>
        <v>Octavofinalista</v>
      </c>
      <c r="C186" s="342" t="str">
        <f>WORLDCUP!AA124</f>
        <v>W83</v>
      </c>
      <c r="D186" s="630"/>
      <c r="E186" s="361"/>
      <c r="F186" s="361"/>
      <c r="G186" s="361"/>
      <c r="H186" s="361"/>
      <c r="I186" s="345"/>
      <c r="J186" s="361"/>
      <c r="K186" s="361"/>
      <c r="L186" s="361"/>
      <c r="M186" s="377"/>
      <c r="N186" s="368"/>
    </row>
    <row r="187" spans="1:14" ht="15" customHeight="1" x14ac:dyDescent="0.2">
      <c r="A187" s="630"/>
      <c r="B187" s="352" t="str">
        <f t="shared" si="2"/>
        <v>Octavofinalista</v>
      </c>
      <c r="C187" s="342" t="str">
        <f>WORLDCUP!AA125</f>
        <v>W81</v>
      </c>
      <c r="D187" s="630"/>
      <c r="E187" s="361"/>
      <c r="F187" s="361"/>
      <c r="G187" s="361"/>
      <c r="H187" s="361"/>
      <c r="I187" s="345"/>
      <c r="J187" s="361"/>
      <c r="K187" s="361"/>
      <c r="L187" s="361"/>
      <c r="M187" s="377"/>
      <c r="N187" s="368"/>
    </row>
    <row r="188" spans="1:14" ht="15" customHeight="1" x14ac:dyDescent="0.2">
      <c r="A188" s="630"/>
      <c r="B188" s="352" t="str">
        <f t="shared" si="2"/>
        <v>Octavofinalista</v>
      </c>
      <c r="C188" s="342" t="str">
        <f>WORLDCUP!AA126</f>
        <v>W86</v>
      </c>
      <c r="D188" s="630"/>
      <c r="E188" s="361"/>
      <c r="F188" s="361"/>
      <c r="G188" s="361"/>
      <c r="H188" s="361"/>
      <c r="I188" s="345"/>
      <c r="J188" s="361"/>
      <c r="K188" s="361"/>
      <c r="L188" s="361"/>
      <c r="M188" s="377"/>
      <c r="N188" s="368"/>
    </row>
    <row r="189" spans="1:14" ht="15" customHeight="1" x14ac:dyDescent="0.2">
      <c r="A189" s="630"/>
      <c r="B189" s="352" t="str">
        <f t="shared" si="2"/>
        <v>Octavofinalista</v>
      </c>
      <c r="C189" s="342" t="str">
        <f>WORLDCUP!AA127</f>
        <v>W85</v>
      </c>
      <c r="D189" s="630"/>
      <c r="E189" s="361"/>
      <c r="F189" s="361"/>
      <c r="G189" s="361"/>
      <c r="H189" s="361"/>
      <c r="I189" s="345"/>
      <c r="J189" s="361"/>
      <c r="K189" s="361"/>
      <c r="L189" s="361"/>
      <c r="M189" s="377"/>
      <c r="N189" s="368"/>
    </row>
    <row r="190" spans="1:14" ht="15" customHeight="1" x14ac:dyDescent="0.2">
      <c r="A190" s="630"/>
      <c r="B190" s="352" t="str">
        <f t="shared" si="2"/>
        <v>Octavofinalista</v>
      </c>
      <c r="C190" s="342" t="str">
        <f>WORLDCUP!AF120</f>
        <v>W75</v>
      </c>
      <c r="D190" s="630"/>
      <c r="E190" s="361"/>
      <c r="F190" s="361"/>
      <c r="G190" s="361"/>
      <c r="H190" s="361"/>
      <c r="I190" s="345"/>
      <c r="J190" s="361"/>
      <c r="K190" s="361"/>
      <c r="L190" s="361"/>
      <c r="M190" s="377"/>
      <c r="N190" s="368"/>
    </row>
    <row r="191" spans="1:14" ht="15" customHeight="1" x14ac:dyDescent="0.2">
      <c r="A191" s="630"/>
      <c r="B191" s="352" t="str">
        <f t="shared" si="2"/>
        <v>Octavofinalista</v>
      </c>
      <c r="C191" s="342" t="str">
        <f>WORLDCUP!AF121</f>
        <v>W77</v>
      </c>
      <c r="D191" s="630"/>
      <c r="E191" s="361"/>
      <c r="F191" s="361"/>
      <c r="G191" s="361"/>
      <c r="H191" s="361"/>
      <c r="I191" s="345"/>
      <c r="J191" s="361"/>
      <c r="K191" s="361"/>
      <c r="L191" s="361"/>
      <c r="M191" s="377"/>
      <c r="N191" s="368"/>
    </row>
    <row r="192" spans="1:14" ht="15" customHeight="1" x14ac:dyDescent="0.2">
      <c r="A192" s="630"/>
      <c r="B192" s="352" t="str">
        <f t="shared" si="2"/>
        <v>Octavofinalista</v>
      </c>
      <c r="C192" s="342" t="str">
        <f>WORLDCUP!AF122</f>
        <v>W78</v>
      </c>
      <c r="D192" s="630"/>
      <c r="E192" s="361"/>
      <c r="F192" s="361"/>
      <c r="G192" s="361"/>
      <c r="H192" s="361"/>
      <c r="I192" s="345"/>
      <c r="J192" s="361"/>
      <c r="K192" s="361"/>
      <c r="L192" s="361"/>
      <c r="M192" s="377"/>
      <c r="N192" s="368"/>
    </row>
    <row r="193" spans="1:14" ht="15" customHeight="1" x14ac:dyDescent="0.2">
      <c r="A193" s="630"/>
      <c r="B193" s="352" t="str">
        <f t="shared" si="2"/>
        <v>Octavofinalista</v>
      </c>
      <c r="C193" s="342" t="str">
        <f>WORLDCUP!AF123</f>
        <v>W80</v>
      </c>
      <c r="D193" s="630"/>
      <c r="E193" s="361"/>
      <c r="F193" s="361"/>
      <c r="G193" s="361"/>
      <c r="H193" s="361"/>
      <c r="I193" s="345"/>
      <c r="J193" s="361"/>
      <c r="K193" s="361"/>
      <c r="L193" s="361"/>
      <c r="M193" s="377"/>
      <c r="N193" s="368"/>
    </row>
    <row r="194" spans="1:14" ht="15" customHeight="1" x14ac:dyDescent="0.2">
      <c r="A194" s="630"/>
      <c r="B194" s="352" t="str">
        <f t="shared" si="2"/>
        <v>Octavofinalista</v>
      </c>
      <c r="C194" s="342" t="str">
        <f>WORLDCUP!AF124</f>
        <v>W84</v>
      </c>
      <c r="D194" s="630"/>
      <c r="E194" s="361"/>
      <c r="F194" s="361"/>
      <c r="G194" s="361"/>
      <c r="H194" s="361"/>
      <c r="I194" s="345"/>
      <c r="J194" s="361"/>
      <c r="K194" s="361"/>
      <c r="L194" s="361"/>
      <c r="M194" s="377"/>
      <c r="N194" s="368"/>
    </row>
    <row r="195" spans="1:14" ht="15" customHeight="1" x14ac:dyDescent="0.2">
      <c r="A195" s="630"/>
      <c r="B195" s="352" t="str">
        <f t="shared" si="2"/>
        <v>Octavofinalista</v>
      </c>
      <c r="C195" s="342" t="str">
        <f>WORLDCUP!AF125</f>
        <v>W82</v>
      </c>
      <c r="D195" s="630"/>
      <c r="E195" s="361"/>
      <c r="F195" s="361"/>
      <c r="G195" s="361"/>
      <c r="H195" s="361"/>
      <c r="I195" s="345"/>
      <c r="J195" s="361"/>
      <c r="K195" s="361"/>
      <c r="L195" s="361"/>
      <c r="M195" s="377"/>
      <c r="N195" s="368"/>
    </row>
    <row r="196" spans="1:14" ht="15" customHeight="1" x14ac:dyDescent="0.2">
      <c r="A196" s="630"/>
      <c r="B196" s="352" t="str">
        <f t="shared" si="2"/>
        <v>Octavofinalista</v>
      </c>
      <c r="C196" s="342" t="str">
        <f>WORLDCUP!AF126</f>
        <v>W88</v>
      </c>
      <c r="D196" s="630"/>
      <c r="E196" s="361"/>
      <c r="F196" s="361"/>
      <c r="G196" s="361"/>
      <c r="H196" s="361"/>
      <c r="I196" s="345"/>
      <c r="J196" s="361"/>
      <c r="K196" s="361"/>
      <c r="L196" s="361"/>
      <c r="M196" s="377"/>
      <c r="N196" s="368"/>
    </row>
    <row r="197" spans="1:14" ht="15" customHeight="1" x14ac:dyDescent="0.2">
      <c r="A197" s="630"/>
      <c r="B197" s="352" t="str">
        <f t="shared" si="2"/>
        <v>Octavofinalista</v>
      </c>
      <c r="C197" s="342" t="str">
        <f>WORLDCUP!AF127</f>
        <v>W87</v>
      </c>
      <c r="D197" s="63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3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30"/>
      <c r="E201" s="650"/>
      <c r="F201" s="650"/>
      <c r="G201" s="650"/>
      <c r="H201" s="650"/>
      <c r="I201" s="345"/>
      <c r="J201" s="361"/>
      <c r="K201" s="361"/>
      <c r="L201" s="361"/>
      <c r="M201" s="377"/>
      <c r="N201" s="368"/>
    </row>
    <row r="202" spans="1:14" ht="15" customHeight="1" x14ac:dyDescent="0.2">
      <c r="A202" s="63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30"/>
      <c r="E202" s="650"/>
      <c r="F202" s="650"/>
      <c r="G202" s="650"/>
      <c r="H202" s="650"/>
      <c r="I202" s="345"/>
      <c r="J202" s="361"/>
      <c r="K202" s="361"/>
      <c r="L202" s="361"/>
      <c r="M202" s="377"/>
      <c r="N202" s="368"/>
    </row>
    <row r="203" spans="1:14" ht="15" customHeight="1" x14ac:dyDescent="0.2">
      <c r="A203" s="63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30"/>
      <c r="E203" s="650"/>
      <c r="F203" s="650"/>
      <c r="G203" s="650"/>
      <c r="H203" s="650"/>
      <c r="I203" s="345"/>
      <c r="J203" s="361"/>
      <c r="K203" s="361"/>
      <c r="L203" s="361"/>
      <c r="M203" s="377"/>
      <c r="N203" s="368"/>
    </row>
    <row r="204" spans="1:14" ht="15" customHeight="1" x14ac:dyDescent="0.2">
      <c r="A204" s="63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30"/>
      <c r="E204" s="345"/>
      <c r="F204" s="345"/>
      <c r="G204" s="345"/>
      <c r="H204" s="345"/>
      <c r="I204" s="345"/>
      <c r="J204" s="361"/>
      <c r="K204" s="361"/>
      <c r="L204" s="361"/>
      <c r="M204" s="377"/>
      <c r="N204" s="368"/>
    </row>
    <row r="205" spans="1:14" ht="15" customHeight="1" x14ac:dyDescent="0.2">
      <c r="A205" s="63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30"/>
      <c r="E205" s="345"/>
      <c r="F205" s="345"/>
      <c r="G205" s="345"/>
      <c r="H205" s="345"/>
      <c r="I205" s="345"/>
      <c r="J205" s="361"/>
      <c r="K205" s="361"/>
      <c r="L205" s="361"/>
      <c r="M205" s="377"/>
      <c r="N205" s="368"/>
    </row>
    <row r="206" spans="1:14" ht="15" customHeight="1" x14ac:dyDescent="0.2">
      <c r="A206" s="63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30"/>
      <c r="E206" s="345"/>
      <c r="F206" s="345"/>
      <c r="G206" s="345"/>
      <c r="H206" s="345"/>
      <c r="I206" s="345"/>
      <c r="J206" s="361"/>
      <c r="K206" s="361"/>
      <c r="L206" s="361"/>
      <c r="M206" s="377"/>
      <c r="N206" s="368"/>
    </row>
    <row r="207" spans="1:14" ht="15" customHeight="1" x14ac:dyDescent="0.2">
      <c r="A207" s="63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30"/>
      <c r="E207" s="345"/>
      <c r="F207" s="345"/>
      <c r="G207" s="345"/>
      <c r="H207" s="345"/>
      <c r="I207" s="345"/>
      <c r="J207" s="361"/>
      <c r="K207" s="361"/>
      <c r="L207" s="361"/>
      <c r="M207" s="377"/>
      <c r="N207" s="368"/>
    </row>
    <row r="208" spans="1:14" ht="15" customHeight="1" x14ac:dyDescent="0.2">
      <c r="A208" s="223"/>
      <c r="B208" s="223"/>
      <c r="C208" s="343"/>
      <c r="D208" s="63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3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30"/>
      <c r="E210" s="361"/>
      <c r="F210" s="361"/>
      <c r="G210" s="361"/>
      <c r="H210" s="361"/>
      <c r="I210" s="345"/>
      <c r="J210" s="361"/>
      <c r="K210" s="361"/>
      <c r="L210" s="361"/>
      <c r="M210" s="377"/>
      <c r="N210" s="368"/>
    </row>
    <row r="211" spans="1:14" ht="15" customHeight="1" x14ac:dyDescent="0.2">
      <c r="A211" s="630"/>
      <c r="B211" s="352" t="str">
        <f t="shared" ref="B211:B217" si="3">B210</f>
        <v>Cuartofinalista</v>
      </c>
      <c r="C211" s="342" t="str">
        <f>WORLDCUP!AA132</f>
        <v>W93</v>
      </c>
      <c r="D211" s="630"/>
      <c r="E211" s="361"/>
      <c r="F211" s="361"/>
      <c r="G211" s="361"/>
      <c r="H211" s="361"/>
      <c r="I211" s="345"/>
      <c r="J211" s="361"/>
      <c r="K211" s="361"/>
      <c r="L211" s="361"/>
      <c r="M211" s="377"/>
      <c r="N211" s="368"/>
    </row>
    <row r="212" spans="1:14" ht="15" customHeight="1" x14ac:dyDescent="0.2">
      <c r="A212" s="630"/>
      <c r="B212" s="352" t="str">
        <f t="shared" si="3"/>
        <v>Cuartofinalista</v>
      </c>
      <c r="C212" s="342" t="str">
        <f>WORLDCUP!AA133</f>
        <v>W91</v>
      </c>
      <c r="D212" s="630"/>
      <c r="E212" s="361"/>
      <c r="F212" s="361"/>
      <c r="G212" s="361"/>
      <c r="H212" s="361"/>
      <c r="I212" s="345"/>
      <c r="J212" s="361"/>
      <c r="K212" s="361"/>
      <c r="L212" s="361"/>
      <c r="M212" s="377"/>
      <c r="N212" s="368"/>
    </row>
    <row r="213" spans="1:14" ht="15" customHeight="1" x14ac:dyDescent="0.2">
      <c r="A213" s="630"/>
      <c r="B213" s="352" t="str">
        <f t="shared" si="3"/>
        <v>Cuartofinalista</v>
      </c>
      <c r="C213" s="342" t="str">
        <f>WORLDCUP!AA134</f>
        <v>W95</v>
      </c>
      <c r="D213" s="630"/>
      <c r="E213" s="361"/>
      <c r="F213" s="361"/>
      <c r="G213" s="361"/>
      <c r="H213" s="361"/>
      <c r="I213" s="345"/>
      <c r="J213" s="361"/>
      <c r="K213" s="361"/>
      <c r="L213" s="361"/>
      <c r="M213" s="377"/>
      <c r="N213" s="368"/>
    </row>
    <row r="214" spans="1:14" ht="15" customHeight="1" x14ac:dyDescent="0.2">
      <c r="A214" s="630"/>
      <c r="B214" s="352" t="str">
        <f t="shared" si="3"/>
        <v>Cuartofinalista</v>
      </c>
      <c r="C214" s="342" t="str">
        <f>WORLDCUP!AF131</f>
        <v>W90</v>
      </c>
      <c r="D214" s="630"/>
      <c r="E214" s="361"/>
      <c r="F214" s="361"/>
      <c r="G214" s="361"/>
      <c r="H214" s="361"/>
      <c r="I214" s="345"/>
      <c r="J214" s="361"/>
      <c r="K214" s="361"/>
      <c r="L214" s="361"/>
      <c r="M214" s="377"/>
      <c r="N214" s="368"/>
    </row>
    <row r="215" spans="1:14" ht="15" customHeight="1" x14ac:dyDescent="0.2">
      <c r="A215" s="630"/>
      <c r="B215" s="352" t="str">
        <f t="shared" si="3"/>
        <v>Cuartofinalista</v>
      </c>
      <c r="C215" s="342" t="str">
        <f>WORLDCUP!AF132</f>
        <v>W94</v>
      </c>
      <c r="D215" s="630"/>
      <c r="E215" s="361"/>
      <c r="F215" s="361"/>
      <c r="G215" s="361"/>
      <c r="H215" s="361"/>
      <c r="I215" s="345"/>
      <c r="J215" s="361"/>
      <c r="K215" s="361"/>
      <c r="L215" s="361"/>
      <c r="M215" s="377"/>
      <c r="N215" s="368"/>
    </row>
    <row r="216" spans="1:14" ht="15" customHeight="1" x14ac:dyDescent="0.2">
      <c r="A216" s="630"/>
      <c r="B216" s="352" t="str">
        <f t="shared" si="3"/>
        <v>Cuartofinalista</v>
      </c>
      <c r="C216" s="342" t="str">
        <f>WORLDCUP!AF133</f>
        <v>W92</v>
      </c>
      <c r="D216" s="630"/>
      <c r="E216" s="361"/>
      <c r="F216" s="361"/>
      <c r="G216" s="361"/>
      <c r="H216" s="361"/>
      <c r="I216" s="345"/>
      <c r="J216" s="361"/>
      <c r="K216" s="361"/>
      <c r="L216" s="361"/>
      <c r="M216" s="377"/>
      <c r="N216" s="368"/>
    </row>
    <row r="217" spans="1:14" ht="15" customHeight="1" x14ac:dyDescent="0.2">
      <c r="A217" s="630"/>
      <c r="B217" s="352" t="str">
        <f t="shared" si="3"/>
        <v>Cuartofinalista</v>
      </c>
      <c r="C217" s="342" t="str">
        <f>WORLDCUP!AF134</f>
        <v>W96</v>
      </c>
      <c r="D217" s="63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3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30"/>
      <c r="E221" s="650"/>
      <c r="F221" s="650"/>
      <c r="G221" s="650"/>
      <c r="H221" s="650"/>
      <c r="I221" s="345"/>
      <c r="J221" s="361"/>
      <c r="K221" s="361"/>
      <c r="L221" s="361"/>
      <c r="M221" s="377"/>
      <c r="N221" s="368"/>
    </row>
    <row r="222" spans="1:14" ht="15" customHeight="1" x14ac:dyDescent="0.2">
      <c r="A222" s="63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30"/>
      <c r="E222" s="650"/>
      <c r="F222" s="650"/>
      <c r="G222" s="650"/>
      <c r="H222" s="650"/>
      <c r="I222" s="345"/>
      <c r="J222" s="361"/>
      <c r="K222" s="361"/>
      <c r="L222" s="361"/>
      <c r="M222" s="377"/>
      <c r="N222" s="368"/>
    </row>
    <row r="223" spans="1:14" ht="15" customHeight="1" x14ac:dyDescent="0.2">
      <c r="A223" s="63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30"/>
      <c r="E223" s="650"/>
      <c r="F223" s="650"/>
      <c r="G223" s="650"/>
      <c r="H223" s="650"/>
      <c r="I223" s="345"/>
      <c r="J223" s="361"/>
      <c r="K223" s="361"/>
      <c r="L223" s="361"/>
      <c r="M223" s="377"/>
      <c r="N223" s="368"/>
    </row>
    <row r="224" spans="1:14" x14ac:dyDescent="0.2">
      <c r="A224" s="223"/>
      <c r="B224" s="223"/>
      <c r="C224" s="343"/>
      <c r="D224" s="63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3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30"/>
      <c r="E226" s="361"/>
      <c r="F226" s="361"/>
      <c r="G226" s="361"/>
      <c r="H226" s="361"/>
      <c r="I226" s="345"/>
      <c r="J226" s="361"/>
      <c r="K226" s="361"/>
      <c r="L226" s="361"/>
      <c r="M226" s="377"/>
      <c r="N226" s="368"/>
    </row>
    <row r="227" spans="1:14" ht="15" customHeight="1" x14ac:dyDescent="0.2">
      <c r="A227" s="630"/>
      <c r="B227" s="352" t="str">
        <f>Idiomas!$D$191</f>
        <v>Semifinalista</v>
      </c>
      <c r="C227" s="342" t="str">
        <f>WORLDCUP!AA139</f>
        <v>W99</v>
      </c>
      <c r="D227" s="630"/>
      <c r="E227" s="361"/>
      <c r="F227" s="361"/>
      <c r="G227" s="361"/>
      <c r="H227" s="361"/>
      <c r="I227" s="345"/>
      <c r="J227" s="361"/>
      <c r="K227" s="361"/>
      <c r="L227" s="361"/>
      <c r="M227" s="377"/>
      <c r="N227" s="368"/>
    </row>
    <row r="228" spans="1:14" ht="15" customHeight="1" x14ac:dyDescent="0.2">
      <c r="A228" s="630"/>
      <c r="B228" s="352" t="str">
        <f>Idiomas!$D$191</f>
        <v>Semifinalista</v>
      </c>
      <c r="C228" s="342" t="str">
        <f>WORLDCUP!AF138</f>
        <v>W98</v>
      </c>
      <c r="D228" s="630"/>
      <c r="E228" s="361"/>
      <c r="F228" s="361"/>
      <c r="G228" s="361"/>
      <c r="H228" s="361"/>
      <c r="I228" s="345"/>
      <c r="J228" s="361"/>
      <c r="K228" s="361"/>
      <c r="L228" s="361"/>
      <c r="M228" s="377"/>
      <c r="N228" s="368"/>
    </row>
    <row r="229" spans="1:14" ht="15" customHeight="1" x14ac:dyDescent="0.2">
      <c r="A229" s="630"/>
      <c r="B229" s="352" t="str">
        <f>Idiomas!$D$191</f>
        <v>Semifinalista</v>
      </c>
      <c r="C229" s="342" t="str">
        <f>WORLDCUP!AF139</f>
        <v>W100</v>
      </c>
      <c r="D229" s="63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3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30"/>
      <c r="E233" s="650"/>
      <c r="F233" s="650"/>
      <c r="G233" s="650"/>
      <c r="H233" s="650"/>
      <c r="I233" s="345"/>
      <c r="J233" s="361"/>
      <c r="K233" s="361"/>
      <c r="L233" s="361"/>
      <c r="M233" s="377"/>
      <c r="N233" s="368"/>
    </row>
    <row r="234" spans="1:14" ht="15" customHeight="1" x14ac:dyDescent="0.2">
      <c r="A234" s="223"/>
      <c r="B234" s="223"/>
      <c r="C234" s="343"/>
      <c r="D234" s="63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3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30"/>
      <c r="E236" s="365"/>
      <c r="F236" s="365"/>
      <c r="G236" s="365"/>
      <c r="H236" s="365"/>
      <c r="I236" s="345"/>
      <c r="J236" s="361"/>
      <c r="K236" s="361"/>
      <c r="L236" s="361"/>
      <c r="M236" s="377"/>
      <c r="N236" s="368"/>
    </row>
    <row r="237" spans="1:14" ht="15" customHeight="1" x14ac:dyDescent="0.2">
      <c r="A237" s="630"/>
      <c r="B237" s="352" t="str">
        <f>Idiomas!D192</f>
        <v>3º y 4º puesto</v>
      </c>
      <c r="C237" s="342" t="str">
        <f>WORLDCUP!AF143</f>
        <v>L102</v>
      </c>
      <c r="D237" s="630"/>
      <c r="E237" s="365"/>
      <c r="F237" s="365"/>
      <c r="G237" s="365"/>
      <c r="H237" s="365"/>
      <c r="I237" s="345"/>
      <c r="J237" s="361"/>
      <c r="K237" s="361"/>
      <c r="L237" s="361"/>
      <c r="M237" s="377"/>
      <c r="N237" s="368"/>
    </row>
    <row r="238" spans="1:14" ht="15" customHeight="1" x14ac:dyDescent="0.2">
      <c r="A238" s="223"/>
      <c r="B238" s="223"/>
      <c r="C238" s="343"/>
      <c r="D238" s="63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3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30"/>
      <c r="E240" s="361"/>
      <c r="F240" s="361"/>
      <c r="G240" s="361"/>
      <c r="H240" s="361"/>
      <c r="I240" s="345"/>
      <c r="J240" s="361"/>
      <c r="K240" s="361"/>
      <c r="L240" s="361"/>
      <c r="M240" s="377"/>
      <c r="N240" s="368"/>
    </row>
    <row r="241" spans="1:14" ht="15" customHeight="1" x14ac:dyDescent="0.2">
      <c r="A241" s="630"/>
      <c r="B241" s="352" t="str">
        <f>B240</f>
        <v>Finalista</v>
      </c>
      <c r="C241" s="342" t="str">
        <f>WORLDCUP!AF147</f>
        <v>W102</v>
      </c>
      <c r="D241" s="63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3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3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30"/>
      <c r="E247" s="367"/>
      <c r="F247" s="367"/>
      <c r="G247" s="367"/>
      <c r="H247" s="367"/>
      <c r="I247" s="372"/>
      <c r="J247" s="361"/>
      <c r="K247" s="361"/>
      <c r="L247" s="361"/>
      <c r="M247" s="377"/>
      <c r="N247" s="368"/>
    </row>
    <row r="248" spans="1:14" ht="15" customHeight="1" x14ac:dyDescent="0.2">
      <c r="A248" s="223"/>
      <c r="B248" s="223"/>
      <c r="C248" s="343"/>
      <c r="D248" s="630"/>
      <c r="E248" s="365"/>
      <c r="F248" s="365"/>
      <c r="G248" s="365"/>
      <c r="H248" s="365"/>
      <c r="I248" s="372"/>
      <c r="J248" s="361"/>
      <c r="K248" s="361"/>
      <c r="L248" s="361"/>
      <c r="M248" s="377"/>
      <c r="N248" s="368"/>
    </row>
    <row r="249" spans="1:14" ht="19" customHeight="1" x14ac:dyDescent="0.25">
      <c r="A249" s="223"/>
      <c r="B249" s="350" t="str">
        <f>Idiomas!D139</f>
        <v>CUADRO DE HONOR</v>
      </c>
      <c r="C249" s="343"/>
      <c r="D249" s="63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3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3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3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30"/>
      <c r="G253" s="630"/>
      <c r="H253" s="63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30"/>
      <c r="F254" s="630"/>
      <c r="G254" s="630"/>
      <c r="H254" s="63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30"/>
      <c r="F255" s="630"/>
      <c r="G255" s="630"/>
      <c r="H255" s="63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30"/>
      <c r="F256" s="630"/>
      <c r="G256" s="630"/>
      <c r="H256" s="63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6</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6</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4</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-2</v>
      </c>
      <c r="W47" s="467" t="str">
        <f ca="1">+INDEX(WORLDCUP!$AR$6:$AR$97,MATCH(X47,WORLDCUP!$AI$6:$AI$97,0))&amp;"-"&amp;INDEX(WORLDCUP!$AS$6:$AS$97,MATCH(X47,WORLDCUP!$AI$6:$AI$97,0))</f>
        <v>0-2</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1</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Croacia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Croacia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Croacia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30"/>
      <c r="D4" s="630"/>
      <c r="E4" s="630"/>
      <c r="F4" s="630"/>
      <c r="G4" s="630"/>
      <c r="H4" s="630"/>
      <c r="I4" s="630"/>
      <c r="J4" s="684"/>
      <c r="K4" s="224"/>
      <c r="L4" s="330" t="str">
        <f>+Idiomas!D84</f>
        <v>· Selecciona el idioma y la zona horaria</v>
      </c>
      <c r="M4" s="232"/>
      <c r="N4" s="232"/>
      <c r="O4" s="232"/>
      <c r="P4" s="232"/>
      <c r="Q4" s="232"/>
      <c r="R4" s="334"/>
    </row>
    <row r="5" spans="1:18" x14ac:dyDescent="0.2">
      <c r="A5" s="223"/>
      <c r="B5" s="683"/>
      <c r="C5" s="630"/>
      <c r="D5" s="630"/>
      <c r="E5" s="630"/>
      <c r="F5" s="630"/>
      <c r="G5" s="630"/>
      <c r="H5" s="630"/>
      <c r="I5" s="630"/>
      <c r="J5" s="684"/>
      <c r="K5" s="224"/>
      <c r="L5" s="330" t="str">
        <f>+Idiomas!D85</f>
        <v>· Si vas a participar en una porra escribe tu nombre</v>
      </c>
      <c r="M5" s="232"/>
      <c r="N5" s="232"/>
      <c r="O5" s="232"/>
      <c r="P5" s="232"/>
      <c r="Q5" s="232"/>
      <c r="R5" s="334"/>
    </row>
    <row r="6" spans="1:18" x14ac:dyDescent="0.2">
      <c r="A6" s="223"/>
      <c r="B6" s="683"/>
      <c r="C6" s="630"/>
      <c r="D6" s="630"/>
      <c r="E6" s="630"/>
      <c r="F6" s="630"/>
      <c r="G6" s="630"/>
      <c r="H6" s="630"/>
      <c r="I6" s="63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30"/>
      <c r="D7" s="630"/>
      <c r="E7" s="630"/>
      <c r="F7" s="630"/>
      <c r="G7" s="630"/>
      <c r="H7" s="630"/>
      <c r="I7" s="630"/>
      <c r="J7" s="684"/>
      <c r="K7" s="224"/>
      <c r="L7" s="335"/>
      <c r="M7" s="336"/>
      <c r="N7" s="336"/>
      <c r="O7" s="336"/>
      <c r="P7" s="336"/>
      <c r="Q7" s="336"/>
      <c r="R7" s="337"/>
    </row>
    <row r="8" spans="1:18" x14ac:dyDescent="0.2">
      <c r="A8" s="223"/>
      <c r="B8" s="683"/>
      <c r="C8" s="630"/>
      <c r="D8" s="630"/>
      <c r="E8" s="630"/>
      <c r="F8" s="630"/>
      <c r="G8" s="630"/>
      <c r="H8" s="630"/>
      <c r="I8" s="630"/>
      <c r="J8" s="684"/>
      <c r="K8" s="224"/>
    </row>
    <row r="9" spans="1:18" x14ac:dyDescent="0.2">
      <c r="A9" s="223"/>
      <c r="B9" s="683"/>
      <c r="C9" s="630"/>
      <c r="D9" s="630"/>
      <c r="E9" s="630"/>
      <c r="F9" s="630"/>
      <c r="G9" s="630"/>
      <c r="H9" s="630"/>
      <c r="I9" s="630"/>
      <c r="J9" s="684"/>
      <c r="K9" s="224"/>
      <c r="L9" s="259" t="s">
        <v>309</v>
      </c>
    </row>
    <row r="10" spans="1:18" x14ac:dyDescent="0.2">
      <c r="A10" s="223"/>
      <c r="B10" s="683"/>
      <c r="C10" s="630"/>
      <c r="D10" s="630"/>
      <c r="E10" s="630"/>
      <c r="F10" s="630"/>
      <c r="G10" s="630"/>
      <c r="H10" s="630"/>
      <c r="I10" s="630"/>
      <c r="J10" s="684"/>
      <c r="K10" s="224"/>
      <c r="L10" s="331"/>
      <c r="M10" s="332"/>
      <c r="N10" s="332"/>
      <c r="O10" s="332"/>
      <c r="P10" s="332"/>
      <c r="Q10" s="332"/>
      <c r="R10" s="333"/>
    </row>
    <row r="11" spans="1:18" x14ac:dyDescent="0.2">
      <c r="A11" s="223"/>
      <c r="B11" s="683"/>
      <c r="C11" s="630"/>
      <c r="D11" s="630"/>
      <c r="E11" s="630"/>
      <c r="F11" s="630"/>
      <c r="G11" s="630"/>
      <c r="H11" s="630"/>
      <c r="I11" s="63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30"/>
      <c r="O84" s="630"/>
      <c r="P84" s="630"/>
      <c r="Q84" s="630"/>
      <c r="R84" s="63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2026-06-25T00:06:32Z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
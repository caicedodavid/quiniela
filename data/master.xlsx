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E20E832E-EF60-9F41-8B4E-FE9F4CB15FF0}" xr6:coauthVersionLast="47" xr6:coauthVersionMax="47" xr10:uidLastSave="{00000000-0000-0000-0000-000000000000}"/>
  <bookViews>
    <workbookView xWindow="0" yWindow="660" windowWidth="34560" windowHeight="2002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T22" i="2"/>
  <c r="L22" i="2"/>
  <c r="K22" i="2"/>
  <c r="I22" i="2"/>
  <c r="H22" i="2"/>
  <c r="F22" i="2"/>
  <c r="O22" i="2"/>
  <c r="N22" i="2"/>
  <c r="Q24" i="2"/>
  <c r="O24" i="2"/>
  <c r="N24" i="2"/>
  <c r="L24" i="2"/>
  <c r="K24" i="2"/>
  <c r="I24" i="2"/>
  <c r="H24" i="2"/>
  <c r="F24" i="2"/>
  <c r="E24" i="2"/>
  <c r="T24" i="2"/>
  <c r="R24"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U17" i="2"/>
  <c r="Q22" i="2"/>
  <c r="R23" i="2"/>
  <c r="X146" i="2"/>
  <c r="X130" i="2"/>
  <c r="X119" i="2"/>
  <c r="X83" i="2"/>
  <c r="X51" i="2"/>
  <c r="X137" i="2"/>
  <c r="X100" i="2"/>
  <c r="X59" i="2"/>
  <c r="X142" i="2"/>
  <c r="X75" i="2"/>
  <c r="X67" i="2"/>
  <c r="X91" i="2"/>
  <c r="X11" i="2"/>
  <c r="X27" i="2" s="1"/>
  <c r="X43" i="2" s="1"/>
  <c r="R22" i="2"/>
  <c r="T23" i="2"/>
  <c r="AJ53" i="2"/>
  <c r="AC11" i="2"/>
  <c r="O30" i="2"/>
  <c r="N30" i="2"/>
  <c r="R30" i="2"/>
  <c r="L30" i="2"/>
  <c r="K30" i="2"/>
  <c r="I30" i="2"/>
  <c r="N25" i="2"/>
  <c r="U30" i="2"/>
  <c r="O39" i="2"/>
  <c r="N39" i="2"/>
  <c r="L39" i="2"/>
  <c r="U39" i="2"/>
  <c r="T39" i="2"/>
  <c r="R39" i="2"/>
  <c r="Q39" i="2"/>
  <c r="K39" i="2"/>
  <c r="I39" i="2"/>
  <c r="AC142" i="2"/>
  <c r="AC119" i="2"/>
  <c r="AC130" i="2"/>
  <c r="AC75" i="2"/>
  <c r="AC91" i="2"/>
  <c r="AC83" i="2"/>
  <c r="AC59" i="2"/>
  <c r="AC100" i="2"/>
  <c r="AC43" i="2"/>
  <c r="AC35" i="2"/>
  <c r="O25" i="2"/>
  <c r="AR29" i="2"/>
  <c r="E39" i="2"/>
  <c r="AD142" i="2"/>
  <c r="AD59" i="2"/>
  <c r="AD91" i="2"/>
  <c r="AD130" i="2"/>
  <c r="AD119" i="2"/>
  <c r="AD43" i="2"/>
  <c r="AD83" i="2"/>
  <c r="AD100" i="2"/>
  <c r="AD75" i="2"/>
  <c r="AD35" i="2"/>
  <c r="AD27" i="2"/>
  <c r="AD67" i="2"/>
  <c r="AD51" i="2"/>
  <c r="Q25" i="2"/>
  <c r="F39" i="2"/>
  <c r="AF137" i="2"/>
  <c r="AF142" i="2"/>
  <c r="AF146" i="2"/>
  <c r="AF59" i="2"/>
  <c r="AF91" i="2"/>
  <c r="AF67" i="2"/>
  <c r="AF100" i="2"/>
  <c r="AF119" i="2"/>
  <c r="AF83" i="2"/>
  <c r="AF75" i="2"/>
  <c r="AF51" i="2"/>
  <c r="AR85" i="2"/>
  <c r="AR53" i="2"/>
  <c r="AR101" i="2"/>
  <c r="AR77" i="2"/>
  <c r="AR37" i="2"/>
  <c r="AR69" i="2"/>
  <c r="AR93" i="2"/>
  <c r="AR61" i="2"/>
  <c r="AR45"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C213" i="3"/>
  <c r="L32" i="2"/>
  <c r="K32" i="2"/>
  <c r="K38"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4" i="4" l="1"/>
  <c r="R43" i="4"/>
  <c r="R28" i="4"/>
  <c r="R27" i="4"/>
  <c r="R4" i="4"/>
  <c r="R3" i="4"/>
  <c r="F43" i="4"/>
  <c r="F4" i="4"/>
  <c r="O6" i="4"/>
  <c r="B43" i="3"/>
  <c r="B72" i="3"/>
  <c r="O31" i="4"/>
  <c r="C47" i="4"/>
  <c r="BC37" i="2"/>
  <c r="BC15" i="2"/>
  <c r="AF33" i="2"/>
  <c r="F32" i="4" s="1"/>
  <c r="AF30" i="2"/>
  <c r="F29" i="4" s="1"/>
  <c r="AY32" i="2"/>
  <c r="AA29" i="2"/>
  <c r="C14" i="4"/>
  <c r="B33" i="3"/>
  <c r="BC49" i="2"/>
  <c r="AA63" i="2"/>
  <c r="AA65" i="2"/>
  <c r="AY65" i="2"/>
  <c r="AF61" i="2"/>
  <c r="AA25" i="2"/>
  <c r="AF22" i="2"/>
  <c r="F21" i="4" s="1"/>
  <c r="AY23" i="2"/>
  <c r="AF20" i="2"/>
  <c r="C12" i="4"/>
  <c r="BC20" i="2"/>
  <c r="O44" i="4"/>
  <c r="AF85" i="2"/>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13" i="4" l="1"/>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BS41" i="2" s="1"/>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E20" i="2" s="1"/>
  <c r="BT42" i="2"/>
  <c r="E76" i="2" s="1"/>
  <c r="BT9" i="2"/>
  <c r="E8" i="2" s="1"/>
  <c r="BT37" i="2"/>
  <c r="F61" i="2" s="1"/>
  <c r="BT8" i="2"/>
  <c r="F9" i="2" s="1"/>
  <c r="BT18" i="2"/>
  <c r="E28" i="2" s="1"/>
  <c r="BT11" i="2"/>
  <c r="BT25" i="2"/>
  <c r="F37" i="2" s="1"/>
  <c r="BT39" i="2"/>
  <c r="F68" i="2" s="1"/>
  <c r="BT52" i="2"/>
  <c r="E93" i="2" s="1"/>
  <c r="BT16" i="2"/>
  <c r="E21" i="2" s="1"/>
  <c r="BT32" i="2"/>
  <c r="E53" i="2" s="1"/>
  <c r="BT17" i="2"/>
  <c r="F21" i="2" s="1"/>
  <c r="BT35" i="2"/>
  <c r="F60" i="2" s="1"/>
  <c r="BT26" i="2"/>
  <c r="E44" i="2" s="1"/>
  <c r="BT50" i="2"/>
  <c r="E92" i="2" s="1"/>
  <c r="BT30" i="2"/>
  <c r="E52" i="2" s="1"/>
  <c r="BT34" i="2"/>
  <c r="E60" i="2" s="1"/>
  <c r="BT7" i="2"/>
  <c r="E9" i="2" s="1"/>
  <c r="BT27" i="2"/>
  <c r="F44" i="2" s="1"/>
  <c r="BT28" i="2"/>
  <c r="E45" i="2" s="1"/>
  <c r="BT48" i="2"/>
  <c r="E85" i="2" s="1"/>
  <c r="BT20" i="2"/>
  <c r="E29" i="2" s="1"/>
  <c r="BT24" i="2"/>
  <c r="E37" i="2" s="1"/>
  <c r="BT13" i="2"/>
  <c r="BT23" i="2"/>
  <c r="F36" i="2" s="1"/>
  <c r="BT22" i="2"/>
  <c r="E36" i="2" s="1"/>
  <c r="BT31" i="2"/>
  <c r="F52" i="2" s="1"/>
  <c r="BT49" i="2"/>
  <c r="F85" i="2" s="1"/>
  <c r="BT21" i="2"/>
  <c r="F29" i="2" s="1"/>
  <c r="BT15" i="2"/>
  <c r="F20" i="2" s="1"/>
  <c r="BT45" i="2"/>
  <c r="F77" i="2" s="1"/>
  <c r="BT33" i="2"/>
  <c r="F53" i="2" s="1"/>
  <c r="BT12" i="2"/>
  <c r="BT6" i="2"/>
  <c r="F8" i="2" s="1"/>
  <c r="BT10" i="2"/>
  <c r="BT46" i="2"/>
  <c r="E84" i="2" s="1"/>
  <c r="BT19" i="2"/>
  <c r="F28" i="2" s="1"/>
  <c r="BT29" i="2"/>
  <c r="F45" i="2" s="1"/>
  <c r="BT53" i="2"/>
  <c r="F93" i="2" s="1"/>
  <c r="BT36" i="2"/>
  <c r="E61" i="2" s="1"/>
  <c r="E13" i="2" l="1"/>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H15" i="2" s="1"/>
  <c r="BZ8" i="2"/>
  <c r="BZ28" i="2"/>
  <c r="BZ37" i="2"/>
  <c r="BZ52" i="2"/>
  <c r="BZ13" i="2"/>
  <c r="H14" i="2" s="1"/>
  <c r="BZ35" i="2"/>
  <c r="BZ18" i="2"/>
  <c r="BZ43" i="2"/>
  <c r="BZ11" i="2"/>
  <c r="I14" i="2" s="1"/>
  <c r="BZ14" i="2"/>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C36"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L14" i="2" s="1"/>
  <c r="CE15" i="2"/>
  <c r="CE32" i="2"/>
  <c r="CE8" i="2"/>
  <c r="L9" i="2" s="1"/>
  <c r="CE31" i="2"/>
  <c r="CE45" i="2"/>
  <c r="CE12" i="2"/>
  <c r="L15" i="2" s="1"/>
  <c r="CE22" i="2"/>
  <c r="CE37" i="2"/>
  <c r="CE9" i="2"/>
  <c r="CE49" i="2"/>
  <c r="CE28" i="2"/>
  <c r="CE21" i="2"/>
  <c r="CE48" i="2"/>
  <c r="CE10" i="2"/>
  <c r="K15" i="2" s="1"/>
  <c r="CE13" i="2"/>
  <c r="K14" i="2" s="1"/>
  <c r="CE40" i="2"/>
  <c r="CE38" i="2"/>
  <c r="CE35" i="2"/>
  <c r="CE16" i="2"/>
  <c r="CE26" i="2"/>
  <c r="CE19" i="2"/>
  <c r="CE18" i="2"/>
  <c r="CE41" i="2"/>
  <c r="CE43" i="2"/>
  <c r="CE14" i="2"/>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H34" i="2"/>
  <c r="CH16" i="2"/>
  <c r="CI16" i="2" s="1"/>
  <c r="CH44" i="2"/>
  <c r="CH25" i="2"/>
  <c r="CH8" i="2"/>
  <c r="O9" i="2" s="1"/>
  <c r="CH45" i="2"/>
  <c r="CH18" i="2"/>
  <c r="CK18" i="2" s="1"/>
  <c r="CH23" i="2"/>
  <c r="O36" i="2" s="1"/>
  <c r="CH47" i="2"/>
  <c r="CH32" i="2"/>
  <c r="CH43" i="2"/>
  <c r="CH49" i="2"/>
  <c r="CH14" i="2"/>
  <c r="CH38" i="2"/>
  <c r="N68" i="2" s="1"/>
  <c r="CH36" i="2"/>
  <c r="CH46" i="2"/>
  <c r="CH48" i="2"/>
  <c r="CH24" i="2"/>
  <c r="CH31" i="2"/>
  <c r="CH12" i="2"/>
  <c r="O15" i="2" s="1"/>
  <c r="CH37" i="2"/>
  <c r="CH35" i="2"/>
  <c r="CH53" i="2"/>
  <c r="CK41" i="2"/>
  <c r="CH17" i="2"/>
  <c r="CH19" i="2"/>
  <c r="CH52" i="2"/>
  <c r="N93" i="2" s="1"/>
  <c r="CH51" i="2"/>
  <c r="CH9" i="2"/>
  <c r="O5" i="2" s="1"/>
  <c r="CH30" i="2"/>
  <c r="CH13" i="2"/>
  <c r="N14" i="2" s="1"/>
  <c r="CH42" i="2"/>
  <c r="CH27" i="2"/>
  <c r="CH40" i="2"/>
  <c r="N69" i="2" s="1"/>
  <c r="N9" i="2"/>
  <c r="CH26" i="2"/>
  <c r="N44" i="2" s="1"/>
  <c r="CH11" i="2"/>
  <c r="CH33" i="2"/>
  <c r="O53" i="2" s="1"/>
  <c r="CH22" i="2"/>
  <c r="N36" i="2" s="1"/>
  <c r="CH21" i="2"/>
  <c r="O29" i="2" s="1"/>
  <c r="CH15" i="2"/>
  <c r="CH10" i="2"/>
  <c r="CH39" i="2"/>
  <c r="O68" i="2" s="1"/>
  <c r="CH29" i="2"/>
  <c r="O45" i="2" s="1"/>
  <c r="CH20" i="2"/>
  <c r="CH50" i="2"/>
  <c r="N92" i="2" s="1"/>
  <c r="N7" i="2"/>
  <c r="O8" i="2"/>
  <c r="CJ28" i="2"/>
  <c r="O7" i="2" l="1"/>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1" i="2" l="1"/>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Q28" i="2" s="1"/>
  <c r="CN33" i="2"/>
  <c r="R53" i="2" s="1"/>
  <c r="CN30" i="2"/>
  <c r="Q52" i="2" s="1"/>
  <c r="CN28" i="2"/>
  <c r="Q45" i="2" s="1"/>
  <c r="CN36" i="2"/>
  <c r="Q61" i="2" s="1"/>
  <c r="CN24" i="2"/>
  <c r="Q37" i="2" s="1"/>
  <c r="CN48" i="2"/>
  <c r="Q85" i="2" s="1"/>
  <c r="CN34" i="2"/>
  <c r="Q60" i="2" s="1"/>
  <c r="CN13" i="2"/>
  <c r="CN51" i="2"/>
  <c r="R92" i="2" s="1"/>
  <c r="CN43" i="2"/>
  <c r="R76" i="2" s="1"/>
  <c r="CN15" i="2"/>
  <c r="R20" i="2" s="1"/>
  <c r="CN14" i="2"/>
  <c r="Q20" i="2" s="1"/>
  <c r="CN40" i="2"/>
  <c r="Q69" i="2" s="1"/>
  <c r="CN26" i="2"/>
  <c r="Q44" i="2" s="1"/>
  <c r="CN31" i="2"/>
  <c r="R52" i="2" s="1"/>
  <c r="CN38" i="2"/>
  <c r="Q68" i="2" s="1"/>
  <c r="CN21" i="2"/>
  <c r="R29" i="2" s="1"/>
  <c r="CN23" i="2"/>
  <c r="R36" i="2" s="1"/>
  <c r="CN17" i="2"/>
  <c r="R21" i="2" s="1"/>
  <c r="CN20" i="2"/>
  <c r="Q29" i="2" s="1"/>
  <c r="CN35" i="2"/>
  <c r="R60" i="2" s="1"/>
  <c r="CN44" i="2"/>
  <c r="Q77" i="2" s="1"/>
  <c r="CN25" i="2"/>
  <c r="R37" i="2" s="1"/>
  <c r="CN39" i="2"/>
  <c r="R68" i="2" s="1"/>
  <c r="CN52" i="2"/>
  <c r="Q93" i="2" s="1"/>
  <c r="CN47" i="2"/>
  <c r="R84" i="2" s="1"/>
  <c r="CN50" i="2"/>
  <c r="Q92" i="2" s="1"/>
  <c r="CN16" i="2"/>
  <c r="Q21" i="2" s="1"/>
  <c r="CN12" i="2"/>
  <c r="CN22" i="2"/>
  <c r="Q36" i="2" s="1"/>
  <c r="CN19" i="2"/>
  <c r="R28" i="2" s="1"/>
  <c r="CN49" i="2"/>
  <c r="R85" i="2" s="1"/>
  <c r="CN41" i="2"/>
  <c r="R69" i="2" s="1"/>
  <c r="CN8" i="2"/>
  <c r="CN9" i="2"/>
  <c r="CN10" i="2"/>
  <c r="CN6" i="2"/>
  <c r="Q4" i="2" s="1"/>
  <c r="CN7" i="2"/>
  <c r="R4" i="2" s="1"/>
  <c r="CN46" i="2"/>
  <c r="Q84" i="2" s="1"/>
  <c r="CN11" i="2"/>
  <c r="Q12" i="2" l="1"/>
  <c r="Q15" i="2"/>
  <c r="Q13" i="2"/>
  <c r="R15" i="2"/>
  <c r="R12" i="2"/>
  <c r="R14" i="2"/>
  <c r="R13" i="2"/>
  <c r="Q14" i="2"/>
  <c r="CP42" i="2"/>
  <c r="Q76" i="2"/>
  <c r="CP29" i="2"/>
  <c r="R45" i="2"/>
  <c r="CP27" i="2"/>
  <c r="R44" i="2"/>
  <c r="CP26" i="2" s="1"/>
  <c r="CO42" i="2"/>
  <c r="CO29" i="2"/>
  <c r="CQ29" i="2" s="1"/>
  <c r="CO27" i="2"/>
  <c r="CO30" i="2"/>
  <c r="CP30" i="2"/>
  <c r="CP38" i="2"/>
  <c r="CO38" i="2"/>
  <c r="R8" i="2"/>
  <c r="Q7" i="2"/>
  <c r="CP10" i="2"/>
  <c r="CO10" i="2"/>
  <c r="CP40" i="2"/>
  <c r="CO40" i="2"/>
  <c r="Q8" i="2"/>
  <c r="R5" i="2"/>
  <c r="CO8" i="2" s="1"/>
  <c r="Q6" i="2"/>
  <c r="CP7" i="2" s="1"/>
  <c r="CP39" i="2"/>
  <c r="CO39" i="2"/>
  <c r="CP14" i="2"/>
  <c r="CO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O7" i="2" l="1"/>
  <c r="CQ7" i="2" s="1"/>
  <c r="CO26" i="2"/>
  <c r="CQ26" i="2" s="1"/>
  <c r="CQ42" i="2"/>
  <c r="CQ27" i="2"/>
  <c r="CP8" i="2"/>
  <c r="CQ8" i="2" s="1"/>
  <c r="CP6" i="2"/>
  <c r="CQ6" i="2" s="1"/>
  <c r="CQ16" i="2"/>
  <c r="CQ30" i="2"/>
  <c r="CQ36" i="2"/>
  <c r="CQ31" i="2"/>
  <c r="CQ37" i="2"/>
  <c r="CQ11" i="2"/>
  <c r="CQ10" i="2"/>
  <c r="CQ49" i="2"/>
  <c r="CQ53" i="2"/>
  <c r="CQ48" i="2"/>
  <c r="CQ17" i="2"/>
  <c r="CQ52"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U15" i="2" s="1"/>
  <c r="CS34" i="2"/>
  <c r="CS16" i="2"/>
  <c r="CS10" i="2"/>
  <c r="T15" i="2" s="1"/>
  <c r="CS9" i="2"/>
  <c r="T6" i="2" s="1"/>
  <c r="CS40" i="2"/>
  <c r="CS6" i="2"/>
  <c r="T7" i="2" s="1"/>
  <c r="CS11" i="2"/>
  <c r="U14" i="2" s="1"/>
  <c r="CS27" i="2"/>
  <c r="CS46" i="2"/>
  <c r="CS42" i="2"/>
  <c r="CS25" i="2"/>
  <c r="CS19" i="2"/>
  <c r="CS33" i="2"/>
  <c r="CS13" i="2"/>
  <c r="T14" i="2" s="1"/>
  <c r="CS37" i="2"/>
  <c r="CS36" i="2"/>
  <c r="CS51" i="2"/>
  <c r="CS50" i="2"/>
  <c r="CS45" i="2"/>
  <c r="CS24" i="2"/>
  <c r="CS47" i="2"/>
  <c r="CS43" i="2"/>
  <c r="CS35" i="2"/>
  <c r="CS22" i="2"/>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<sst xmlns="http://schemas.openxmlformats.org/spreadsheetml/2006/main" count="6754" uniqueCount="1516">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</sst>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V10" sqref="AV1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30"/>
      <c r="D3" s="630"/>
      <c r="E3" s="630"/>
      <c r="F3" s="630"/>
      <c r="G3" s="630"/>
      <c r="H3" s="630"/>
      <c r="I3" s="630"/>
      <c r="J3" s="630"/>
      <c r="K3" s="630"/>
      <c r="L3" s="63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30"/>
      <c r="G16" s="630"/>
      <c r="H16" s="630"/>
      <c r="I16" s="63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3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V10" sqref="AV1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30"/>
      <c r="Y1" s="630"/>
      <c r="Z1" s="630"/>
      <c r="AA1" s="630"/>
      <c r="AB1" s="630"/>
      <c r="AC1" s="630"/>
      <c r="AD1" s="630"/>
      <c r="AE1" s="630"/>
      <c r="AF1" s="63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34"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22"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P.2 (2)</v>
      </c>
      <c r="BU14" s="16">
        <f t="shared" ca="1" si="28"/>
        <v>0</v>
      </c>
      <c r="BV14" s="16">
        <f t="shared" ca="1" si="29"/>
        <v>1</v>
      </c>
      <c r="BW14" s="16">
        <f t="shared" ca="1" si="30"/>
        <v>0</v>
      </c>
      <c r="BX14" s="16">
        <f t="shared" ca="1" si="31"/>
        <v>1</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P.2 (2)</v>
      </c>
      <c r="CA14" s="16">
        <f t="shared" ca="1" si="32"/>
        <v>1</v>
      </c>
      <c r="CB14" s="16">
        <f t="shared" ca="1" si="33"/>
        <v>1</v>
      </c>
      <c r="CC14" s="16">
        <f t="shared" ca="1" si="34"/>
        <v>0</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P.2 (2)</v>
      </c>
      <c r="CF14" s="16">
        <f t="shared" ca="1" si="35"/>
        <v>1</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P.2 (2)</v>
      </c>
      <c r="CI14" s="16">
        <f t="shared" ca="1" si="36"/>
        <v>0</v>
      </c>
      <c r="CJ14" s="16">
        <f t="shared" ca="1" si="37"/>
        <v>1</v>
      </c>
      <c r="CK14" s="16">
        <f t="shared" ca="1" si="38"/>
        <v>0</v>
      </c>
      <c r="CL14" s="16">
        <f t="shared" ca="1" si="39"/>
        <v>1</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P.2 (2)</v>
      </c>
      <c r="CO14" s="16">
        <f t="shared" ca="1" si="40"/>
        <v>1</v>
      </c>
      <c r="CP14" s="16">
        <f t="shared" ca="1" si="41"/>
        <v>1</v>
      </c>
      <c r="CQ14" s="16">
        <f t="shared" ca="1" si="42"/>
        <v>0</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P.2 (2)</v>
      </c>
      <c r="CT14" s="16">
        <f t="shared" ca="1" si="43"/>
        <v>1</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P.2 (2)</v>
      </c>
      <c r="CW14" s="16">
        <f t="shared" ca="1" si="44"/>
        <v>0</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P.2 (2)</v>
      </c>
      <c r="CZ14" s="16">
        <f t="shared" ca="1" si="45"/>
        <v>1</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P.2 (2)</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2</v>
      </c>
      <c r="DE14" s="16"/>
      <c r="DF14" s="16">
        <f t="shared" ca="1" si="46"/>
        <v>2</v>
      </c>
      <c r="DG14" s="16">
        <f ca="1">IF(DB14="-","-",COUNTIFS(DF$6:DF$53,"&lt;"&amp;DF14,$BC$6:$BC$53,INDEX(T_Equipos[Grupo],MATCH(BD14,T_Equipos[NombreEquipo],0))))</f>
        <v>1</v>
      </c>
      <c r="DH14" s="16">
        <f ca="1">DA14+COUNTIFS(DB$6:DB$53,DB14,DG$6:DG$53,"&lt;"&amp;DG14,$BC$6:$BC$53,INDEX(T_Equipos[Grupo],MATCH(BD14,T_Equipos[NombreEquipo],0)))</f>
        <v>2</v>
      </c>
      <c r="DI14" s="16"/>
      <c r="DJ14" s="16">
        <f t="shared" ca="1" si="47"/>
        <v>1</v>
      </c>
      <c r="DK14" s="16">
        <f t="shared" ca="1" si="48"/>
        <v>4</v>
      </c>
      <c r="DL14" s="16">
        <f t="shared" ca="1" si="49"/>
        <v>1</v>
      </c>
      <c r="DM14" s="16" t="str">
        <f t="shared" ca="1" si="50"/>
        <v>1.1</v>
      </c>
      <c r="DN14" s="16">
        <f t="array" aca="1" ref="DN14" ca="1">OFFSET(Horarios!$P$3,DJ14-1,0,DL14,1)</f>
        <v>1</v>
      </c>
      <c r="DO14" s="16"/>
      <c r="DP14" s="16" t="s">
        <v>79</v>
      </c>
      <c r="DQ14" s="16" t="str">
        <f t="shared" ca="1" si="51"/>
        <v>Escocia</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1</v>
      </c>
      <c r="BF15" s="16">
        <f t="shared" ca="1" si="17"/>
        <v>1</v>
      </c>
      <c r="BG15" s="16">
        <f t="shared" ca="1" si="18"/>
        <v>0</v>
      </c>
      <c r="BH15" s="16">
        <f t="shared" ca="1" si="19"/>
        <v>1</v>
      </c>
      <c r="BI15" s="16">
        <f t="shared" ca="1" si="20"/>
        <v>0</v>
      </c>
      <c r="BJ15" s="16">
        <f t="shared" ca="1" si="21"/>
        <v>1</v>
      </c>
      <c r="BK15" s="16">
        <f t="shared" ca="1" si="22"/>
        <v>1</v>
      </c>
      <c r="BL15" s="16">
        <f t="shared" ca="1" si="23"/>
        <v>0</v>
      </c>
      <c r="BM15" s="16" t="str">
        <f t="shared" ca="1" si="24"/>
        <v>3C</v>
      </c>
      <c r="BN15" s="16" t="str">
        <f t="shared" ca="1" si="25"/>
        <v>3C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1</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P.2 (2)</v>
      </c>
      <c r="BU15" s="16">
        <f t="shared" ca="1" si="28"/>
        <v>0</v>
      </c>
      <c r="BV15" s="16">
        <f t="shared" ca="1" si="29"/>
        <v>1</v>
      </c>
      <c r="BW15" s="16">
        <f t="shared" ca="1" si="30"/>
        <v>0</v>
      </c>
      <c r="BX15" s="16">
        <f t="shared" ca="1" si="31"/>
        <v>1</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P.2 (2)</v>
      </c>
      <c r="CA15" s="16">
        <f t="shared" ca="1" si="32"/>
        <v>1</v>
      </c>
      <c r="CB15" s="16">
        <f t="shared" ca="1" si="33"/>
        <v>1</v>
      </c>
      <c r="CC15" s="16">
        <f t="shared" ca="1" si="34"/>
        <v>0</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P.2 (2)</v>
      </c>
      <c r="CF15" s="16">
        <f t="shared" ca="1" si="35"/>
        <v>1</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P.2 (2)</v>
      </c>
      <c r="CI15" s="16">
        <f t="shared" ca="1" si="36"/>
        <v>0</v>
      </c>
      <c r="CJ15" s="16">
        <f t="shared" ca="1" si="37"/>
        <v>1</v>
      </c>
      <c r="CK15" s="16">
        <f t="shared" ca="1" si="38"/>
        <v>0</v>
      </c>
      <c r="CL15" s="16">
        <f t="shared" ca="1" si="39"/>
        <v>1</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P.2 (2)</v>
      </c>
      <c r="CO15" s="16">
        <f t="shared" ca="1" si="40"/>
        <v>1</v>
      </c>
      <c r="CP15" s="16">
        <f t="shared" ca="1" si="41"/>
        <v>1</v>
      </c>
      <c r="CQ15" s="16">
        <f t="shared" ca="1" si="42"/>
        <v>0</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P.2 (2)</v>
      </c>
      <c r="CT15" s="16">
        <f t="shared" ca="1" si="43"/>
        <v>1</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P.2 (2)</v>
      </c>
      <c r="CW15" s="16">
        <f t="shared" ca="1" si="44"/>
        <v>0</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P.2 (2)</v>
      </c>
      <c r="CZ15" s="16">
        <f t="shared" ca="1" si="45"/>
        <v>1</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P.2 (2)</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3</v>
      </c>
      <c r="DE15" s="16"/>
      <c r="DF15" s="16">
        <f t="shared" ca="1" si="46"/>
        <v>3</v>
      </c>
      <c r="DG15" s="16">
        <f ca="1">IF(DB15="-","-",COUNTIFS(DF$6:DF$53,"&lt;"&amp;DF15,$BC$6:$BC$53,INDEX(T_Equipos[Grupo],MATCH(BD15,T_Equipos[NombreEquipo],0))))</f>
        <v>2</v>
      </c>
      <c r="DH15" s="16">
        <f ca="1">DA15+COUNTIFS(DB$6:DB$53,DB15,DG$6:DG$53,"&lt;"&amp;DG15,$BC$6:$BC$53,INDEX(T_Equipos[Grupo],MATCH(BD15,T_Equipos[NombreEquipo],0)))</f>
        <v>3</v>
      </c>
      <c r="DI15" s="16"/>
      <c r="DJ15" s="16">
        <f t="shared" ca="1" si="47"/>
        <v>2</v>
      </c>
      <c r="DK15" s="16">
        <f t="shared" ca="1" si="48"/>
        <v>4</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2</v>
      </c>
      <c r="DK16" s="16">
        <f t="shared" ca="1" si="48"/>
        <v>4</v>
      </c>
      <c r="DL16" s="16">
        <f t="shared" ca="1" si="49"/>
        <v>1</v>
      </c>
      <c r="DM16" s="16" t="str">
        <f t="shared" ca="1" si="50"/>
        <v>2.1</v>
      </c>
      <c r="DN16" s="16">
        <f t="array" aca="1" ref="DN16" ca="1">OFFSET(Horarios!$P$3,DJ16-1,0,DL16,1)</f>
        <v>2</v>
      </c>
      <c r="DO16" s="16"/>
      <c r="DP16" s="16" t="s">
        <v>81</v>
      </c>
      <c r="DQ16" s="16" t="str">
        <f t="shared" ca="1" si="51"/>
        <v>Marruecos</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1</v>
      </c>
      <c r="BG17" s="16">
        <f t="shared" ca="1" si="18"/>
        <v>1</v>
      </c>
      <c r="BH17" s="16">
        <f t="shared" ca="1" si="19"/>
        <v>0</v>
      </c>
      <c r="BI17" s="16">
        <f t="shared" ca="1" si="20"/>
        <v>0</v>
      </c>
      <c r="BJ17" s="16">
        <f t="shared" ca="1" si="21"/>
        <v>1</v>
      </c>
      <c r="BK17" s="16">
        <f t="shared" ca="1" si="22"/>
        <v>0</v>
      </c>
      <c r="BL17" s="16">
        <f t="shared" ca="1" si="23"/>
        <v>1</v>
      </c>
      <c r="BM17" s="16" t="str">
        <f t="shared" ca="1" si="24"/>
        <v>1C</v>
      </c>
      <c r="BN17" s="16" t="str">
        <f t="shared" ca="1" si="25"/>
        <v>1C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1</v>
      </c>
      <c r="DE17" s="16"/>
      <c r="DF17" s="16">
        <f t="shared" ca="1" si="46"/>
        <v>1</v>
      </c>
      <c r="DG17" s="16" t="str">
        <f ca="1">IF(DB17="-","-",COUNTIFS(DF$6:DF$53,"&lt;"&amp;DF17,$BC$6:$BC$53,INDEX(T_Equipos[Grupo],MATCH(BD17,T_Equipos[NombreEquipo],0))))</f>
        <v>-</v>
      </c>
      <c r="DH17" s="16">
        <f ca="1">DA17+COUNTIFS(DB$6:DB$53,DB17,DG$6:DG$53,"&lt;"&amp;DG17,$BC$6:$BC$53,INDEX(T_Equipos[Grupo],MATCH(BD17,T_Equipos[NombreEquipo],0)))</f>
        <v>1</v>
      </c>
      <c r="DI17" s="16"/>
      <c r="DJ17" s="16">
        <f t="shared" ca="1" si="47"/>
        <v>4</v>
      </c>
      <c r="DK17" s="16">
        <f t="shared" ca="1" si="48"/>
        <v>4</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3</v>
      </c>
      <c r="BF18" s="16">
        <f t="shared" ca="1" si="17"/>
        <v>1</v>
      </c>
      <c r="BG18" s="16">
        <f t="shared" ca="1" si="18"/>
        <v>1</v>
      </c>
      <c r="BH18" s="16">
        <f t="shared" ca="1" si="19"/>
        <v>0</v>
      </c>
      <c r="BI18" s="16">
        <f t="shared" ca="1" si="20"/>
        <v>0</v>
      </c>
      <c r="BJ18" s="16">
        <f t="shared" ca="1" si="21"/>
        <v>4</v>
      </c>
      <c r="BK18" s="16">
        <f t="shared" ca="1" si="22"/>
        <v>1</v>
      </c>
      <c r="BL18" s="16">
        <f t="shared" ca="1" si="23"/>
        <v>3</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3</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(2)</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(2)</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(2)</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(2)</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(2)</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(2)</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(2)</v>
      </c>
      <c r="CW18" s="16">
        <f t="shared" ca="1" si="44"/>
        <v>3</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4</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4</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P.2 (2)</v>
      </c>
      <c r="F20" s="16" t="str">
        <f t="shared" ref="F20:F25" ca="1" si="70">IF(D20="Pendiente","-",INDEX($BT$6:$BT$53,MATCH($AF20,$BD$6:$BD$53,0)))</f>
        <v>P.2 (2)</v>
      </c>
      <c r="G20" s="16"/>
      <c r="H20" s="16" t="str">
        <f t="shared" ref="H20:H25" ca="1" si="71">IF(D20="Pendiente","-",INDEX($BZ$6:$BZ$53,MATCH($AA20,$BD$6:$BD$53,0)))</f>
        <v>P.2 (2)</v>
      </c>
      <c r="I20" s="16" t="str">
        <f t="shared" ref="I20:I25" ca="1" si="72">IF(D20="Pendiente","-",INDEX($BZ$6:$BZ$53,MATCH($AF20,$BD$6:$BD$53,0)))</f>
        <v>P.2 (2)</v>
      </c>
      <c r="J20" s="16"/>
      <c r="K20" s="16" t="str">
        <f t="shared" ref="K20:K25" ca="1" si="73">IF(D20="Pendiente","-",INDEX($CE$6:$CE$53,MATCH($AA20,$BD$6:$BD$53,0)))</f>
        <v>P.2 (2)</v>
      </c>
      <c r="L20" s="16" t="str">
        <f t="shared" ref="L20:L25" ca="1" si="74">IF(D20="Pendiente","-",INDEX($CE$6:$CE$53,MATCH($AF20,$BD$6:$BD$53,0)))</f>
        <v>P.2 (2)</v>
      </c>
      <c r="M20" s="16"/>
      <c r="N20" s="16" t="str">
        <f t="shared" ref="N20:N25" ca="1" si="75">IF(D20="Pendiente","-",INDEX($CH$6:$CH$53,MATCH($AA20,$BD$6:$BD$53,0)))</f>
        <v>P.2 (2)</v>
      </c>
      <c r="O20" s="16" t="str">
        <f t="shared" ref="O20:O25" ca="1" si="76">IF(D20="Pendiente","-",INDEX($CH$6:$CH$53,MATCH($AF20,$BD$6:$BD$53,0)))</f>
        <v>P.2 (2)</v>
      </c>
      <c r="P20" s="16"/>
      <c r="Q20" s="16" t="str">
        <f t="shared" ref="Q20:Q25" ca="1" si="77">IF(D20="Pendiente","-",INDEX($CN$6:$CN$53,MATCH($AA20,$BD$6:$BD$53,0)))</f>
        <v>P.2 (2)</v>
      </c>
      <c r="R20" s="16" t="str">
        <f t="shared" ref="R20:R25" ca="1" si="78">IF(D20="Pendiente","-",INDEX($CN$6:$CN$53,MATCH($AF20,$BD$6:$BD$53,0)))</f>
        <v>P.2 (2)</v>
      </c>
      <c r="S20" s="16"/>
      <c r="T20" s="16" t="str">
        <f t="shared" ref="T20:T25" ca="1" si="79">IF(D20="Pendiente","-",INDEX($CS$6:$CS$53,MATCH($AA20,$BD$6:$BD$53,0)))</f>
        <v>P.2 (2)</v>
      </c>
      <c r="U20" s="16" t="str">
        <f t="shared" ref="U20:U25" ca="1" si="80">IF(D20="Pendiente","-",INDEX($CS$6:$CS$53,MATCH($AF20,$BD$6:$BD$53,0)))</f>
        <v>P.2 (2)</v>
      </c>
      <c r="V20" s="17"/>
      <c r="W20" s="61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1</v>
      </c>
      <c r="BG20" s="16">
        <f t="shared" ca="1" si="18"/>
        <v>1</v>
      </c>
      <c r="BH20" s="16">
        <f t="shared" ca="1" si="19"/>
        <v>0</v>
      </c>
      <c r="BI20" s="16">
        <f t="shared" ca="1" si="20"/>
        <v>0</v>
      </c>
      <c r="BJ20" s="16">
        <f t="shared" ca="1" si="21"/>
        <v>2</v>
      </c>
      <c r="BK20" s="16">
        <f t="shared" ca="1" si="22"/>
        <v>0</v>
      </c>
      <c r="BL20" s="16">
        <f t="shared" ca="1" si="23"/>
        <v>2</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(2)</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(2)</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(2)</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(2)</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(2)</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(2)</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(2)</v>
      </c>
      <c r="CW20" s="16">
        <f t="shared" ca="1" si="44"/>
        <v>2</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4</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4</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Escocia</v>
      </c>
      <c r="AM22" s="35">
        <f t="shared" ref="AM22:AT25" ca="1" si="83">INDEX($BE$6:$BN$53,MATCH($AL22,$BD$6:$BD$53,0),MATCH(AM$5,$BE$5:$BN$5,0))</f>
        <v>3</v>
      </c>
      <c r="AN22" s="36">
        <f t="shared" ca="1" si="83"/>
        <v>1</v>
      </c>
      <c r="AO22" s="36">
        <f t="shared" ca="1" si="83"/>
        <v>1</v>
      </c>
      <c r="AP22" s="36">
        <f t="shared" ca="1" si="83"/>
        <v>0</v>
      </c>
      <c r="AQ22" s="36">
        <f t="shared" ca="1" si="83"/>
        <v>0</v>
      </c>
      <c r="AR22" s="36">
        <f t="shared" ca="1" si="83"/>
        <v>1</v>
      </c>
      <c r="AS22" s="36">
        <f t="shared" ca="1" si="83"/>
        <v>0</v>
      </c>
      <c r="AT22" s="41">
        <f t="shared" ca="1" si="83"/>
        <v>1</v>
      </c>
      <c r="AU22" s="323">
        <f ca="1">INDEX($DL$6:$DL$53,MATCH(AI22,$DP$6:$DP$53,0))</f>
        <v>1</v>
      </c>
      <c r="AV22" s="182" t="str">
        <f ca="1">INDEX($BD$6:$BD$53,MATCH(AI22,$BM$6:$BM$53,0))</f>
        <v>Escocia</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Brasil</v>
      </c>
      <c r="AM23" s="38">
        <f t="shared" ca="1" si="83"/>
        <v>1</v>
      </c>
      <c r="AN23" s="39">
        <f t="shared" ca="1" si="83"/>
        <v>1</v>
      </c>
      <c r="AO23" s="39">
        <f t="shared" ca="1" si="83"/>
        <v>0</v>
      </c>
      <c r="AP23" s="39">
        <f t="shared" ca="1" si="83"/>
        <v>1</v>
      </c>
      <c r="AQ23" s="39">
        <f t="shared" ca="1" si="83"/>
        <v>0</v>
      </c>
      <c r="AR23" s="39">
        <f t="shared" ca="1" si="83"/>
        <v>1</v>
      </c>
      <c r="AS23" s="39">
        <f t="shared" ca="1" si="83"/>
        <v>1</v>
      </c>
      <c r="AT23" s="43">
        <f t="shared" ca="1" si="83"/>
        <v>0</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Marruecos</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Marruecos</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P.1 (2)</v>
      </c>
      <c r="F28" s="16" t="str">
        <f t="shared" ref="F28:F33" ca="1" si="86">IF(D28="Pendiente","-",INDEX($BT$6:$BT$53,MATCH($AF28,$BD$6:$BD$53,0)))</f>
        <v>P.3 (2)</v>
      </c>
      <c r="G28" s="16"/>
      <c r="H28" s="16" t="str">
        <f t="shared" ref="H28:H33" ca="1" si="87">IF(D28="Pendiente","-",INDEX($BZ$6:$BZ$53,MATCH($AA28,$BD$6:$BD$53,0)))</f>
        <v>P.1 (2)</v>
      </c>
      <c r="I28" s="16" t="str">
        <f t="shared" ref="I28:I33" ca="1" si="88">IF(D28="Pendiente","-",INDEX($BZ$6:$BZ$53,MATCH($AF28,$BD$6:$BD$53,0)))</f>
        <v>P.3 (2)</v>
      </c>
      <c r="J28" s="16"/>
      <c r="K28" s="16" t="str">
        <f t="shared" ref="K28:K33" ca="1" si="89">IF(D28="Pendiente","-",INDEX($CE$6:$CE$53,MATCH($AA28,$BD$6:$BD$53,0)))</f>
        <v>P.1 (2)</v>
      </c>
      <c r="L28" s="16" t="str">
        <f t="shared" ref="L28:L33" ca="1" si="90">IF(D28="Pendiente","-",INDEX($CE$6:$CE$53,MATCH($AF28,$BD$6:$BD$53,0)))</f>
        <v>P.3 (2)</v>
      </c>
      <c r="M28" s="16"/>
      <c r="N28" s="16" t="str">
        <f t="shared" ref="N28:N33" ca="1" si="91">IF(D28="Pendiente","-",INDEX($CH$6:$CH$53,MATCH($AA28,$BD$6:$BD$53,0)))</f>
        <v>P.1 (2)</v>
      </c>
      <c r="O28" s="16" t="str">
        <f t="shared" ref="O28:O33" ca="1" si="92">IF(D28="Pendiente","-",INDEX($CH$6:$CH$53,MATCH($AF28,$BD$6:$BD$53,0)))</f>
        <v>P.3 (2)</v>
      </c>
      <c r="P28" s="16"/>
      <c r="Q28" s="16" t="str">
        <f t="shared" ref="Q28:Q33" ca="1" si="93">IF(D28="Pendiente","-",INDEX($CN$6:$CN$53,MATCH($AA28,$BD$6:$BD$53,0)))</f>
        <v>P.1 (2)</v>
      </c>
      <c r="R28" s="16" t="str">
        <f t="shared" ref="R28:R33" ca="1" si="94">IF(D28="Pendiente","-",INDEX($CN$6:$CN$53,MATCH($AF28,$BD$6:$BD$53,0)))</f>
        <v>P.3 (2)</v>
      </c>
      <c r="S28" s="16"/>
      <c r="T28" s="16" t="str">
        <f t="shared" ref="T28:T33" ca="1" si="95">IF(D28="Pendiente","-",INDEX($CS$6:$CS$53,MATCH($AA28,$BD$6:$BD$53,0)))</f>
        <v>P.1 (2)</v>
      </c>
      <c r="U28" s="16" t="str">
        <f t="shared" ref="U28:U33" ca="1" si="96">IF(D28="Pendiente","-",INDEX($CS$6:$CS$53,MATCH($AF28,$BD$6:$BD$53,0)))</f>
        <v>P.3 (2)</v>
      </c>
      <c r="V28" s="17"/>
      <c r="W28" s="633"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P.1 (2)</v>
      </c>
      <c r="F29" s="16" t="str">
        <f t="shared" ca="1" si="86"/>
        <v>P.3 (2)</v>
      </c>
      <c r="G29" s="16"/>
      <c r="H29" s="16" t="str">
        <f t="shared" ca="1" si="87"/>
        <v>P.1 (2)</v>
      </c>
      <c r="I29" s="16" t="str">
        <f t="shared" ca="1" si="88"/>
        <v>P.3 (2)</v>
      </c>
      <c r="J29" s="16"/>
      <c r="K29" s="16" t="str">
        <f t="shared" ca="1" si="89"/>
        <v>P.1 (2)</v>
      </c>
      <c r="L29" s="16" t="str">
        <f t="shared" ca="1" si="90"/>
        <v>P.3 (2)</v>
      </c>
      <c r="M29" s="16"/>
      <c r="N29" s="16" t="str">
        <f t="shared" ca="1" si="91"/>
        <v>P.1 (2)</v>
      </c>
      <c r="O29" s="16" t="str">
        <f t="shared" ca="1" si="92"/>
        <v>P.3 (2)</v>
      </c>
      <c r="P29" s="16"/>
      <c r="Q29" s="16" t="str">
        <f t="shared" ca="1" si="93"/>
        <v>P.1 (2)</v>
      </c>
      <c r="R29" s="16" t="str">
        <f t="shared" ca="1" si="94"/>
        <v>P.3 (2)</v>
      </c>
      <c r="S29" s="16"/>
      <c r="T29" s="16" t="str">
        <f t="shared" ca="1" si="95"/>
        <v>P.1 (2)</v>
      </c>
      <c r="U29" s="16" t="str">
        <f t="shared" ca="1" si="96"/>
        <v>P.3 (2)</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3</v>
      </c>
      <c r="AN30" s="36">
        <f t="shared" ca="1" si="99"/>
        <v>1</v>
      </c>
      <c r="AO30" s="36">
        <f t="shared" ca="1" si="99"/>
        <v>1</v>
      </c>
      <c r="AP30" s="36">
        <f t="shared" ca="1" si="99"/>
        <v>0</v>
      </c>
      <c r="AQ30" s="36">
        <f t="shared" ca="1" si="99"/>
        <v>0</v>
      </c>
      <c r="AR30" s="36">
        <f t="shared" ca="1" si="99"/>
        <v>4</v>
      </c>
      <c r="AS30" s="36">
        <f t="shared" ca="1" si="99"/>
        <v>1</v>
      </c>
      <c r="AT30" s="41">
        <f t="shared" ca="1" si="99"/>
        <v>3</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1</v>
      </c>
      <c r="AO31" s="39">
        <f t="shared" ca="1" si="99"/>
        <v>1</v>
      </c>
      <c r="AP31" s="39">
        <f t="shared" ca="1" si="99"/>
        <v>0</v>
      </c>
      <c r="AQ31" s="39">
        <f t="shared" ca="1" si="99"/>
        <v>0</v>
      </c>
      <c r="AR31" s="39">
        <f t="shared" ca="1" si="99"/>
        <v>2</v>
      </c>
      <c r="AS31" s="39">
        <f t="shared" ca="1" si="99"/>
        <v>0</v>
      </c>
      <c r="AT31" s="43">
        <f t="shared" ca="1" si="99"/>
        <v>2</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7"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40"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35"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1</v>
      </c>
      <c r="BS58" s="16">
        <f t="shared" ref="BS58:BS69" ca="1" si="156">COUNTIFS(BR$58:BR$69,"&gt;"&amp;BR58)+1</f>
        <v>1</v>
      </c>
      <c r="BT58" s="16" t="str">
        <f t="shared" ref="BT58:BT69" ca="1" si="157">IF(COUNTIF(BS$58:BS$69,BS58)=1,"-","Pos. "&amp;BS58&amp;" ("&amp;COUNTIF(BS$58:BS$69,BS58)&amp;")")</f>
        <v>Pos. 1 (7)</v>
      </c>
      <c r="BU58" s="16">
        <f t="shared" ref="BU58:BU69" ca="1" si="158">IF(BT58="-","-",BL58)</f>
        <v>-1</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7</v>
      </c>
      <c r="BN59" s="16">
        <f t="shared" ca="1" si="153"/>
        <v>7</v>
      </c>
      <c r="BO59" s="16" t="str">
        <f t="shared" si="154"/>
        <v>4B</v>
      </c>
      <c r="BP59" s="16"/>
      <c r="BQ59" s="16"/>
      <c r="BR59" s="16">
        <f t="shared" ca="1" si="155"/>
        <v>1</v>
      </c>
      <c r="BS59" s="16">
        <f t="shared" ca="1" si="156"/>
        <v>1</v>
      </c>
      <c r="BT59" s="16" t="str">
        <f t="shared" ca="1" si="157"/>
        <v>Pos. 1 (7)</v>
      </c>
      <c r="BU59" s="16">
        <f t="shared" ca="1" si="158"/>
        <v>-3</v>
      </c>
      <c r="BV59" s="16">
        <f t="shared" ca="1" si="159"/>
        <v>7</v>
      </c>
      <c r="BW59" s="16" t="str">
        <f t="shared" ca="1" si="160"/>
        <v>-</v>
      </c>
      <c r="BX59" s="16" t="str">
        <f t="shared" ca="1" si="161"/>
        <v>-</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8"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Marruecos</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3</v>
      </c>
      <c r="BN60" s="16">
        <f t="shared" ca="1" si="153"/>
        <v>3</v>
      </c>
      <c r="BO60" s="16" t="str">
        <f t="shared" si="154"/>
        <v>4C</v>
      </c>
      <c r="BP60" s="16"/>
      <c r="BQ60" s="16"/>
      <c r="BR60" s="16">
        <f t="shared" ca="1" si="155"/>
        <v>1</v>
      </c>
      <c r="BS60" s="16">
        <f t="shared" ca="1" si="156"/>
        <v>1</v>
      </c>
      <c r="BT60" s="16" t="str">
        <f t="shared" ca="1" si="157"/>
        <v>Pos. 1 (7)</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5</v>
      </c>
      <c r="CB60" s="16">
        <f t="shared" ca="1" si="165"/>
        <v>3</v>
      </c>
      <c r="CC60" s="16"/>
      <c r="CD60" s="16">
        <f t="shared" ca="1" si="166"/>
        <v>3</v>
      </c>
      <c r="CE60" s="16">
        <f t="shared" ca="1" si="167"/>
        <v>2</v>
      </c>
      <c r="CF60" s="16">
        <f t="shared" ca="1" si="168"/>
        <v>3</v>
      </c>
      <c r="DJ60" s="16">
        <f t="shared" ca="1" si="169"/>
        <v>2</v>
      </c>
      <c r="DK60" s="16"/>
      <c r="DL60" s="16">
        <f t="shared" ca="1" si="170"/>
        <v>1</v>
      </c>
      <c r="DM60" s="16" t="str">
        <f t="shared" ca="1" si="171"/>
        <v>2.1</v>
      </c>
      <c r="DN60" s="16">
        <f t="array" aca="1" ref="DN60" ca="1">OFFSET(Horarios!$P$3,DJ60-1,0,DL60,1)</f>
        <v>2</v>
      </c>
      <c r="DO60" s="16"/>
      <c r="DP60" s="16">
        <v>3</v>
      </c>
      <c r="DQ60" s="16" t="str">
        <f t="shared" ca="1" si="172"/>
        <v>Marruecos</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8</v>
      </c>
      <c r="BT61" s="16" t="str">
        <f t="shared" ca="1" si="157"/>
        <v>Pos. 8 (5)</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RD Congo</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0</v>
      </c>
      <c r="BS62" s="16">
        <f t="shared" ca="1" si="156"/>
        <v>8</v>
      </c>
      <c r="BT62" s="16" t="str">
        <f t="shared" ca="1" si="157"/>
        <v>Pos. 8 (5)</v>
      </c>
      <c r="BU62" s="16">
        <f t="shared" ca="1" si="158"/>
        <v>-1</v>
      </c>
      <c r="BV62" s="16">
        <f t="shared" ca="1" si="159"/>
        <v>8</v>
      </c>
      <c r="BW62" s="16" t="str">
        <f t="shared" ca="1" si="160"/>
        <v>Pos. 8 (2)</v>
      </c>
      <c r="BX62" s="16">
        <f t="shared" ca="1" si="161"/>
        <v>0</v>
      </c>
      <c r="BY62" s="16">
        <f t="shared" ca="1" si="162"/>
        <v>8</v>
      </c>
      <c r="BZ62" s="16" t="str">
        <f t="shared" ca="1" si="163"/>
        <v>Pos. 8 (2)</v>
      </c>
      <c r="CA62" s="16">
        <f t="shared" ca="1" si="164"/>
        <v>9</v>
      </c>
      <c r="CB62" s="16">
        <f t="shared" ca="1" si="165"/>
        <v>8</v>
      </c>
      <c r="CC62" s="16"/>
      <c r="CD62" s="16">
        <f t="shared" ca="1" si="166"/>
        <v>8</v>
      </c>
      <c r="CE62" s="16">
        <f t="shared" ca="1" si="167"/>
        <v>7</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(7)</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República Checa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(7)</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11</v>
      </c>
      <c r="CB64" s="16">
        <f t="shared" ca="1" si="165"/>
        <v>2</v>
      </c>
      <c r="CC64" s="16"/>
      <c r="CD64" s="16">
        <f t="shared" ca="1" si="166"/>
        <v>2</v>
      </c>
      <c r="CE64" s="16">
        <f t="shared" ca="1" si="167"/>
        <v>1</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(7)</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8</v>
      </c>
      <c r="BT66" s="16" t="str">
        <f t="shared" ca="1" si="157"/>
        <v>Pos. 8 (5)</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1</v>
      </c>
      <c r="CB66" s="16">
        <f t="shared" ca="1" si="165"/>
        <v>11</v>
      </c>
      <c r="CC66" s="16"/>
      <c r="CD66" s="16">
        <f t="shared" ca="1" si="166"/>
        <v>11</v>
      </c>
      <c r="CE66" s="16">
        <f t="shared" ca="1" si="167"/>
        <v>10</v>
      </c>
      <c r="CF66" s="16">
        <f t="shared" ca="1" si="168"/>
        <v>11</v>
      </c>
      <c r="DJ66" s="16">
        <f t="shared" ca="1" si="169"/>
        <v>8</v>
      </c>
      <c r="DK66" s="16"/>
      <c r="DL66" s="16">
        <f t="shared" ca="1" si="170"/>
        <v>1</v>
      </c>
      <c r="DM66" s="16" t="str">
        <f t="shared" ca="1" si="171"/>
        <v>8.1</v>
      </c>
      <c r="DN66" s="16">
        <f t="array" aca="1" ref="DN66" ca="1">OFFSET(Horarios!$P$3,DJ66-1,0,DL66,1)</f>
        <v>8</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8</v>
      </c>
      <c r="BT67" s="16" t="str">
        <f t="shared" ca="1" si="157"/>
        <v>Pos. 8 (5)</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6</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41"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4</v>
      </c>
      <c r="BN68" s="16">
        <f t="shared" ca="1" si="153"/>
        <v>4</v>
      </c>
      <c r="BO68" s="16" t="str">
        <f t="shared" si="154"/>
        <v>4K</v>
      </c>
      <c r="BP68" s="16"/>
      <c r="BQ68" s="16"/>
      <c r="BR68" s="16">
        <f t="shared" ca="1" si="155"/>
        <v>1</v>
      </c>
      <c r="BS68" s="16">
        <f t="shared" ca="1" si="156"/>
        <v>1</v>
      </c>
      <c r="BT68" s="16" t="str">
        <f t="shared" ca="1" si="157"/>
        <v>Pos. 1 (7)</v>
      </c>
      <c r="BU68" s="16">
        <f t="shared" ca="1" si="158"/>
        <v>0</v>
      </c>
      <c r="BV68" s="16">
        <f t="shared" ca="1" si="159"/>
        <v>1</v>
      </c>
      <c r="BW68" s="16" t="str">
        <f t="shared" ca="1" si="160"/>
        <v>Pos. 1 (5)</v>
      </c>
      <c r="BX68" s="16">
        <f t="shared" ca="1" si="161"/>
        <v>1</v>
      </c>
      <c r="BY68" s="16">
        <f t="shared" ca="1" si="162"/>
        <v>2</v>
      </c>
      <c r="BZ68" s="16" t="str">
        <f t="shared" ca="1" si="163"/>
        <v>Pos. 2 (3)</v>
      </c>
      <c r="CA68" s="16">
        <f t="shared" ca="1" si="164"/>
        <v>3</v>
      </c>
      <c r="CB68" s="16">
        <f t="shared" ca="1" si="165"/>
        <v>4</v>
      </c>
      <c r="CC68" s="16"/>
      <c r="CD68" s="16">
        <f t="shared" ca="1" si="166"/>
        <v>4</v>
      </c>
      <c r="CE68" s="16">
        <f t="shared" ca="1" si="167"/>
        <v>3</v>
      </c>
      <c r="CF68" s="16">
        <f t="shared" ca="1" si="168"/>
        <v>4</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9</v>
      </c>
      <c r="BN69" s="16">
        <f t="shared" ca="1" si="153"/>
        <v>9</v>
      </c>
      <c r="BO69" s="16" t="str">
        <f t="shared" si="154"/>
        <v>4L</v>
      </c>
      <c r="BP69" s="16"/>
      <c r="BQ69" s="16"/>
      <c r="BR69" s="16">
        <f t="shared" ca="1" si="155"/>
        <v>0</v>
      </c>
      <c r="BS69" s="16">
        <f t="shared" ca="1" si="156"/>
        <v>8</v>
      </c>
      <c r="BT69" s="16" t="str">
        <f t="shared" ca="1" si="157"/>
        <v>Pos. 8 (5)</v>
      </c>
      <c r="BU69" s="16">
        <f t="shared" ca="1" si="158"/>
        <v>-1</v>
      </c>
      <c r="BV69" s="16">
        <f t="shared" ca="1" si="159"/>
        <v>8</v>
      </c>
      <c r="BW69" s="16" t="str">
        <f t="shared" ca="1" si="160"/>
        <v>Pos. 8 (2)</v>
      </c>
      <c r="BX69" s="16">
        <f t="shared" ca="1" si="161"/>
        <v>0</v>
      </c>
      <c r="BY69" s="16">
        <f t="shared" ca="1" si="162"/>
        <v>8</v>
      </c>
      <c r="BZ69" s="16" t="str">
        <f t="shared" ca="1" si="163"/>
        <v>Pos. 8 (2)</v>
      </c>
      <c r="CA69" s="16">
        <f t="shared" ca="1" si="164"/>
        <v>4</v>
      </c>
      <c r="CB69" s="16">
        <f t="shared" ca="1" si="165"/>
        <v>9</v>
      </c>
      <c r="CC69" s="16"/>
      <c r="CD69" s="16">
        <f t="shared" ca="1" si="166"/>
        <v>9</v>
      </c>
      <c r="CE69" s="16">
        <f t="shared" ca="1" si="167"/>
        <v>8</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26"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6"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9"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Japón</v>
      </c>
      <c r="AM102" s="575">
        <f t="shared" ref="AM102:AT113" ca="1" si="269">+IF($H$113&gt;=48,INDEX($BE$58:$BN$69,MATCH($AL102,$BD$58:$BD$69,0),MATCH(AM$5,$BE$57:$BN$57,0)),$BB58)</f>
        <v>1</v>
      </c>
      <c r="AN102" s="82">
        <f t="shared" ca="1" si="269"/>
        <v>1</v>
      </c>
      <c r="AO102" s="82">
        <f t="shared" ca="1" si="269"/>
        <v>0</v>
      </c>
      <c r="AP102" s="82">
        <f t="shared" ca="1" si="269"/>
        <v>1</v>
      </c>
      <c r="AQ102" s="83">
        <f t="shared" ca="1" si="269"/>
        <v>0</v>
      </c>
      <c r="AR102" s="83">
        <f t="shared" ca="1" si="269"/>
        <v>2</v>
      </c>
      <c r="AS102" s="83">
        <f t="shared" ca="1" si="269"/>
        <v>2</v>
      </c>
      <c r="AT102" s="84">
        <f t="shared" ca="1" si="269"/>
        <v>0</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4</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Bélgica</v>
      </c>
      <c r="AM103" s="576">
        <f t="shared" ca="1" si="269"/>
        <v>1</v>
      </c>
      <c r="AN103" s="86">
        <f t="shared" ca="1" si="269"/>
        <v>1</v>
      </c>
      <c r="AO103" s="86">
        <f t="shared" ca="1" si="269"/>
        <v>0</v>
      </c>
      <c r="AP103" s="86">
        <f t="shared" ca="1" si="269"/>
        <v>1</v>
      </c>
      <c r="AQ103" s="86">
        <f t="shared" ca="1" si="269"/>
        <v>0</v>
      </c>
      <c r="AR103" s="86">
        <f t="shared" ca="1" si="269"/>
        <v>1</v>
      </c>
      <c r="AS103" s="86">
        <f t="shared" ca="1" si="269"/>
        <v>1</v>
      </c>
      <c r="AT103" s="87">
        <f t="shared" ca="1" si="269"/>
        <v>0</v>
      </c>
      <c r="AU103" s="323" t="str">
        <f t="shared" ca="1" si="270"/>
        <v/>
      </c>
      <c r="AV103" s="182" t="str">
        <f t="shared" ca="1" si="271"/>
        <v>Bélgica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4</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Marruecos</v>
      </c>
      <c r="AM104" s="576">
        <f t="shared" ca="1" si="269"/>
        <v>1</v>
      </c>
      <c r="AN104" s="86">
        <f t="shared" ca="1" si="269"/>
        <v>1</v>
      </c>
      <c r="AO104" s="86">
        <f t="shared" ca="1" si="269"/>
        <v>0</v>
      </c>
      <c r="AP104" s="86">
        <f t="shared" ca="1" si="269"/>
        <v>1</v>
      </c>
      <c r="AQ104" s="86">
        <f t="shared" ca="1" si="269"/>
        <v>0</v>
      </c>
      <c r="AR104" s="86">
        <f t="shared" ca="1" si="269"/>
        <v>1</v>
      </c>
      <c r="AS104" s="86">
        <f t="shared" ca="1" si="269"/>
        <v>1</v>
      </c>
      <c r="AT104" s="87">
        <f t="shared" ca="1" si="269"/>
        <v>0</v>
      </c>
      <c r="AU104" s="323" t="str">
        <f t="shared" ca="1" si="270"/>
        <v/>
      </c>
      <c r="AV104" s="182" t="str">
        <f t="shared" ca="1" si="271"/>
        <v>Marruecos</v>
      </c>
      <c r="AW104" s="215"/>
      <c r="AX104" s="170"/>
      <c r="AY104" s="270"/>
      <c r="AZ104" s="273" t="str">
        <f t="shared" ca="1" si="272"/>
        <v>1B - 3G</v>
      </c>
      <c r="BA104" s="176"/>
      <c r="BF104" t="str">
        <f t="shared" ca="1" si="273"/>
        <v>G</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RD Congo</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RD Congo</v>
      </c>
      <c r="AW105" s="215"/>
      <c r="AX105" s="170"/>
      <c r="AY105" s="270"/>
      <c r="AZ105" s="273" t="str">
        <f t="shared" ca="1" si="272"/>
        <v>1D - 3B</v>
      </c>
      <c r="BA105" s="176"/>
      <c r="BF105" t="str">
        <f t="shared" ca="1" si="273"/>
        <v>C</v>
      </c>
      <c r="BG105">
        <f t="shared" ca="1" si="274"/>
        <v>3</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España</v>
      </c>
      <c r="AM106" s="576">
        <f t="shared" ca="1" si="269"/>
        <v>1</v>
      </c>
      <c r="AN106" s="86">
        <f t="shared" ca="1" si="269"/>
        <v>1</v>
      </c>
      <c r="AO106" s="86">
        <f t="shared" ca="1" si="269"/>
        <v>0</v>
      </c>
      <c r="AP106" s="86">
        <f t="shared" ca="1" si="269"/>
        <v>1</v>
      </c>
      <c r="AQ106" s="86">
        <f t="shared" ca="1" si="269"/>
        <v>0</v>
      </c>
      <c r="AR106" s="86">
        <f t="shared" ca="1" si="269"/>
        <v>0</v>
      </c>
      <c r="AS106" s="86">
        <f t="shared" ca="1" si="269"/>
        <v>0</v>
      </c>
      <c r="AT106" s="87">
        <f t="shared" ca="1" si="269"/>
        <v>0</v>
      </c>
      <c r="AU106" s="323" t="str">
        <f t="shared" ca="1" si="270"/>
        <v/>
      </c>
      <c r="AV106" s="182" t="str">
        <f t="shared" ca="1" si="271"/>
        <v>España</v>
      </c>
      <c r="AW106" s="215"/>
      <c r="AX106" s="170"/>
      <c r="AY106" s="270"/>
      <c r="AZ106" s="273" t="str">
        <f t="shared" ca="1" si="272"/>
        <v>1E - 3C</v>
      </c>
      <c r="BA106" s="176"/>
      <c r="BF106" t="str">
        <f t="shared" ca="1" si="273"/>
        <v>K</v>
      </c>
      <c r="BG106">
        <f t="shared" ca="1" si="274"/>
        <v>8</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República Checa</v>
      </c>
      <c r="AM107" s="576">
        <f t="shared" ca="1" si="269"/>
        <v>1</v>
      </c>
      <c r="AN107" s="86">
        <f t="shared" ca="1" si="269"/>
        <v>2</v>
      </c>
      <c r="AO107" s="86">
        <f t="shared" ca="1" si="269"/>
        <v>0</v>
      </c>
      <c r="AP107" s="86">
        <f t="shared" ca="1" si="269"/>
        <v>1</v>
      </c>
      <c r="AQ107" s="86">
        <f t="shared" ca="1" si="269"/>
        <v>1</v>
      </c>
      <c r="AR107" s="86">
        <f t="shared" ca="1" si="269"/>
        <v>2</v>
      </c>
      <c r="AS107" s="86">
        <f t="shared" ca="1" si="269"/>
        <v>3</v>
      </c>
      <c r="AT107" s="87">
        <f t="shared" ca="1" si="269"/>
        <v>-1</v>
      </c>
      <c r="AU107" s="323" t="str">
        <f t="shared" ca="1" si="270"/>
        <v/>
      </c>
      <c r="AV107" s="182" t="str">
        <f t="shared" ca="1" si="271"/>
        <v>República Checa</v>
      </c>
      <c r="AW107" s="215"/>
      <c r="AX107" s="170"/>
      <c r="AY107" s="270"/>
      <c r="AZ107" s="273" t="str">
        <f t="shared" ca="1" si="272"/>
        <v>1G - 3A</v>
      </c>
      <c r="BA107" s="176"/>
      <c r="BF107" t="str">
        <f t="shared" ca="1" si="273"/>
        <v>H</v>
      </c>
      <c r="BG107">
        <f t="shared" ca="1" si="274"/>
        <v>7</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Bosnia y Herzegovina</v>
      </c>
      <c r="AM108" s="576">
        <f t="shared" ca="1" si="269"/>
        <v>1</v>
      </c>
      <c r="AN108" s="86">
        <f t="shared" ca="1" si="269"/>
        <v>2</v>
      </c>
      <c r="AO108" s="86">
        <f t="shared" ca="1" si="269"/>
        <v>0</v>
      </c>
      <c r="AP108" s="86">
        <f t="shared" ca="1" si="269"/>
        <v>1</v>
      </c>
      <c r="AQ108" s="86">
        <f t="shared" ca="1" si="269"/>
        <v>1</v>
      </c>
      <c r="AR108" s="86">
        <f t="shared" ca="1" si="269"/>
        <v>2</v>
      </c>
      <c r="AS108" s="86">
        <f t="shared" ca="1" si="269"/>
        <v>5</v>
      </c>
      <c r="AT108" s="87">
        <f t="shared" ca="1" si="269"/>
        <v>-3</v>
      </c>
      <c r="AU108" s="323" t="str">
        <f t="shared" ca="1" si="270"/>
        <v/>
      </c>
      <c r="AV108" s="182" t="str">
        <f t="shared" ca="1" si="271"/>
        <v>Bosnia y Herzegovina</v>
      </c>
      <c r="AW108" s="215"/>
      <c r="AX108" s="170"/>
      <c r="AY108" s="270"/>
      <c r="AZ108" s="273" t="str">
        <f t="shared" ca="1" si="272"/>
        <v>1I - 3F</v>
      </c>
      <c r="BA108" s="176"/>
      <c r="BF108" t="str">
        <f t="shared" ca="1" si="273"/>
        <v>A</v>
      </c>
      <c r="BG108">
        <f t="shared" ca="1" si="274"/>
        <v>1</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0</v>
      </c>
      <c r="AN109" s="86">
        <f t="shared" ca="1" si="269"/>
        <v>1</v>
      </c>
      <c r="AO109" s="86">
        <f t="shared" ca="1" si="269"/>
        <v>0</v>
      </c>
      <c r="AP109" s="86">
        <f t="shared" ca="1" si="269"/>
        <v>0</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- 3E</v>
      </c>
      <c r="BA109" s="176"/>
      <c r="BF109" t="str">
        <f t="shared" ca="1" si="273"/>
        <v>B</v>
      </c>
      <c r="BG109">
        <f t="shared" ca="1" si="274"/>
        <v>2</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Panamá</v>
      </c>
      <c r="AM110" s="576">
        <f t="shared" ca="1" si="269"/>
        <v>0</v>
      </c>
      <c r="AN110" s="86">
        <f t="shared" ca="1" si="269"/>
        <v>1</v>
      </c>
      <c r="AO110" s="86">
        <f t="shared" ca="1" si="269"/>
        <v>0</v>
      </c>
      <c r="AP110" s="86">
        <f t="shared" ca="1" si="269"/>
        <v>0</v>
      </c>
      <c r="AQ110" s="86">
        <f t="shared" ca="1" si="269"/>
        <v>1</v>
      </c>
      <c r="AR110" s="86">
        <f t="shared" ca="1" si="269"/>
        <v>0</v>
      </c>
      <c r="AS110" s="86">
        <f t="shared" ca="1" si="269"/>
        <v>1</v>
      </c>
      <c r="AT110" s="87">
        <f t="shared" ca="1" si="269"/>
        <v>-1</v>
      </c>
      <c r="AU110" s="323" t="str">
        <f t="shared" ca="1" si="270"/>
        <v/>
      </c>
      <c r="AV110" s="182" t="str">
        <f t="shared" ca="1" si="271"/>
        <v>Panamá</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Jordania</v>
      </c>
      <c r="AM111" s="576">
        <f t="shared" ca="1" si="269"/>
        <v>0</v>
      </c>
      <c r="AN111" s="86">
        <f t="shared" ca="1" si="269"/>
        <v>1</v>
      </c>
      <c r="AO111" s="86">
        <f t="shared" ca="1" si="269"/>
        <v>0</v>
      </c>
      <c r="AP111" s="86">
        <f t="shared" ca="1" si="269"/>
        <v>0</v>
      </c>
      <c r="AQ111" s="86">
        <f t="shared" ca="1" si="269"/>
        <v>1</v>
      </c>
      <c r="AR111" s="86">
        <f t="shared" ca="1" si="269"/>
        <v>1</v>
      </c>
      <c r="AS111" s="86">
        <f t="shared" ca="1" si="269"/>
        <v>3</v>
      </c>
      <c r="AT111" s="87">
        <f t="shared" ca="1" si="269"/>
        <v>-2</v>
      </c>
      <c r="AU111" s="323" t="str">
        <f t="shared" ca="1" si="270"/>
        <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Senegal</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Senegal</v>
      </c>
      <c r="AW112" s="215"/>
      <c r="AX112" s="170"/>
      <c r="AY112" s="269"/>
      <c r="AZ112" s="269"/>
      <c r="BA112" s="176"/>
      <c r="BI112" t="str">
        <f ca="1">IFERROR(CONCATENATE(BJ103,BJ104,BJ105,BJ106,BJ107,BJ108,BJ109,BJ110),"¿A/B/C/D/E/F/G/H/I/J/K/L?")</f>
        <v>ABCEFGHK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56</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Turquía</v>
      </c>
      <c r="AM113" s="577">
        <f t="shared" ca="1" si="269"/>
        <v>0</v>
      </c>
      <c r="AN113" s="47">
        <f t="shared" ca="1" si="269"/>
        <v>1</v>
      </c>
      <c r="AO113" s="47">
        <f t="shared" ca="1" si="269"/>
        <v>0</v>
      </c>
      <c r="AP113" s="47">
        <f t="shared" ca="1" si="269"/>
        <v>0</v>
      </c>
      <c r="AQ113" s="47">
        <f t="shared" ca="1" si="269"/>
        <v>1</v>
      </c>
      <c r="AR113" s="47">
        <f t="shared" ca="1" si="269"/>
        <v>0</v>
      </c>
      <c r="AS113" s="47">
        <f t="shared" ca="1" si="269"/>
        <v>2</v>
      </c>
      <c r="AT113" s="48">
        <f t="shared" ca="1" si="269"/>
        <v>-2</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3"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30"/>
      <c r="G1" s="630"/>
      <c r="H1" s="630"/>
      <c r="I1" s="630"/>
      <c r="J1" s="630"/>
      <c r="K1" s="630"/>
      <c r="L1" s="630"/>
      <c r="M1" s="630"/>
      <c r="N1" s="630"/>
    </row>
    <row r="2" spans="1:14" ht="20" customHeight="1" thickBot="1" x14ac:dyDescent="0.3">
      <c r="A2" s="284"/>
      <c r="B2" s="285"/>
      <c r="C2" s="285"/>
      <c r="D2" s="360"/>
      <c r="E2" s="630"/>
      <c r="F2" s="630"/>
      <c r="G2" s="630"/>
      <c r="H2" s="630"/>
      <c r="I2" s="630"/>
      <c r="J2" s="630"/>
      <c r="K2" s="630"/>
      <c r="L2" s="630"/>
      <c r="M2" s="630"/>
      <c r="N2" s="63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30"/>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30"/>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30"/>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30"/>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30"/>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30"/>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30"/>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30"/>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30"/>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30"/>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30"/>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30"/>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30"/>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30"/>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30"/>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30"/>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30"/>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30"/>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30"/>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30"/>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30"/>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30"/>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30"/>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30"/>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30"/>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30"/>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30"/>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30"/>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30"/>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30"/>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30"/>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30"/>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30"/>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30"/>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30"/>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30"/>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30"/>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30"/>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30"/>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30"/>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30"/>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30"/>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30"/>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30"/>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30"/>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30"/>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30"/>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30"/>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30"/>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30"/>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30"/>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30"/>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30"/>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30"/>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30"/>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30"/>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30"/>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30"/>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30"/>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30"/>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30"/>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30"/>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30"/>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30"/>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30"/>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30"/>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30"/>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3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30"/>
      <c r="E165" s="650"/>
      <c r="F165" s="650"/>
      <c r="G165" s="650"/>
      <c r="H165" s="650"/>
      <c r="I165" s="345"/>
      <c r="J165" s="361"/>
      <c r="K165" s="361"/>
      <c r="L165" s="361"/>
      <c r="M165" s="377"/>
      <c r="N165" s="368"/>
    </row>
    <row r="166" spans="1:14" ht="15" customHeight="1" x14ac:dyDescent="0.2">
      <c r="A166" s="63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30"/>
      <c r="E166" s="650"/>
      <c r="F166" s="650"/>
      <c r="G166" s="650"/>
      <c r="H166" s="650"/>
      <c r="I166" s="345"/>
      <c r="J166" s="361"/>
      <c r="K166" s="361"/>
      <c r="L166" s="361"/>
      <c r="M166" s="377"/>
      <c r="N166" s="368"/>
    </row>
    <row r="167" spans="1:14" ht="15" customHeight="1" x14ac:dyDescent="0.2">
      <c r="A167" s="63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30"/>
      <c r="E167" s="650"/>
      <c r="F167" s="650"/>
      <c r="G167" s="650"/>
      <c r="H167" s="650"/>
      <c r="I167" s="345"/>
      <c r="J167" s="361"/>
      <c r="K167" s="361"/>
      <c r="L167" s="361"/>
      <c r="M167" s="377"/>
      <c r="N167" s="368"/>
    </row>
    <row r="168" spans="1:14" ht="15" customHeight="1" x14ac:dyDescent="0.2">
      <c r="A168" s="63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30"/>
      <c r="E168" s="361"/>
      <c r="F168" s="361"/>
      <c r="G168" s="361"/>
      <c r="H168" s="361"/>
      <c r="I168" s="345"/>
      <c r="J168" s="361"/>
      <c r="K168" s="361"/>
      <c r="L168" s="361"/>
      <c r="M168" s="377"/>
      <c r="N168" s="368"/>
    </row>
    <row r="169" spans="1:14" ht="15" customHeight="1" x14ac:dyDescent="0.2">
      <c r="A169" s="63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30"/>
      <c r="E169" s="361"/>
      <c r="F169" s="361"/>
      <c r="G169" s="361"/>
      <c r="H169" s="361"/>
      <c r="I169" s="345"/>
      <c r="J169" s="361"/>
      <c r="K169" s="361"/>
      <c r="L169" s="361"/>
      <c r="M169" s="377"/>
      <c r="N169" s="368"/>
    </row>
    <row r="170" spans="1:14" ht="15" customHeight="1" x14ac:dyDescent="0.2">
      <c r="A170" s="63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30"/>
      <c r="E170" s="361"/>
      <c r="F170" s="361"/>
      <c r="G170" s="361"/>
      <c r="H170" s="361"/>
      <c r="I170" s="345"/>
      <c r="J170" s="361"/>
      <c r="K170" s="361"/>
      <c r="L170" s="361"/>
      <c r="M170" s="377"/>
      <c r="N170" s="368"/>
    </row>
    <row r="171" spans="1:14" ht="15" customHeight="1" x14ac:dyDescent="0.2">
      <c r="A171" s="63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30"/>
      <c r="E171" s="361"/>
      <c r="F171" s="361"/>
      <c r="G171" s="361"/>
      <c r="H171" s="361"/>
      <c r="I171" s="345"/>
      <c r="J171" s="361"/>
      <c r="K171" s="361"/>
      <c r="L171" s="361"/>
      <c r="M171" s="377"/>
      <c r="N171" s="368"/>
    </row>
    <row r="172" spans="1:14" ht="15" customHeight="1" x14ac:dyDescent="0.2">
      <c r="A172" s="63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30"/>
      <c r="E172" s="361"/>
      <c r="F172" s="361"/>
      <c r="G172" s="361"/>
      <c r="H172" s="361"/>
      <c r="I172" s="345"/>
      <c r="J172" s="361"/>
      <c r="K172" s="361"/>
      <c r="L172" s="361"/>
      <c r="M172" s="377"/>
      <c r="N172" s="368"/>
    </row>
    <row r="173" spans="1:14" ht="15" customHeight="1" x14ac:dyDescent="0.2">
      <c r="A173" s="63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30"/>
      <c r="E173" s="361"/>
      <c r="F173" s="361"/>
      <c r="G173" s="361"/>
      <c r="H173" s="361"/>
      <c r="I173" s="345"/>
      <c r="J173" s="361"/>
      <c r="K173" s="361"/>
      <c r="L173" s="361"/>
      <c r="M173" s="377"/>
      <c r="N173" s="368"/>
    </row>
    <row r="174" spans="1:14" ht="15" customHeight="1" x14ac:dyDescent="0.2">
      <c r="A174" s="63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30"/>
      <c r="E174" s="361"/>
      <c r="F174" s="361"/>
      <c r="G174" s="361"/>
      <c r="H174" s="361"/>
      <c r="I174" s="345"/>
      <c r="J174" s="361"/>
      <c r="K174" s="361"/>
      <c r="L174" s="361"/>
      <c r="M174" s="377"/>
      <c r="N174" s="368"/>
    </row>
    <row r="175" spans="1:14" ht="15" customHeight="1" x14ac:dyDescent="0.2">
      <c r="A175" s="63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30"/>
      <c r="E175" s="361"/>
      <c r="F175" s="361"/>
      <c r="G175" s="361"/>
      <c r="H175" s="361"/>
      <c r="I175" s="345"/>
      <c r="J175" s="361"/>
      <c r="K175" s="361"/>
      <c r="L175" s="361"/>
      <c r="M175" s="377"/>
      <c r="N175" s="368"/>
    </row>
    <row r="176" spans="1:14" ht="15" customHeight="1" x14ac:dyDescent="0.2">
      <c r="A176" s="63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30"/>
      <c r="E176" s="361"/>
      <c r="F176" s="361"/>
      <c r="G176" s="361"/>
      <c r="H176" s="361"/>
      <c r="I176" s="345"/>
      <c r="J176" s="361"/>
      <c r="K176" s="361"/>
      <c r="L176" s="361"/>
      <c r="M176" s="377"/>
      <c r="N176" s="368"/>
    </row>
    <row r="177" spans="1:14" ht="15" customHeight="1" x14ac:dyDescent="0.2">
      <c r="A177" s="63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30"/>
      <c r="E177" s="361"/>
      <c r="F177" s="361"/>
      <c r="G177" s="361"/>
      <c r="H177" s="361"/>
      <c r="I177" s="345"/>
      <c r="J177" s="361"/>
      <c r="K177" s="361"/>
      <c r="L177" s="361"/>
      <c r="M177" s="377"/>
      <c r="N177" s="368"/>
    </row>
    <row r="178" spans="1:14" ht="15" customHeight="1" x14ac:dyDescent="0.2">
      <c r="A178" s="63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30"/>
      <c r="E178" s="361"/>
      <c r="F178" s="361"/>
      <c r="G178" s="361"/>
      <c r="H178" s="361"/>
      <c r="I178" s="345"/>
      <c r="J178" s="361"/>
      <c r="K178" s="361"/>
      <c r="L178" s="361"/>
      <c r="M178" s="377"/>
      <c r="N178" s="368"/>
    </row>
    <row r="179" spans="1:14" ht="15" customHeight="1" x14ac:dyDescent="0.2">
      <c r="A179" s="63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30"/>
      <c r="E179" s="361"/>
      <c r="F179" s="361"/>
      <c r="G179" s="361"/>
      <c r="H179" s="361"/>
      <c r="I179" s="345"/>
      <c r="J179" s="361"/>
      <c r="K179" s="361"/>
      <c r="L179" s="361"/>
      <c r="M179" s="377"/>
      <c r="N179" s="368"/>
    </row>
    <row r="180" spans="1:14" ht="15" customHeight="1" x14ac:dyDescent="0.2">
      <c r="A180" s="223"/>
      <c r="B180" s="223"/>
      <c r="C180" s="343"/>
      <c r="D180" s="63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3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30"/>
      <c r="E182" s="361"/>
      <c r="F182" s="361"/>
      <c r="G182" s="361"/>
      <c r="H182" s="361"/>
      <c r="I182" s="345"/>
      <c r="J182" s="361"/>
      <c r="K182" s="361"/>
      <c r="L182" s="361"/>
      <c r="M182" s="377"/>
      <c r="N182" s="368"/>
    </row>
    <row r="183" spans="1:14" ht="15" customHeight="1" x14ac:dyDescent="0.2">
      <c r="A183" s="630"/>
      <c r="B183" s="352" t="str">
        <f t="shared" ref="B183:B197" si="2">B182</f>
        <v>Octavofinalista</v>
      </c>
      <c r="C183" s="342" t="str">
        <f>WORLDCUP!AA121</f>
        <v>W74</v>
      </c>
      <c r="D183" s="630"/>
      <c r="E183" s="361"/>
      <c r="F183" s="361"/>
      <c r="G183" s="361"/>
      <c r="H183" s="361"/>
      <c r="I183" s="345"/>
      <c r="J183" s="361"/>
      <c r="K183" s="361"/>
      <c r="L183" s="361"/>
      <c r="M183" s="377"/>
      <c r="N183" s="368"/>
    </row>
    <row r="184" spans="1:14" ht="15" customHeight="1" x14ac:dyDescent="0.2">
      <c r="A184" s="630"/>
      <c r="B184" s="352" t="str">
        <f t="shared" si="2"/>
        <v>Octavofinalista</v>
      </c>
      <c r="C184" s="342" t="str">
        <f>WORLDCUP!AA122</f>
        <v>W76</v>
      </c>
      <c r="D184" s="630"/>
      <c r="E184" s="361"/>
      <c r="F184" s="361"/>
      <c r="G184" s="361"/>
      <c r="H184" s="361"/>
      <c r="I184" s="345"/>
      <c r="J184" s="361"/>
      <c r="K184" s="361"/>
      <c r="L184" s="361"/>
      <c r="M184" s="377"/>
      <c r="N184" s="368"/>
    </row>
    <row r="185" spans="1:14" ht="15" customHeight="1" x14ac:dyDescent="0.2">
      <c r="A185" s="630"/>
      <c r="B185" s="352" t="str">
        <f t="shared" si="2"/>
        <v>Octavofinalista</v>
      </c>
      <c r="C185" s="342" t="str">
        <f>WORLDCUP!AA123</f>
        <v>W79</v>
      </c>
      <c r="D185" s="630"/>
      <c r="E185" s="361"/>
      <c r="F185" s="361"/>
      <c r="G185" s="361"/>
      <c r="H185" s="361"/>
      <c r="I185" s="345"/>
      <c r="J185" s="361"/>
      <c r="K185" s="361"/>
      <c r="L185" s="361"/>
      <c r="M185" s="377"/>
      <c r="N185" s="368"/>
    </row>
    <row r="186" spans="1:14" ht="15" customHeight="1" x14ac:dyDescent="0.2">
      <c r="A186" s="630"/>
      <c r="B186" s="352" t="str">
        <f t="shared" si="2"/>
        <v>Octavofinalista</v>
      </c>
      <c r="C186" s="342" t="str">
        <f>WORLDCUP!AA124</f>
        <v>W83</v>
      </c>
      <c r="D186" s="630"/>
      <c r="E186" s="361"/>
      <c r="F186" s="361"/>
      <c r="G186" s="361"/>
      <c r="H186" s="361"/>
      <c r="I186" s="345"/>
      <c r="J186" s="361"/>
      <c r="K186" s="361"/>
      <c r="L186" s="361"/>
      <c r="M186" s="377"/>
      <c r="N186" s="368"/>
    </row>
    <row r="187" spans="1:14" ht="15" customHeight="1" x14ac:dyDescent="0.2">
      <c r="A187" s="630"/>
      <c r="B187" s="352" t="str">
        <f t="shared" si="2"/>
        <v>Octavofinalista</v>
      </c>
      <c r="C187" s="342" t="str">
        <f>WORLDCUP!AA125</f>
        <v>W81</v>
      </c>
      <c r="D187" s="630"/>
      <c r="E187" s="361"/>
      <c r="F187" s="361"/>
      <c r="G187" s="361"/>
      <c r="H187" s="361"/>
      <c r="I187" s="345"/>
      <c r="J187" s="361"/>
      <c r="K187" s="361"/>
      <c r="L187" s="361"/>
      <c r="M187" s="377"/>
      <c r="N187" s="368"/>
    </row>
    <row r="188" spans="1:14" ht="15" customHeight="1" x14ac:dyDescent="0.2">
      <c r="A188" s="630"/>
      <c r="B188" s="352" t="str">
        <f t="shared" si="2"/>
        <v>Octavofinalista</v>
      </c>
      <c r="C188" s="342" t="str">
        <f>WORLDCUP!AA126</f>
        <v>W86</v>
      </c>
      <c r="D188" s="630"/>
      <c r="E188" s="361"/>
      <c r="F188" s="361"/>
      <c r="G188" s="361"/>
      <c r="H188" s="361"/>
      <c r="I188" s="345"/>
      <c r="J188" s="361"/>
      <c r="K188" s="361"/>
      <c r="L188" s="361"/>
      <c r="M188" s="377"/>
      <c r="N188" s="368"/>
    </row>
    <row r="189" spans="1:14" ht="15" customHeight="1" x14ac:dyDescent="0.2">
      <c r="A189" s="630"/>
      <c r="B189" s="352" t="str">
        <f t="shared" si="2"/>
        <v>Octavofinalista</v>
      </c>
      <c r="C189" s="342" t="str">
        <f>WORLDCUP!AA127</f>
        <v>W85</v>
      </c>
      <c r="D189" s="630"/>
      <c r="E189" s="361"/>
      <c r="F189" s="361"/>
      <c r="G189" s="361"/>
      <c r="H189" s="361"/>
      <c r="I189" s="345"/>
      <c r="J189" s="361"/>
      <c r="K189" s="361"/>
      <c r="L189" s="361"/>
      <c r="M189" s="377"/>
      <c r="N189" s="368"/>
    </row>
    <row r="190" spans="1:14" ht="15" customHeight="1" x14ac:dyDescent="0.2">
      <c r="A190" s="630"/>
      <c r="B190" s="352" t="str">
        <f t="shared" si="2"/>
        <v>Octavofinalista</v>
      </c>
      <c r="C190" s="342" t="str">
        <f>WORLDCUP!AF120</f>
        <v>W75</v>
      </c>
      <c r="D190" s="630"/>
      <c r="E190" s="361"/>
      <c r="F190" s="361"/>
      <c r="G190" s="361"/>
      <c r="H190" s="361"/>
      <c r="I190" s="345"/>
      <c r="J190" s="361"/>
      <c r="K190" s="361"/>
      <c r="L190" s="361"/>
      <c r="M190" s="377"/>
      <c r="N190" s="368"/>
    </row>
    <row r="191" spans="1:14" ht="15" customHeight="1" x14ac:dyDescent="0.2">
      <c r="A191" s="630"/>
      <c r="B191" s="352" t="str">
        <f t="shared" si="2"/>
        <v>Octavofinalista</v>
      </c>
      <c r="C191" s="342" t="str">
        <f>WORLDCUP!AF121</f>
        <v>W77</v>
      </c>
      <c r="D191" s="630"/>
      <c r="E191" s="361"/>
      <c r="F191" s="361"/>
      <c r="G191" s="361"/>
      <c r="H191" s="361"/>
      <c r="I191" s="345"/>
      <c r="J191" s="361"/>
      <c r="K191" s="361"/>
      <c r="L191" s="361"/>
      <c r="M191" s="377"/>
      <c r="N191" s="368"/>
    </row>
    <row r="192" spans="1:14" ht="15" customHeight="1" x14ac:dyDescent="0.2">
      <c r="A192" s="630"/>
      <c r="B192" s="352" t="str">
        <f t="shared" si="2"/>
        <v>Octavofinalista</v>
      </c>
      <c r="C192" s="342" t="str">
        <f>WORLDCUP!AF122</f>
        <v>W78</v>
      </c>
      <c r="D192" s="630"/>
      <c r="E192" s="361"/>
      <c r="F192" s="361"/>
      <c r="G192" s="361"/>
      <c r="H192" s="361"/>
      <c r="I192" s="345"/>
      <c r="J192" s="361"/>
      <c r="K192" s="361"/>
      <c r="L192" s="361"/>
      <c r="M192" s="377"/>
      <c r="N192" s="368"/>
    </row>
    <row r="193" spans="1:14" ht="15" customHeight="1" x14ac:dyDescent="0.2">
      <c r="A193" s="630"/>
      <c r="B193" s="352" t="str">
        <f t="shared" si="2"/>
        <v>Octavofinalista</v>
      </c>
      <c r="C193" s="342" t="str">
        <f>WORLDCUP!AF123</f>
        <v>W80</v>
      </c>
      <c r="D193" s="630"/>
      <c r="E193" s="361"/>
      <c r="F193" s="361"/>
      <c r="G193" s="361"/>
      <c r="H193" s="361"/>
      <c r="I193" s="345"/>
      <c r="J193" s="361"/>
      <c r="K193" s="361"/>
      <c r="L193" s="361"/>
      <c r="M193" s="377"/>
      <c r="N193" s="368"/>
    </row>
    <row r="194" spans="1:14" ht="15" customHeight="1" x14ac:dyDescent="0.2">
      <c r="A194" s="630"/>
      <c r="B194" s="352" t="str">
        <f t="shared" si="2"/>
        <v>Octavofinalista</v>
      </c>
      <c r="C194" s="342" t="str">
        <f>WORLDCUP!AF124</f>
        <v>W84</v>
      </c>
      <c r="D194" s="630"/>
      <c r="E194" s="361"/>
      <c r="F194" s="361"/>
      <c r="G194" s="361"/>
      <c r="H194" s="361"/>
      <c r="I194" s="345"/>
      <c r="J194" s="361"/>
      <c r="K194" s="361"/>
      <c r="L194" s="361"/>
      <c r="M194" s="377"/>
      <c r="N194" s="368"/>
    </row>
    <row r="195" spans="1:14" ht="15" customHeight="1" x14ac:dyDescent="0.2">
      <c r="A195" s="630"/>
      <c r="B195" s="352" t="str">
        <f t="shared" si="2"/>
        <v>Octavofinalista</v>
      </c>
      <c r="C195" s="342" t="str">
        <f>WORLDCUP!AF125</f>
        <v>W82</v>
      </c>
      <c r="D195" s="630"/>
      <c r="E195" s="361"/>
      <c r="F195" s="361"/>
      <c r="G195" s="361"/>
      <c r="H195" s="361"/>
      <c r="I195" s="345"/>
      <c r="J195" s="361"/>
      <c r="K195" s="361"/>
      <c r="L195" s="361"/>
      <c r="M195" s="377"/>
      <c r="N195" s="368"/>
    </row>
    <row r="196" spans="1:14" ht="15" customHeight="1" x14ac:dyDescent="0.2">
      <c r="A196" s="630"/>
      <c r="B196" s="352" t="str">
        <f t="shared" si="2"/>
        <v>Octavofinalista</v>
      </c>
      <c r="C196" s="342" t="str">
        <f>WORLDCUP!AF126</f>
        <v>W88</v>
      </c>
      <c r="D196" s="630"/>
      <c r="E196" s="361"/>
      <c r="F196" s="361"/>
      <c r="G196" s="361"/>
      <c r="H196" s="361"/>
      <c r="I196" s="345"/>
      <c r="J196" s="361"/>
      <c r="K196" s="361"/>
      <c r="L196" s="361"/>
      <c r="M196" s="377"/>
      <c r="N196" s="368"/>
    </row>
    <row r="197" spans="1:14" ht="15" customHeight="1" x14ac:dyDescent="0.2">
      <c r="A197" s="630"/>
      <c r="B197" s="352" t="str">
        <f t="shared" si="2"/>
        <v>Octavofinalista</v>
      </c>
      <c r="C197" s="342" t="str">
        <f>WORLDCUP!AF127</f>
        <v>W87</v>
      </c>
      <c r="D197" s="63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3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30"/>
      <c r="E201" s="650"/>
      <c r="F201" s="650"/>
      <c r="G201" s="650"/>
      <c r="H201" s="650"/>
      <c r="I201" s="345"/>
      <c r="J201" s="361"/>
      <c r="K201" s="361"/>
      <c r="L201" s="361"/>
      <c r="M201" s="377"/>
      <c r="N201" s="368"/>
    </row>
    <row r="202" spans="1:14" ht="15" customHeight="1" x14ac:dyDescent="0.2">
      <c r="A202" s="63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30"/>
      <c r="E202" s="650"/>
      <c r="F202" s="650"/>
      <c r="G202" s="650"/>
      <c r="H202" s="650"/>
      <c r="I202" s="345"/>
      <c r="J202" s="361"/>
      <c r="K202" s="361"/>
      <c r="L202" s="361"/>
      <c r="M202" s="377"/>
      <c r="N202" s="368"/>
    </row>
    <row r="203" spans="1:14" ht="15" customHeight="1" x14ac:dyDescent="0.2">
      <c r="A203" s="63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30"/>
      <c r="E203" s="650"/>
      <c r="F203" s="650"/>
      <c r="G203" s="650"/>
      <c r="H203" s="650"/>
      <c r="I203" s="345"/>
      <c r="J203" s="361"/>
      <c r="K203" s="361"/>
      <c r="L203" s="361"/>
      <c r="M203" s="377"/>
      <c r="N203" s="368"/>
    </row>
    <row r="204" spans="1:14" ht="15" customHeight="1" x14ac:dyDescent="0.2">
      <c r="A204" s="63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30"/>
      <c r="E204" s="345"/>
      <c r="F204" s="345"/>
      <c r="G204" s="345"/>
      <c r="H204" s="345"/>
      <c r="I204" s="345"/>
      <c r="J204" s="361"/>
      <c r="K204" s="361"/>
      <c r="L204" s="361"/>
      <c r="M204" s="377"/>
      <c r="N204" s="368"/>
    </row>
    <row r="205" spans="1:14" ht="15" customHeight="1" x14ac:dyDescent="0.2">
      <c r="A205" s="63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30"/>
      <c r="E205" s="345"/>
      <c r="F205" s="345"/>
      <c r="G205" s="345"/>
      <c r="H205" s="345"/>
      <c r="I205" s="345"/>
      <c r="J205" s="361"/>
      <c r="K205" s="361"/>
      <c r="L205" s="361"/>
      <c r="M205" s="377"/>
      <c r="N205" s="368"/>
    </row>
    <row r="206" spans="1:14" ht="15" customHeight="1" x14ac:dyDescent="0.2">
      <c r="A206" s="63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30"/>
      <c r="E206" s="345"/>
      <c r="F206" s="345"/>
      <c r="G206" s="345"/>
      <c r="H206" s="345"/>
      <c r="I206" s="345"/>
      <c r="J206" s="361"/>
      <c r="K206" s="361"/>
      <c r="L206" s="361"/>
      <c r="M206" s="377"/>
      <c r="N206" s="368"/>
    </row>
    <row r="207" spans="1:14" ht="15" customHeight="1" x14ac:dyDescent="0.2">
      <c r="A207" s="63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30"/>
      <c r="E207" s="345"/>
      <c r="F207" s="345"/>
      <c r="G207" s="345"/>
      <c r="H207" s="345"/>
      <c r="I207" s="345"/>
      <c r="J207" s="361"/>
      <c r="K207" s="361"/>
      <c r="L207" s="361"/>
      <c r="M207" s="377"/>
      <c r="N207" s="368"/>
    </row>
    <row r="208" spans="1:14" ht="15" customHeight="1" x14ac:dyDescent="0.2">
      <c r="A208" s="223"/>
      <c r="B208" s="223"/>
      <c r="C208" s="343"/>
      <c r="D208" s="63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3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30"/>
      <c r="E210" s="361"/>
      <c r="F210" s="361"/>
      <c r="G210" s="361"/>
      <c r="H210" s="361"/>
      <c r="I210" s="345"/>
      <c r="J210" s="361"/>
      <c r="K210" s="361"/>
      <c r="L210" s="361"/>
      <c r="M210" s="377"/>
      <c r="N210" s="368"/>
    </row>
    <row r="211" spans="1:14" ht="15" customHeight="1" x14ac:dyDescent="0.2">
      <c r="A211" s="630"/>
      <c r="B211" s="352" t="str">
        <f t="shared" ref="B211:B217" si="3">B210</f>
        <v>Cuartofinalista</v>
      </c>
      <c r="C211" s="342" t="str">
        <f>WORLDCUP!AA132</f>
        <v>W93</v>
      </c>
      <c r="D211" s="630"/>
      <c r="E211" s="361"/>
      <c r="F211" s="361"/>
      <c r="G211" s="361"/>
      <c r="H211" s="361"/>
      <c r="I211" s="345"/>
      <c r="J211" s="361"/>
      <c r="K211" s="361"/>
      <c r="L211" s="361"/>
      <c r="M211" s="377"/>
      <c r="N211" s="368"/>
    </row>
    <row r="212" spans="1:14" ht="15" customHeight="1" x14ac:dyDescent="0.2">
      <c r="A212" s="630"/>
      <c r="B212" s="352" t="str">
        <f t="shared" si="3"/>
        <v>Cuartofinalista</v>
      </c>
      <c r="C212" s="342" t="str">
        <f>WORLDCUP!AA133</f>
        <v>W91</v>
      </c>
      <c r="D212" s="630"/>
      <c r="E212" s="361"/>
      <c r="F212" s="361"/>
      <c r="G212" s="361"/>
      <c r="H212" s="361"/>
      <c r="I212" s="345"/>
      <c r="J212" s="361"/>
      <c r="K212" s="361"/>
      <c r="L212" s="361"/>
      <c r="M212" s="377"/>
      <c r="N212" s="368"/>
    </row>
    <row r="213" spans="1:14" ht="15" customHeight="1" x14ac:dyDescent="0.2">
      <c r="A213" s="630"/>
      <c r="B213" s="352" t="str">
        <f t="shared" si="3"/>
        <v>Cuartofinalista</v>
      </c>
      <c r="C213" s="342" t="str">
        <f>WORLDCUP!AA134</f>
        <v>W95</v>
      </c>
      <c r="D213" s="630"/>
      <c r="E213" s="361"/>
      <c r="F213" s="361"/>
      <c r="G213" s="361"/>
      <c r="H213" s="361"/>
      <c r="I213" s="345"/>
      <c r="J213" s="361"/>
      <c r="K213" s="361"/>
      <c r="L213" s="361"/>
      <c r="M213" s="377"/>
      <c r="N213" s="368"/>
    </row>
    <row r="214" spans="1:14" ht="15" customHeight="1" x14ac:dyDescent="0.2">
      <c r="A214" s="630"/>
      <c r="B214" s="352" t="str">
        <f t="shared" si="3"/>
        <v>Cuartofinalista</v>
      </c>
      <c r="C214" s="342" t="str">
        <f>WORLDCUP!AF131</f>
        <v>W90</v>
      </c>
      <c r="D214" s="630"/>
      <c r="E214" s="361"/>
      <c r="F214" s="361"/>
      <c r="G214" s="361"/>
      <c r="H214" s="361"/>
      <c r="I214" s="345"/>
      <c r="J214" s="361"/>
      <c r="K214" s="361"/>
      <c r="L214" s="361"/>
      <c r="M214" s="377"/>
      <c r="N214" s="368"/>
    </row>
    <row r="215" spans="1:14" ht="15" customHeight="1" x14ac:dyDescent="0.2">
      <c r="A215" s="630"/>
      <c r="B215" s="352" t="str">
        <f t="shared" si="3"/>
        <v>Cuartofinalista</v>
      </c>
      <c r="C215" s="342" t="str">
        <f>WORLDCUP!AF132</f>
        <v>W94</v>
      </c>
      <c r="D215" s="630"/>
      <c r="E215" s="361"/>
      <c r="F215" s="361"/>
      <c r="G215" s="361"/>
      <c r="H215" s="361"/>
      <c r="I215" s="345"/>
      <c r="J215" s="361"/>
      <c r="K215" s="361"/>
      <c r="L215" s="361"/>
      <c r="M215" s="377"/>
      <c r="N215" s="368"/>
    </row>
    <row r="216" spans="1:14" ht="15" customHeight="1" x14ac:dyDescent="0.2">
      <c r="A216" s="630"/>
      <c r="B216" s="352" t="str">
        <f t="shared" si="3"/>
        <v>Cuartofinalista</v>
      </c>
      <c r="C216" s="342" t="str">
        <f>WORLDCUP!AF133</f>
        <v>W92</v>
      </c>
      <c r="D216" s="630"/>
      <c r="E216" s="361"/>
      <c r="F216" s="361"/>
      <c r="G216" s="361"/>
      <c r="H216" s="361"/>
      <c r="I216" s="345"/>
      <c r="J216" s="361"/>
      <c r="K216" s="361"/>
      <c r="L216" s="361"/>
      <c r="M216" s="377"/>
      <c r="N216" s="368"/>
    </row>
    <row r="217" spans="1:14" ht="15" customHeight="1" x14ac:dyDescent="0.2">
      <c r="A217" s="630"/>
      <c r="B217" s="352" t="str">
        <f t="shared" si="3"/>
        <v>Cuartofinalista</v>
      </c>
      <c r="C217" s="342" t="str">
        <f>WORLDCUP!AF134</f>
        <v>W96</v>
      </c>
      <c r="D217" s="63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3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30"/>
      <c r="E221" s="650"/>
      <c r="F221" s="650"/>
      <c r="G221" s="650"/>
      <c r="H221" s="650"/>
      <c r="I221" s="345"/>
      <c r="J221" s="361"/>
      <c r="K221" s="361"/>
      <c r="L221" s="361"/>
      <c r="M221" s="377"/>
      <c r="N221" s="368"/>
    </row>
    <row r="222" spans="1:14" ht="15" customHeight="1" x14ac:dyDescent="0.2">
      <c r="A222" s="63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30"/>
      <c r="E222" s="650"/>
      <c r="F222" s="650"/>
      <c r="G222" s="650"/>
      <c r="H222" s="650"/>
      <c r="I222" s="345"/>
      <c r="J222" s="361"/>
      <c r="K222" s="361"/>
      <c r="L222" s="361"/>
      <c r="M222" s="377"/>
      <c r="N222" s="368"/>
    </row>
    <row r="223" spans="1:14" ht="15" customHeight="1" x14ac:dyDescent="0.2">
      <c r="A223" s="63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30"/>
      <c r="E223" s="650"/>
      <c r="F223" s="650"/>
      <c r="G223" s="650"/>
      <c r="H223" s="650"/>
      <c r="I223" s="345"/>
      <c r="J223" s="361"/>
      <c r="K223" s="361"/>
      <c r="L223" s="361"/>
      <c r="M223" s="377"/>
      <c r="N223" s="368"/>
    </row>
    <row r="224" spans="1:14" x14ac:dyDescent="0.2">
      <c r="A224" s="223"/>
      <c r="B224" s="223"/>
      <c r="C224" s="343"/>
      <c r="D224" s="63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3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30"/>
      <c r="E226" s="361"/>
      <c r="F226" s="361"/>
      <c r="G226" s="361"/>
      <c r="H226" s="361"/>
      <c r="I226" s="345"/>
      <c r="J226" s="361"/>
      <c r="K226" s="361"/>
      <c r="L226" s="361"/>
      <c r="M226" s="377"/>
      <c r="N226" s="368"/>
    </row>
    <row r="227" spans="1:14" ht="15" customHeight="1" x14ac:dyDescent="0.2">
      <c r="A227" s="630"/>
      <c r="B227" s="352" t="str">
        <f>Idiomas!$D$191</f>
        <v>Semifinalista</v>
      </c>
      <c r="C227" s="342" t="str">
        <f>WORLDCUP!AA139</f>
        <v>W99</v>
      </c>
      <c r="D227" s="630"/>
      <c r="E227" s="361"/>
      <c r="F227" s="361"/>
      <c r="G227" s="361"/>
      <c r="H227" s="361"/>
      <c r="I227" s="345"/>
      <c r="J227" s="361"/>
      <c r="K227" s="361"/>
      <c r="L227" s="361"/>
      <c r="M227" s="377"/>
      <c r="N227" s="368"/>
    </row>
    <row r="228" spans="1:14" ht="15" customHeight="1" x14ac:dyDescent="0.2">
      <c r="A228" s="630"/>
      <c r="B228" s="352" t="str">
        <f>Idiomas!$D$191</f>
        <v>Semifinalista</v>
      </c>
      <c r="C228" s="342" t="str">
        <f>WORLDCUP!AF138</f>
        <v>W98</v>
      </c>
      <c r="D228" s="630"/>
      <c r="E228" s="361"/>
      <c r="F228" s="361"/>
      <c r="G228" s="361"/>
      <c r="H228" s="361"/>
      <c r="I228" s="345"/>
      <c r="J228" s="361"/>
      <c r="K228" s="361"/>
      <c r="L228" s="361"/>
      <c r="M228" s="377"/>
      <c r="N228" s="368"/>
    </row>
    <row r="229" spans="1:14" ht="15" customHeight="1" x14ac:dyDescent="0.2">
      <c r="A229" s="630"/>
      <c r="B229" s="352" t="str">
        <f>Idiomas!$D$191</f>
        <v>Semifinalista</v>
      </c>
      <c r="C229" s="342" t="str">
        <f>WORLDCUP!AF139</f>
        <v>W100</v>
      </c>
      <c r="D229" s="63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3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30"/>
      <c r="E233" s="650"/>
      <c r="F233" s="650"/>
      <c r="G233" s="650"/>
      <c r="H233" s="650"/>
      <c r="I233" s="345"/>
      <c r="J233" s="361"/>
      <c r="K233" s="361"/>
      <c r="L233" s="361"/>
      <c r="M233" s="377"/>
      <c r="N233" s="368"/>
    </row>
    <row r="234" spans="1:14" ht="15" customHeight="1" x14ac:dyDescent="0.2">
      <c r="A234" s="223"/>
      <c r="B234" s="223"/>
      <c r="C234" s="343"/>
      <c r="D234" s="63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3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30"/>
      <c r="E236" s="365"/>
      <c r="F236" s="365"/>
      <c r="G236" s="365"/>
      <c r="H236" s="365"/>
      <c r="I236" s="345"/>
      <c r="J236" s="361"/>
      <c r="K236" s="361"/>
      <c r="L236" s="361"/>
      <c r="M236" s="377"/>
      <c r="N236" s="368"/>
    </row>
    <row r="237" spans="1:14" ht="15" customHeight="1" x14ac:dyDescent="0.2">
      <c r="A237" s="630"/>
      <c r="B237" s="352" t="str">
        <f>Idiomas!D192</f>
        <v>3º y 4º puesto</v>
      </c>
      <c r="C237" s="342" t="str">
        <f>WORLDCUP!AF143</f>
        <v>L102</v>
      </c>
      <c r="D237" s="630"/>
      <c r="E237" s="365"/>
      <c r="F237" s="365"/>
      <c r="G237" s="365"/>
      <c r="H237" s="365"/>
      <c r="I237" s="345"/>
      <c r="J237" s="361"/>
      <c r="K237" s="361"/>
      <c r="L237" s="361"/>
      <c r="M237" s="377"/>
      <c r="N237" s="368"/>
    </row>
    <row r="238" spans="1:14" ht="15" customHeight="1" x14ac:dyDescent="0.2">
      <c r="A238" s="223"/>
      <c r="B238" s="223"/>
      <c r="C238" s="343"/>
      <c r="D238" s="63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3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30"/>
      <c r="E240" s="361"/>
      <c r="F240" s="361"/>
      <c r="G240" s="361"/>
      <c r="H240" s="361"/>
      <c r="I240" s="345"/>
      <c r="J240" s="361"/>
      <c r="K240" s="361"/>
      <c r="L240" s="361"/>
      <c r="M240" s="377"/>
      <c r="N240" s="368"/>
    </row>
    <row r="241" spans="1:14" ht="15" customHeight="1" x14ac:dyDescent="0.2">
      <c r="A241" s="630"/>
      <c r="B241" s="352" t="str">
        <f>B240</f>
        <v>Finalista</v>
      </c>
      <c r="C241" s="342" t="str">
        <f>WORLDCUP!AF147</f>
        <v>W102</v>
      </c>
      <c r="D241" s="63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3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3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30"/>
      <c r="E247" s="367"/>
      <c r="F247" s="367"/>
      <c r="G247" s="367"/>
      <c r="H247" s="367"/>
      <c r="I247" s="372"/>
      <c r="J247" s="361"/>
      <c r="K247" s="361"/>
      <c r="L247" s="361"/>
      <c r="M247" s="377"/>
      <c r="N247" s="368"/>
    </row>
    <row r="248" spans="1:14" ht="15" customHeight="1" x14ac:dyDescent="0.2">
      <c r="A248" s="223"/>
      <c r="B248" s="223"/>
      <c r="C248" s="343"/>
      <c r="D248" s="630"/>
      <c r="E248" s="365"/>
      <c r="F248" s="365"/>
      <c r="G248" s="365"/>
      <c r="H248" s="365"/>
      <c r="I248" s="372"/>
      <c r="J248" s="361"/>
      <c r="K248" s="361"/>
      <c r="L248" s="361"/>
      <c r="M248" s="377"/>
      <c r="N248" s="368"/>
    </row>
    <row r="249" spans="1:14" ht="19" customHeight="1" x14ac:dyDescent="0.25">
      <c r="A249" s="223"/>
      <c r="B249" s="350" t="str">
        <f>Idiomas!D139</f>
        <v>CUADRO DE HONOR</v>
      </c>
      <c r="C249" s="343"/>
      <c r="D249" s="63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3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3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3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30"/>
      <c r="G253" s="630"/>
      <c r="H253" s="63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30"/>
      <c r="F254" s="630"/>
      <c r="G254" s="630"/>
      <c r="H254" s="63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30"/>
      <c r="F255" s="630"/>
      <c r="G255" s="630"/>
      <c r="H255" s="63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30"/>
      <c r="F256" s="630"/>
      <c r="G256" s="630"/>
      <c r="H256" s="63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Esc</v>
      </c>
      <c r="I20" s="437">
        <f ca="1">+INDEX(WORLDCUP!$AM$6:$AM$97,MATCH(L20,WORLDCUP!$AI$6:$AI$97,0))</f>
        <v>3</v>
      </c>
      <c r="J20" s="438">
        <f ca="1">+INDEX(WORLDCUP!$AT$6:$AT$97,MATCH(L20,WORLDCUP!$AI$6:$AI$97,0))</f>
        <v>1</v>
      </c>
      <c r="K20" s="439" t="str">
        <f ca="1">+INDEX(WORLDCUP!$AR$6:$AR$97,MATCH(L20,WORLDCUP!$AI$6:$AI$97,0))&amp;"-"&amp;INDEX(WORLDCUP!$AS$6:$AS$97,MATCH(L20,WORLDCUP!$AI$6:$AI$97,0))</f>
        <v>1-0</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Bra</v>
      </c>
      <c r="I21" s="38">
        <f ca="1">+INDEX(WORLDCUP!$AM$6:$AM$97,MATCH(L21,WORLDCUP!$AI$6:$AI$97,0))</f>
        <v>1</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Mar</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3</v>
      </c>
      <c r="J28" s="438">
        <f ca="1">+INDEX(WORLDCUP!$AT$6:$AT$97,MATCH(L28,WORLDCUP!$AI$6:$AI$97,0))</f>
        <v>3</v>
      </c>
      <c r="K28" s="439" t="str">
        <f ca="1">+INDEX(WORLDCUP!$AR$6:$AR$97,MATCH(L28,WORLDCUP!$AI$6:$AI$97,0))&amp;"-"&amp;INDEX(WORLDCUP!$AS$6:$AS$97,MATCH(L28,WORLDCUP!$AI$6:$AI$97,0))</f>
        <v>4-1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2</v>
      </c>
      <c r="K29" s="43" t="str">
        <f ca="1">+INDEX(WORLDCUP!$AR$6:$AR$97,MATCH(L29,WORLDCUP!$AI$6:$AI$97,0))&amp;"-"&amp;INDEX(WORLDCUP!$AS$6:$AS$97,MATCH(L29,WORLDCUP!$AI$6:$AI$97,0))</f>
        <v>2-0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Marruecos</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Marruecos</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Marruecos</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Marruecos</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Marruecos</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Marruecos</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Marruecos</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Marruecos</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Marruecos</v>
      </c>
      <c r="G19" s="9" t="str">
        <f ca="1">+WORLDCUP!BD67</f>
        <v>Jordania</v>
      </c>
      <c r="H19" s="9" t="str">
        <f ca="1">+WORLDCUP!BD61</f>
        <v>Turquía</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Marruecos</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Marruecos</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Marruecos</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Marruecos</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Marruecos</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Marruecos</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Marruecos</v>
      </c>
      <c r="G26" s="9" t="str">
        <f ca="1">+WORLDCUP!BD65</f>
        <v>España</v>
      </c>
      <c r="H26" s="9" t="str">
        <f ca="1">+WORLDCUP!BD61</f>
        <v>Turquía</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Marruecos</v>
      </c>
      <c r="G27" s="9" t="str">
        <f ca="1">+WORLDCUP!BD67</f>
        <v>Jordania</v>
      </c>
      <c r="H27" s="9" t="str">
        <f ca="1">+WORLDCUP!BD61</f>
        <v>Turquía</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Marruecos</v>
      </c>
      <c r="G28" s="9" t="str">
        <f ca="1">+WORLDCUP!BD65</f>
        <v>España</v>
      </c>
      <c r="H28" s="9" t="str">
        <f ca="1">+WORLDCUP!BD61</f>
        <v>Turquía</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Marruecos</v>
      </c>
      <c r="G29" s="9" t="str">
        <f ca="1">+WORLDCUP!BD65</f>
        <v>España</v>
      </c>
      <c r="H29" s="9" t="str">
        <f ca="1">+WORLDCUP!BD61</f>
        <v>Turquía</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Marruecos</v>
      </c>
      <c r="G30" s="9" t="str">
        <f ca="1">+WORLDCUP!BD65</f>
        <v>España</v>
      </c>
      <c r="H30" s="9" t="str">
        <f ca="1">+WORLDCUP!BD61</f>
        <v>Turquía</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Marruecos</v>
      </c>
      <c r="G31" s="9" t="str">
        <f ca="1">+WORLDCUP!BD65</f>
        <v>España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Marruecos</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Marruecos</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Marruecos</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Marruecos</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Marruecos</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Marruecos</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Marruecos</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Marruecos</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Marruecos</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Marruecos</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Marruecos</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Marruecos</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Marruecos</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Marruecos</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Marruecos</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Bosnia y Herzegovina</v>
      </c>
      <c r="F55" s="9" t="str">
        <f ca="1">+WORLDCUP!BD61</f>
        <v>Turquía</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Bosnia y Herzegovina</v>
      </c>
      <c r="F56" s="9" t="str">
        <f ca="1">+WORLDCUP!BD61</f>
        <v>Turquía</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Turquía</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Bosnia y Herzegovina</v>
      </c>
      <c r="F58" s="9" t="str">
        <f ca="1">+WORLDCUP!BD61</f>
        <v>Turquía</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Bosnia y Herzegovina</v>
      </c>
      <c r="F59" s="9" t="str">
        <f ca="1">+WORLDCUP!BD61</f>
        <v>Turquía</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Bosnia y Herzegovina</v>
      </c>
      <c r="F60" s="9" t="str">
        <f ca="1">+WORLDCUP!BD61</f>
        <v>Turquía</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Bosnia y Herzegovina</v>
      </c>
      <c r="F61" s="9" t="str">
        <f ca="1">+WORLDCUP!BD61</f>
        <v>Turquía</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Turquía</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Turquía</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Turquía</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Turquía</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Turquía</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Turquía</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Turquía</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Turquía</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Turquía</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Turquía</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Turquía</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Turquía</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Turquía</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Turquía</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Turquía</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Bosnia y Herzegovina</v>
      </c>
      <c r="F78" s="9" t="str">
        <f ca="1">+WORLDCUP!BD61</f>
        <v>Turquía</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Bosnia y Herzegovina</v>
      </c>
      <c r="F79" s="9" t="str">
        <f ca="1">+WORLDCUP!BD61</f>
        <v>Turquía</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Turquía</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Turquía</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Bosnia y Herzegovina</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Bosnia y Herzegovina</v>
      </c>
      <c r="F83" s="9" t="str">
        <f ca="1">+WORLDCUP!BD60</f>
        <v>Marruecos</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Bosnia y Herzegovina</v>
      </c>
      <c r="F84" s="9" t="str">
        <f ca="1">+WORLDCUP!BD60</f>
        <v>Marruecos</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Marruecos</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Bosnia y Herzegovina</v>
      </c>
      <c r="F86" s="9" t="str">
        <f ca="1">+WORLDCUP!BD60</f>
        <v>Marruecos</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Bosnia y Herzegovina</v>
      </c>
      <c r="F87" s="9" t="str">
        <f ca="1">+WORLDCUP!BD60</f>
        <v>Marruecos</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Bosnia y Herzegovina</v>
      </c>
      <c r="F88" s="9" t="str">
        <f ca="1">+WORLDCUP!BD60</f>
        <v>Marruecos</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Bosnia y Herzegovina</v>
      </c>
      <c r="F89" s="9" t="str">
        <f ca="1">+WORLDCUP!BD60</f>
        <v>Marruecos</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Marruecos</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Marruecos</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Marruecos</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Marruecos</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Marruecos</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Marruecos</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Marruecos</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Marruecos</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Marruecos</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Marruecos</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Marruecos</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Marruecos</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Marruecos</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Marruecos</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Marruecos</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Marruecos</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Bosnia y Herzegovina</v>
      </c>
      <c r="F106" s="9" t="str">
        <f ca="1">+WORLDCUP!BD60</f>
        <v>Marruecos</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Bosnia y Herzegovina</v>
      </c>
      <c r="F107" s="9" t="str">
        <f ca="1">+WORLDCUP!BD60</f>
        <v>Marruecos</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Marruecos</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Marruecos</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Bosnia y Herzegovina</v>
      </c>
      <c r="F110" s="9" t="str">
        <f ca="1">+WORLDCUP!BD60</f>
        <v>Marruecos</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Bosnia y Herzegovina</v>
      </c>
      <c r="F111" s="9" t="str">
        <f ca="1">+WORLDCUP!BD60</f>
        <v>Marruecos</v>
      </c>
      <c r="G111" s="9" t="str">
        <f ca="1">+WORLDCUP!BD66</f>
        <v>Senegal</v>
      </c>
      <c r="H111" s="9" t="str">
        <f ca="1">+WORLDCUP!BD61</f>
        <v>Turquía</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Marruecos</v>
      </c>
      <c r="G112" s="9" t="str">
        <f ca="1">+WORLDCUP!BD67</f>
        <v>Jordania</v>
      </c>
      <c r="H112" s="9" t="str">
        <f ca="1">+WORLDCUP!BD61</f>
        <v>Turquía</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Bosnia y Herzegovina</v>
      </c>
      <c r="F113" s="9" t="str">
        <f ca="1">+WORLDCUP!BD60</f>
        <v>Marruecos</v>
      </c>
      <c r="G113" s="9" t="str">
        <f ca="1">+WORLDCUP!BD67</f>
        <v>Jordania</v>
      </c>
      <c r="H113" s="9" t="str">
        <f ca="1">+WORLDCUP!BD61</f>
        <v>Turquía</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Bosnia y Herzegovina</v>
      </c>
      <c r="F114" s="9" t="str">
        <f ca="1">+WORLDCUP!BD60</f>
        <v>Marruecos</v>
      </c>
      <c r="G114" s="9" t="str">
        <f ca="1">+WORLDCUP!BD66</f>
        <v>Senegal</v>
      </c>
      <c r="H114" s="9" t="str">
        <f ca="1">+WORLDCUP!BD61</f>
        <v>Turquía</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Bosnia y Herzegovina</v>
      </c>
      <c r="F115" s="9" t="str">
        <f ca="1">+WORLDCUP!BD60</f>
        <v>Marruecos</v>
      </c>
      <c r="G115" s="9" t="str">
        <f ca="1">+WORLDCUP!BD67</f>
        <v>Jordania</v>
      </c>
      <c r="H115" s="9" t="str">
        <f ca="1">+WORLDCUP!BD61</f>
        <v>Turquía</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Bosnia y Herzegovina</v>
      </c>
      <c r="F116" s="9" t="str">
        <f ca="1">+WORLDCUP!BD60</f>
        <v>Marruecos</v>
      </c>
      <c r="G116" s="9" t="str">
        <f ca="1">+WORLDCUP!BD67</f>
        <v>Jordania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Marruecos</v>
      </c>
      <c r="D117" s="9" t="str">
        <f ca="1">+WORLDCUP!BD67</f>
        <v>Jordania</v>
      </c>
      <c r="E117" s="9" t="str">
        <f ca="1">+WORLDCUP!BD59</f>
        <v>Bosnia y Herzegovina</v>
      </c>
      <c r="F117" s="9" t="str">
        <f ca="1">+WORLDCUP!BD61</f>
        <v>Turquía</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Marruecos</v>
      </c>
      <c r="D118" s="9" t="str">
        <f ca="1">+WORLDCUP!BD67</f>
        <v>Jordania</v>
      </c>
      <c r="E118" s="9" t="str">
        <f ca="1">+WORLDCUP!BD59</f>
        <v>Bosnia y Herzegovina</v>
      </c>
      <c r="F118" s="9" t="str">
        <f ca="1">+WORLDCUP!BD61</f>
        <v>Turquía</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Marruecos</v>
      </c>
      <c r="D119" s="9" t="str">
        <f ca="1">+WORLDCUP!BD66</f>
        <v>Senegal</v>
      </c>
      <c r="E119" s="9" t="str">
        <f ca="1">+WORLDCUP!BD59</f>
        <v>Bosnia y Herzegovina</v>
      </c>
      <c r="F119" s="9" t="str">
        <f ca="1">+WORLDCUP!BD61</f>
        <v>Turquía</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Marruecos</v>
      </c>
      <c r="D120" s="9" t="str">
        <f ca="1">+WORLDCUP!BD67</f>
        <v>Jordania</v>
      </c>
      <c r="E120" s="9" t="str">
        <f ca="1">+WORLDCUP!BD59</f>
        <v>Bosnia y Herzegovina</v>
      </c>
      <c r="F120" s="9" t="str">
        <f ca="1">+WORLDCUP!BD61</f>
        <v>Turquía</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Marruecos</v>
      </c>
      <c r="D121" s="9" t="str">
        <f ca="1">+WORLDCUP!BD67</f>
        <v>Jordania</v>
      </c>
      <c r="E121" s="9" t="str">
        <f ca="1">+WORLDCUP!BD59</f>
        <v>Bosnia y Herzegovina</v>
      </c>
      <c r="F121" s="9" t="str">
        <f ca="1">+WORLDCUP!BD61</f>
        <v>Turquía</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Marruecos</v>
      </c>
      <c r="D122" s="9" t="str">
        <f ca="1">+WORLDCUP!BD64</f>
        <v>Bélgica</v>
      </c>
      <c r="E122" s="9" t="str">
        <f ca="1">+WORLDCUP!BD59</f>
        <v>Bosnia y Herzegovina</v>
      </c>
      <c r="F122" s="9" t="str">
        <f ca="1">+WORLDCUP!BD61</f>
        <v>Turquía</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Marruecos</v>
      </c>
      <c r="D123" s="9" t="str">
        <f ca="1">+WORLDCUP!BD64</f>
        <v>Bélgica</v>
      </c>
      <c r="E123" s="9" t="str">
        <f ca="1">+WORLDCUP!BD59</f>
        <v>Bosnia y Herzegovina</v>
      </c>
      <c r="F123" s="9" t="str">
        <f ca="1">+WORLDCUP!BD61</f>
        <v>Turquía</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Marruecos</v>
      </c>
      <c r="D124" s="9" t="str">
        <f ca="1">+WORLDCUP!BD64</f>
        <v>Bélgica</v>
      </c>
      <c r="E124" s="9" t="str">
        <f ca="1">+WORLDCUP!BD59</f>
        <v>Bosnia y Herzegovina</v>
      </c>
      <c r="F124" s="9" t="str">
        <f ca="1">+WORLDCUP!BD61</f>
        <v>Turquía</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Marruecos</v>
      </c>
      <c r="D125" s="9" t="str">
        <f ca="1">+WORLDCUP!BD64</f>
        <v>Bélgica</v>
      </c>
      <c r="E125" s="9" t="str">
        <f ca="1">+WORLDCUP!BD59</f>
        <v>Bosnia y Herzegovina</v>
      </c>
      <c r="F125" s="9" t="str">
        <f ca="1">+WORLDCUP!BD61</f>
        <v>Turquía</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Marruecos</v>
      </c>
      <c r="D126" s="9" t="str">
        <f ca="1">+WORLDCUP!BD64</f>
        <v>Bélgica</v>
      </c>
      <c r="E126" s="9" t="str">
        <f ca="1">+WORLDCUP!BD59</f>
        <v>Bosnia y Herzegovina</v>
      </c>
      <c r="F126" s="9" t="str">
        <f ca="1">+WORLDCUP!BD61</f>
        <v>Turquía</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Marruecos</v>
      </c>
      <c r="D127" s="9" t="str">
        <f ca="1">+WORLDCUP!BD64</f>
        <v>Bélgica</v>
      </c>
      <c r="E127" s="9" t="str">
        <f ca="1">+WORLDCUP!BD59</f>
        <v>Bosnia y Herzegovina</v>
      </c>
      <c r="F127" s="9" t="str">
        <f ca="1">+WORLDCUP!BD61</f>
        <v>Turquía</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Bosnia y Herzegovina</v>
      </c>
      <c r="F128" s="9" t="str">
        <f ca="1">+WORLDCUP!BD60</f>
        <v>Marruecos</v>
      </c>
      <c r="G128" s="9" t="str">
        <f ca="1">+WORLDCUP!BD67</f>
        <v>Jordania</v>
      </c>
      <c r="H128" s="9" t="str">
        <f ca="1">+WORLDCUP!BD63</f>
        <v>Japón</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Marruecos</v>
      </c>
      <c r="D129" s="9" t="str">
        <f ca="1">+WORLDCUP!BD64</f>
        <v>Bélgica</v>
      </c>
      <c r="E129" s="9" t="str">
        <f ca="1">+WORLDCUP!BD59</f>
        <v>Bosnia y Herzegovina</v>
      </c>
      <c r="F129" s="9" t="str">
        <f ca="1">+WORLDCUP!BD61</f>
        <v>Turquía</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Marruecos</v>
      </c>
      <c r="D130" s="9" t="str">
        <f ca="1">+WORLDCUP!BD64</f>
        <v>Bélgica</v>
      </c>
      <c r="E130" s="9" t="str">
        <f ca="1">+WORLDCUP!BD59</f>
        <v>Bosnia y Herzegovina</v>
      </c>
      <c r="F130" s="9" t="str">
        <f ca="1">+WORLDCUP!BD61</f>
        <v>Turquía</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Bosnia y Herzegovina</v>
      </c>
      <c r="F131" s="9" t="str">
        <f ca="1">+WORLDCUP!BD60</f>
        <v>Marruecos</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Marruecos</v>
      </c>
      <c r="G132" s="9" t="str">
        <f ca="1">+WORLDCUP!BD66</f>
        <v>Senegal</v>
      </c>
      <c r="H132" s="9" t="str">
        <f ca="1">+WORLDCUP!BD61</f>
        <v>Turquía</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Marruecos</v>
      </c>
      <c r="G133" s="9" t="str">
        <f ca="1">+WORLDCUP!BD65</f>
        <v>España</v>
      </c>
      <c r="H133" s="9" t="str">
        <f ca="1">+WORLDCUP!BD61</f>
        <v>Turquía</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Marruecos</v>
      </c>
      <c r="G134" s="9" t="str">
        <f ca="1">+WORLDCUP!BD65</f>
        <v>España</v>
      </c>
      <c r="H134" s="9" t="str">
        <f ca="1">+WORLDCUP!BD61</f>
        <v>Turquía</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Marruecos</v>
      </c>
      <c r="G135" s="9" t="str">
        <f ca="1">+WORLDCUP!BD65</f>
        <v>España</v>
      </c>
      <c r="H135" s="9" t="str">
        <f ca="1">+WORLDCUP!BD61</f>
        <v>Turquía</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Marruecos</v>
      </c>
      <c r="G136" s="9" t="str">
        <f ca="1">+WORLDCUP!BD65</f>
        <v>España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Marruecos</v>
      </c>
      <c r="G137" s="9" t="str">
        <f ca="1">+WORLDCUP!BD67</f>
        <v>Jordania</v>
      </c>
      <c r="H137" s="9" t="str">
        <f ca="1">+WORLDCUP!BD61</f>
        <v>Turquía</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Marruecos</v>
      </c>
      <c r="G138" s="9" t="str">
        <f ca="1">+WORLDCUP!BD66</f>
        <v>Senegal</v>
      </c>
      <c r="H138" s="9" t="str">
        <f ca="1">+WORLDCUP!BD61</f>
        <v>Turquía</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Marruecos</v>
      </c>
      <c r="G139" s="9" t="str">
        <f ca="1">+WORLDCUP!BD67</f>
        <v>Jordania</v>
      </c>
      <c r="H139" s="9" t="str">
        <f ca="1">+WORLDCUP!BD61</f>
        <v>Turquía</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Marruecos</v>
      </c>
      <c r="G140" s="9" t="str">
        <f ca="1">+WORLDCUP!BD67</f>
        <v>Jordania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Marruecos</v>
      </c>
      <c r="G141" s="9" t="str">
        <f ca="1">+WORLDCUP!BD65</f>
        <v>España</v>
      </c>
      <c r="H141" s="9" t="str">
        <f ca="1">+WORLDCUP!BD61</f>
        <v>Turquía</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Bosnia y Herzegovina</v>
      </c>
      <c r="F142" s="9" t="str">
        <f ca="1">+WORLDCUP!BD60</f>
        <v>Marruecos</v>
      </c>
      <c r="G142" s="9" t="str">
        <f ca="1">+WORLDCUP!BD67</f>
        <v>Jordania</v>
      </c>
      <c r="H142" s="9" t="str">
        <f ca="1">+WORLDCUP!BD61</f>
        <v>Turquía</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Bosnia y Herzegovina</v>
      </c>
      <c r="F143" s="9" t="str">
        <f ca="1">+WORLDCUP!BD60</f>
        <v>Marruecos</v>
      </c>
      <c r="G143" s="9" t="str">
        <f ca="1">+WORLDCUP!BD67</f>
        <v>Jordania</v>
      </c>
      <c r="H143" s="9" t="str">
        <f ca="1">+WORLDCUP!BD61</f>
        <v>Turquía</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Marruecos</v>
      </c>
      <c r="G144" s="9" t="str">
        <f ca="1">+WORLDCUP!BD65</f>
        <v>España</v>
      </c>
      <c r="H144" s="9" t="str">
        <f ca="1">+WORLDCUP!BD61</f>
        <v>Turquía</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Marruecos</v>
      </c>
      <c r="G145" s="9" t="str">
        <f ca="1">+WORLDCUP!BD65</f>
        <v>España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Bosnia y Herzegovina</v>
      </c>
      <c r="F146" s="9" t="str">
        <f ca="1">+WORLDCUP!BD60</f>
        <v>Marruecos</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Marruecos</v>
      </c>
      <c r="D147" s="9" t="str">
        <f ca="1">+WORLDCUP!BD67</f>
        <v>Jordania</v>
      </c>
      <c r="E147" s="9" t="str">
        <f ca="1">+WORLDCUP!BD59</f>
        <v>Bosnia y Herzegovina</v>
      </c>
      <c r="F147" s="9" t="str">
        <f ca="1">+WORLDCUP!BD61</f>
        <v>Turquía</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Marruecos</v>
      </c>
      <c r="D148" s="9" t="str">
        <f ca="1">+WORLDCUP!BD62</f>
        <v>Ecuador</v>
      </c>
      <c r="E148" s="9" t="str">
        <f ca="1">+WORLDCUP!BD59</f>
        <v>Bosnia y Herzegovina</v>
      </c>
      <c r="F148" s="9" t="str">
        <f ca="1">+WORLDCUP!BD61</f>
        <v>Turquía</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Marruecos</v>
      </c>
      <c r="D149" s="9" t="str">
        <f ca="1">+WORLDCUP!BD67</f>
        <v>Jordania</v>
      </c>
      <c r="E149" s="9" t="str">
        <f ca="1">+WORLDCUP!BD59</f>
        <v>Bosnia y Herzegovina</v>
      </c>
      <c r="F149" s="9" t="str">
        <f ca="1">+WORLDCUP!BD61</f>
        <v>Turquía</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Marruecos</v>
      </c>
      <c r="D150" s="9" t="str">
        <f ca="1">+WORLDCUP!BD67</f>
        <v>Jordania</v>
      </c>
      <c r="E150" s="9" t="str">
        <f ca="1">+WORLDCUP!BD59</f>
        <v>Bosnia y Herzegovina</v>
      </c>
      <c r="F150" s="9" t="str">
        <f ca="1">+WORLDCUP!BD61</f>
        <v>Turquía</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Marruecos</v>
      </c>
      <c r="D151" s="9" t="str">
        <f ca="1">+WORLDCUP!BD62</f>
        <v>Ecuador</v>
      </c>
      <c r="E151" s="9" t="str">
        <f ca="1">+WORLDCUP!BD59</f>
        <v>Bosnia y Herzegovina</v>
      </c>
      <c r="F151" s="9" t="str">
        <f ca="1">+WORLDCUP!BD61</f>
        <v>Turquía</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Marruecos</v>
      </c>
      <c r="D152" s="9" t="str">
        <f ca="1">+WORLDCUP!BD67</f>
        <v>Jordania</v>
      </c>
      <c r="E152" s="9" t="str">
        <f ca="1">+WORLDCUP!BD59</f>
        <v>Bosnia y Herzegovina</v>
      </c>
      <c r="F152" s="9" t="str">
        <f ca="1">+WORLDCUP!BD61</f>
        <v>Turquía</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Marruecos</v>
      </c>
      <c r="D153" s="9" t="str">
        <f ca="1">+WORLDCUP!BD67</f>
        <v>Jordania</v>
      </c>
      <c r="E153" s="9" t="str">
        <f ca="1">+WORLDCUP!BD59</f>
        <v>Bosnia y Herzegovina</v>
      </c>
      <c r="F153" s="9" t="str">
        <f ca="1">+WORLDCUP!BD61</f>
        <v>Turquía</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Marruecos</v>
      </c>
      <c r="D154" s="9" t="str">
        <f ca="1">+WORLDCUP!BD62</f>
        <v>Ecuador</v>
      </c>
      <c r="E154" s="9" t="str">
        <f ca="1">+WORLDCUP!BD59</f>
        <v>Bosnia y Herzegovina</v>
      </c>
      <c r="F154" s="9" t="str">
        <f ca="1">+WORLDCUP!BD61</f>
        <v>Turquía</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Marruecos</v>
      </c>
      <c r="D155" s="9" t="str">
        <f ca="1">+WORLDCUP!BD62</f>
        <v>Ecuador</v>
      </c>
      <c r="E155" s="9" t="str">
        <f ca="1">+WORLDCUP!BD59</f>
        <v>Bosnia y Herzegovina</v>
      </c>
      <c r="F155" s="9" t="str">
        <f ca="1">+WORLDCUP!BD61</f>
        <v>Turquía</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Marruecos</v>
      </c>
      <c r="D156" s="9" t="str">
        <f ca="1">+WORLDCUP!BD67</f>
        <v>Jordania</v>
      </c>
      <c r="E156" s="9" t="str">
        <f ca="1">+WORLDCUP!BD59</f>
        <v>Bosnia y Herzegovina</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Marruecos</v>
      </c>
      <c r="D157" s="9" t="str">
        <f ca="1">+WORLDCUP!BD64</f>
        <v>Bélgica</v>
      </c>
      <c r="E157" s="9" t="str">
        <f ca="1">+WORLDCUP!BD59</f>
        <v>Bosnia y Herzegovina</v>
      </c>
      <c r="F157" s="9" t="str">
        <f ca="1">+WORLDCUP!BD61</f>
        <v>Turquía</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Marruecos</v>
      </c>
      <c r="D158" s="9" t="str">
        <f ca="1">+WORLDCUP!BD64</f>
        <v>Bélgica</v>
      </c>
      <c r="E158" s="9" t="str">
        <f ca="1">+WORLDCUP!BD59</f>
        <v>Bosnia y Herzegovina</v>
      </c>
      <c r="F158" s="9" t="str">
        <f ca="1">+WORLDCUP!BD61</f>
        <v>Turquía</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Marruecos</v>
      </c>
      <c r="D159" s="9" t="str">
        <f ca="1">+WORLDCUP!BD64</f>
        <v>Bélgica</v>
      </c>
      <c r="E159" s="9" t="str">
        <f ca="1">+WORLDCUP!BD59</f>
        <v>Bosnia y Herzegovina</v>
      </c>
      <c r="F159" s="9" t="str">
        <f ca="1">+WORLDCUP!BD61</f>
        <v>Turquía</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Marruecos</v>
      </c>
      <c r="D160" s="9" t="str">
        <f ca="1">+WORLDCUP!BD64</f>
        <v>Bélgica</v>
      </c>
      <c r="E160" s="9" t="str">
        <f ca="1">+WORLDCUP!BD59</f>
        <v>Bosnia y Herzegovina</v>
      </c>
      <c r="F160" s="9" t="str">
        <f ca="1">+WORLDCUP!BD61</f>
        <v>Turquía</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Marruecos</v>
      </c>
      <c r="D161" s="9" t="str">
        <f ca="1">+WORLDCUP!BD64</f>
        <v>Bélgica</v>
      </c>
      <c r="E161" s="9" t="str">
        <f ca="1">+WORLDCUP!BD59</f>
        <v>Bosnia y Herzegovina</v>
      </c>
      <c r="F161" s="9" t="str">
        <f ca="1">+WORLDCUP!BD61</f>
        <v>Turquía</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Marruecos</v>
      </c>
      <c r="D162" s="9" t="str">
        <f ca="1">+WORLDCUP!BD64</f>
        <v>Bélgica</v>
      </c>
      <c r="E162" s="9" t="str">
        <f ca="1">+WORLDCUP!BD59</f>
        <v>Bosnia y Herzegovina</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Marruecos</v>
      </c>
      <c r="D163" s="9" t="str">
        <f ca="1">+WORLDCUP!BD64</f>
        <v>Bélgica</v>
      </c>
      <c r="E163" s="9" t="str">
        <f ca="1">+WORLDCUP!BD59</f>
        <v>Bosnia y Herzegovina</v>
      </c>
      <c r="F163" s="9" t="str">
        <f ca="1">+WORLDCUP!BD61</f>
        <v>Turquía</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Marruecos</v>
      </c>
      <c r="D164" s="9" t="str">
        <f ca="1">+WORLDCUP!BD64</f>
        <v>Bélgica</v>
      </c>
      <c r="E164" s="9" t="str">
        <f ca="1">+WORLDCUP!BD59</f>
        <v>Bosnia y Herzegovina</v>
      </c>
      <c r="F164" s="9" t="str">
        <f ca="1">+WORLDCUP!BD61</f>
        <v>Turquía</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Bosnia y Herzegovina</v>
      </c>
      <c r="F165" s="9" t="str">
        <f ca="1">+WORLDCUP!BD60</f>
        <v>Marruecos</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Marruecos</v>
      </c>
      <c r="D166" s="9" t="str">
        <f ca="1">+WORLDCUP!BD64</f>
        <v>Bélgica</v>
      </c>
      <c r="E166" s="9" t="str">
        <f ca="1">+WORLDCUP!BD59</f>
        <v>Bosnia y Herzegovina</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Marruecos</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Marruecos</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Marruecos</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Marruecos</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Marruecos</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Marruecos</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Marruecos</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Marruecos</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Marruecos</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Marruecos</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Marruecos</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Marruecos</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Marruecos</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Marruecos</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Marruecos</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Marruecos</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Marruecos</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Marruecos</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Marruecos</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Marruecos</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Marruecos</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Marruecos</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Marruecos</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Marruecos</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Marruecos</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Marruecos</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Marruecos</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Marruecos</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Marruecos</v>
      </c>
      <c r="G231" s="9" t="str">
        <f ca="1">+WORLDCUP!BD58</f>
        <v>República Checa</v>
      </c>
      <c r="H231" s="9" t="str">
        <f ca="1">+WORLDCUP!BD61</f>
        <v>Turquía</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Marruecos</v>
      </c>
      <c r="G232" s="9" t="str">
        <f ca="1">+WORLDCUP!BD58</f>
        <v>República Checa</v>
      </c>
      <c r="H232" s="9" t="str">
        <f ca="1">+WORLDCUP!BD61</f>
        <v>Turquía</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Marruecos</v>
      </c>
      <c r="G233" s="9" t="str">
        <f ca="1">+WORLDCUP!BD58</f>
        <v>República Checa</v>
      </c>
      <c r="H233" s="9" t="str">
        <f ca="1">+WORLDCUP!BD61</f>
        <v>Turquía</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Marruecos</v>
      </c>
      <c r="G234" s="9" t="str">
        <f ca="1">+WORLDCUP!BD58</f>
        <v>República Checa</v>
      </c>
      <c r="H234" s="9" t="str">
        <f ca="1">+WORLDCUP!BD61</f>
        <v>Turquía</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Marruecos</v>
      </c>
      <c r="G235" s="9" t="str">
        <f ca="1">+WORLDCUP!BD58</f>
        <v>República Checa</v>
      </c>
      <c r="H235" s="9" t="str">
        <f ca="1">+WORLDCUP!BD61</f>
        <v>Turquía</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Marruecos</v>
      </c>
      <c r="G236" s="9" t="str">
        <f ca="1">+WORLDCUP!BD58</f>
        <v>República Checa</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Marruecos</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Marruecos</v>
      </c>
      <c r="G238" s="9" t="str">
        <f ca="1">+WORLDCUP!BD58</f>
        <v>República Checa</v>
      </c>
      <c r="H238" s="9" t="str">
        <f ca="1">+WORLDCUP!BD61</f>
        <v>Turquía</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Marruecos</v>
      </c>
      <c r="G239" s="9" t="str">
        <f ca="1">+WORLDCUP!BD58</f>
        <v>República Checa</v>
      </c>
      <c r="H239" s="9" t="str">
        <f ca="1">+WORLDCUP!BD61</f>
        <v>Turquía</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Marruecos</v>
      </c>
      <c r="G240" s="9" t="str">
        <f ca="1">+WORLDCUP!BD58</f>
        <v>República Checa</v>
      </c>
      <c r="H240" s="9" t="str">
        <f ca="1">+WORLDCUP!BD61</f>
        <v>Turquía</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Marruecos</v>
      </c>
      <c r="G241" s="9" t="str">
        <f ca="1">+WORLDCUP!BD58</f>
        <v>República Checa</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Marruecos</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Marruecos</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Marruecos</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Marruecos</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Marruecos</v>
      </c>
      <c r="G246" s="9" t="str">
        <f ca="1">+WORLDCUP!BD58</f>
        <v>República Checa</v>
      </c>
      <c r="H246" s="9" t="str">
        <f ca="1">+WORLDCUP!BD61</f>
        <v>Turquía</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Marruecos</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Marruecos</v>
      </c>
      <c r="G248" s="9" t="str">
        <f ca="1">+WORLDCUP!BD58</f>
        <v>República Checa</v>
      </c>
      <c r="H248" s="9" t="str">
        <f ca="1">+WORLDCUP!BD63</f>
        <v>Japón</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Marruecos</v>
      </c>
      <c r="G249" s="9" t="str">
        <f ca="1">+WORLDCUP!BD58</f>
        <v>República Checa</v>
      </c>
      <c r="H249" s="9" t="str">
        <f ca="1">+WORLDCUP!BD61</f>
        <v>Turquía</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Marruecos</v>
      </c>
      <c r="G250" s="9" t="str">
        <f ca="1">+WORLDCUP!BD58</f>
        <v>República Checa</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Marruecos</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Marruecos</v>
      </c>
      <c r="G252" s="9" t="str">
        <f ca="1">+WORLDCUP!BD58</f>
        <v>República Checa</v>
      </c>
      <c r="H252" s="9" t="str">
        <f ca="1">+WORLDCUP!BD61</f>
        <v>Turquía</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Marruecos</v>
      </c>
      <c r="G253" s="9" t="str">
        <f ca="1">+WORLDCUP!BD58</f>
        <v>República Checa</v>
      </c>
      <c r="H253" s="9" t="str">
        <f ca="1">+WORLDCUP!BD61</f>
        <v>Turquía</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Marruecos</v>
      </c>
      <c r="G254" s="9" t="str">
        <f ca="1">+WORLDCUP!BD58</f>
        <v>República Checa</v>
      </c>
      <c r="H254" s="9" t="str">
        <f ca="1">+WORLDCUP!BD61</f>
        <v>Turquía</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Marruecos</v>
      </c>
      <c r="G255" s="9" t="str">
        <f ca="1">+WORLDCUP!BD58</f>
        <v>República Checa</v>
      </c>
      <c r="H255" s="9" t="str">
        <f ca="1">+WORLDCUP!BD61</f>
        <v>Turquía</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Marruecos</v>
      </c>
      <c r="G256" s="9" t="str">
        <f ca="1">+WORLDCUP!BD58</f>
        <v>República Checa</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Marruecos</v>
      </c>
      <c r="G257" s="9" t="str">
        <f ca="1">+WORLDCUP!BD58</f>
        <v>República Checa</v>
      </c>
      <c r="H257" s="9" t="str">
        <f ca="1">+WORLDCUP!BD61</f>
        <v>Turquía</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Marruecos</v>
      </c>
      <c r="G258" s="9" t="str">
        <f ca="1">+WORLDCUP!BD58</f>
        <v>República Checa</v>
      </c>
      <c r="H258" s="9" t="str">
        <f ca="1">+WORLDCUP!BD61</f>
        <v>Turquía</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Marruecos</v>
      </c>
      <c r="G259" s="9" t="str">
        <f ca="1">+WORLDCUP!BD58</f>
        <v>República Checa</v>
      </c>
      <c r="H259" s="9" t="str">
        <f ca="1">+WORLDCUP!BD61</f>
        <v>Turquía</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Marruecos</v>
      </c>
      <c r="G260" s="9" t="str">
        <f ca="1">+WORLDCUP!BD58</f>
        <v>República Checa</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Marruecos</v>
      </c>
      <c r="G261" s="9" t="str">
        <f ca="1">+WORLDCUP!BD58</f>
        <v>República Checa</v>
      </c>
      <c r="H261" s="9" t="str">
        <f ca="1">+WORLDCUP!BD61</f>
        <v>Turquía</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Marruecos</v>
      </c>
      <c r="G262" s="9" t="str">
        <f ca="1">+WORLDCUP!BD58</f>
        <v>República Checa</v>
      </c>
      <c r="H262" s="9" t="str">
        <f ca="1">+WORLDCUP!BD61</f>
        <v>Turquía</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Marruecos</v>
      </c>
      <c r="G263" s="9" t="str">
        <f ca="1">+WORLDCUP!BD58</f>
        <v>República Checa</v>
      </c>
      <c r="H263" s="9" t="str">
        <f ca="1">+WORLDCUP!BD61</f>
        <v>Turquía</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Marruecos</v>
      </c>
      <c r="G264" s="9" t="str">
        <f ca="1">+WORLDCUP!BD58</f>
        <v>República Checa</v>
      </c>
      <c r="H264" s="9" t="str">
        <f ca="1">+WORLDCUP!BD61</f>
        <v>Turquía</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Marruecos</v>
      </c>
      <c r="G265" s="9" t="str">
        <f ca="1">+WORLDCUP!BD58</f>
        <v>República Checa</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Marruecos</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Marruecos</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Marruecos</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Marruecos</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Marruecos</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Marruecos</v>
      </c>
      <c r="G271" s="9" t="str">
        <f ca="1">+WORLDCUP!BD58</f>
        <v>República Checa</v>
      </c>
      <c r="H271" s="9" t="str">
        <f ca="1">+WORLDCUP!BD61</f>
        <v>Turquía</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Marruecos</v>
      </c>
      <c r="G272" s="9" t="str">
        <f ca="1">+WORLDCUP!BD58</f>
        <v>República Checa</v>
      </c>
      <c r="H272" s="9" t="str">
        <f ca="1">+WORLDCUP!BD61</f>
        <v>Turquía</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Marruecos</v>
      </c>
      <c r="G273" s="9" t="str">
        <f ca="1">+WORLDCUP!BD58</f>
        <v>República Checa</v>
      </c>
      <c r="H273" s="9" t="str">
        <f ca="1">+WORLDCUP!BD63</f>
        <v>Japón</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Marruecos</v>
      </c>
      <c r="G274" s="9" t="str">
        <f ca="1">+WORLDCUP!BD58</f>
        <v>República Checa</v>
      </c>
      <c r="H274" s="9" t="str">
        <f ca="1">+WORLDCUP!BD61</f>
        <v>Turquía</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Marruecos</v>
      </c>
      <c r="G275" s="9" t="str">
        <f ca="1">+WORLDCUP!BD58</f>
        <v>República Checa</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Marruecos</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Marruecos</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Marruecos</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Marruecos</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Marruecos</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Marruecos</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Marruecos</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Marruecos</v>
      </c>
      <c r="G283" s="9" t="str">
        <f ca="1">+WORLDCUP!BD58</f>
        <v>República Checa</v>
      </c>
      <c r="H283" s="9" t="str">
        <f ca="1">+WORLDCUP!BD61</f>
        <v>Turquía</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Marruecos</v>
      </c>
      <c r="G284" s="9" t="str">
        <f ca="1">+WORLDCUP!BD58</f>
        <v>República Checa</v>
      </c>
      <c r="H284" s="9" t="str">
        <f ca="1">+WORLDCUP!BD63</f>
        <v>Japón</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Marruecos</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Marruecos</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Bosnia y Herzegovina</v>
      </c>
      <c r="F317" s="9" t="str">
        <f ca="1">+WORLDCUP!BD61</f>
        <v>Turquía</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Turquía</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Bosnia y Herzegovina</v>
      </c>
      <c r="F319" s="9" t="str">
        <f ca="1">+WORLDCUP!BD61</f>
        <v>Turquía</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Bosnia y Herzegovina</v>
      </c>
      <c r="F320" s="9" t="str">
        <f ca="1">+WORLDCUP!BD61</f>
        <v>Turquía</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Bosnia y Herzegovina</v>
      </c>
      <c r="F322" s="9" t="str">
        <f ca="1">+WORLDCUP!BD61</f>
        <v>Turquía</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Bosnia y Herzegovina</v>
      </c>
      <c r="F323" s="9" t="str">
        <f ca="1">+WORLDCUP!BD61</f>
        <v>Turquía</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Bosnia y Herzegovina</v>
      </c>
      <c r="F324" s="9" t="str">
        <f ca="1">+WORLDCUP!BD61</f>
        <v>Turquía</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Bosnia y Herzegovina</v>
      </c>
      <c r="F325" s="9" t="str">
        <f ca="1">+WORLDCUP!BD61</f>
        <v>Turquía</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Bosnia y Herzegovina</v>
      </c>
      <c r="F326" s="9" t="str">
        <f ca="1">+WORLDCUP!BD61</f>
        <v>Turquía</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Turquía</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Bosnia y Herzegovina</v>
      </c>
      <c r="F328" s="9" t="str">
        <f ca="1">+WORLDCUP!BD61</f>
        <v>Turquía</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Bosnia y Herzegovina</v>
      </c>
      <c r="F329" s="9" t="str">
        <f ca="1">+WORLDCUP!BD61</f>
        <v>Turquía</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Bosnia y Herzegovina</v>
      </c>
      <c r="F330" s="9" t="str">
        <f ca="1">+WORLDCUP!BD61</f>
        <v>Turquía</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Bosnia y Herzegovina</v>
      </c>
      <c r="F331" s="9" t="str">
        <f ca="1">+WORLDCUP!BD61</f>
        <v>Turquía</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Bosnia y Herzegovina</v>
      </c>
      <c r="F332" s="9" t="str">
        <f ca="1">+WORLDCUP!BD61</f>
        <v>Turquía</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Bosnia y Herzegovina</v>
      </c>
      <c r="F333" s="9" t="str">
        <f ca="1">+WORLDCUP!BD61</f>
        <v>Turquía</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Bosnia y Herzegovina</v>
      </c>
      <c r="F334" s="9" t="str">
        <f ca="1">+WORLDCUP!BD61</f>
        <v>Turquía</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Bosnia y Herzegovina</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Turquía</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Turquía</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Turquía</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Turquía</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Turquía</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Turquía</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Turquía</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Turquía</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Bosnia y Herzegovina</v>
      </c>
      <c r="F346" s="9" t="str">
        <f ca="1">+WORLDCUP!BD61</f>
        <v>Turquía</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Bosnia y Herzegovina</v>
      </c>
      <c r="F347" s="9" t="str">
        <f ca="1">+WORLDCUP!BD61</f>
        <v>Turquía</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Turquía</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Turquía</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Bosnia y Herzegovina</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Turquía</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Turquía</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Turquía</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Bosnia y Herzegovina</v>
      </c>
      <c r="F355" s="9" t="str">
        <f ca="1">+WORLDCUP!BD61</f>
        <v>Turquía</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Bosnia y Herzegovina</v>
      </c>
      <c r="F356" s="9" t="str">
        <f ca="1">+WORLDCUP!BD61</f>
        <v>Turquía</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Bosnia y Herzegovina</v>
      </c>
      <c r="F357" s="9" t="str">
        <f ca="1">+WORLDCUP!BD61</f>
        <v>Turquía</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Bosnia y Herzegovina</v>
      </c>
      <c r="F358" s="9" t="str">
        <f ca="1">+WORLDCUP!BD61</f>
        <v>Turquía</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Bosnia y Herzegovina</v>
      </c>
      <c r="F359" s="9" t="str">
        <f ca="1">+WORLDCUP!BD61</f>
        <v>Turquía</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Bosnia y Herzegovina</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Turquía</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Turquía</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Turquía</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Turquía</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Turquía</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Bosnia y Herzegovina</v>
      </c>
      <c r="F367" s="9" t="str">
        <f ca="1">+WORLDCUP!BD61</f>
        <v>Turquía</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Bosnia y Herzegovina</v>
      </c>
      <c r="F368" s="9" t="str">
        <f ca="1">+WORLDCUP!BD61</f>
        <v>Turquía</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Bosnia y Herzegovina</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Bosnia y Herzegovina</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Marruecos</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Marruecos</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Bosnia y Herzegovina</v>
      </c>
      <c r="F373" s="9" t="str">
        <f ca="1">+WORLDCUP!BD60</f>
        <v>Marruecos</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Marruecos</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Bosnia y Herzegovina</v>
      </c>
      <c r="F375" s="9" t="str">
        <f ca="1">+WORLDCUP!BD60</f>
        <v>Marruecos</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Bosnia y Herzegovina</v>
      </c>
      <c r="F376" s="9" t="str">
        <f ca="1">+WORLDCUP!BD60</f>
        <v>Marruecos</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Marruecos</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Bosnia y Herzegovina</v>
      </c>
      <c r="F378" s="9" t="str">
        <f ca="1">+WORLDCUP!BD60</f>
        <v>Marruecos</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Bosnia y Herzegovina</v>
      </c>
      <c r="F379" s="9" t="str">
        <f ca="1">+WORLDCUP!BD60</f>
        <v>Marruecos</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Bosnia y Herzegovina</v>
      </c>
      <c r="F380" s="9" t="str">
        <f ca="1">+WORLDCUP!BD60</f>
        <v>Marruecos</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Bosnia y Herzegovina</v>
      </c>
      <c r="F381" s="9" t="str">
        <f ca="1">+WORLDCUP!BD60</f>
        <v>Marruecos</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Marruecos</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Marruecos</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Marruecos</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Marruecos</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Bosnia y Herzegovina</v>
      </c>
      <c r="F386" s="9" t="str">
        <f ca="1">+WORLDCUP!BD60</f>
        <v>Marruecos</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Bosnia y Herzegovina</v>
      </c>
      <c r="F387" s="9" t="str">
        <f ca="1">+WORLDCUP!BD60</f>
        <v>Marruecos</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Bosnia y Herzegovina</v>
      </c>
      <c r="F388" s="9" t="str">
        <f ca="1">+WORLDCUP!BD60</f>
        <v>Marruecos</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Bosnia y Herzegovina</v>
      </c>
      <c r="F389" s="9" t="str">
        <f ca="1">+WORLDCUP!BD60</f>
        <v>Marruecos</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Bosnia y Herzegovina</v>
      </c>
      <c r="F390" s="9" t="str">
        <f ca="1">+WORLDCUP!BD60</f>
        <v>Marruecos</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Bosnia y Herzegovina</v>
      </c>
      <c r="F391" s="9" t="str">
        <f ca="1">+WORLDCUP!BD60</f>
        <v>Marruecos</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Marruecos</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Marruecos</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Marruecos</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Marruecos</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Marruecos</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Marruecos</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Marruecos</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Marruecos</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Marruecos</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Marruecos</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Bosnia y Herzegovina</v>
      </c>
      <c r="F402" s="9" t="str">
        <f ca="1">+WORLDCUP!BD60</f>
        <v>Marruecos</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Bosnia y Herzegovina</v>
      </c>
      <c r="F403" s="9" t="str">
        <f ca="1">+WORLDCUP!BD60</f>
        <v>Marruecos</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Marruecos</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Marruecos</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Bosnia y Herzegovina</v>
      </c>
      <c r="F406" s="9" t="str">
        <f ca="1">+WORLDCUP!BD60</f>
        <v>Marruecos</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Marruecos</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Marruecos</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Marruecos</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Marruecos</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Bosnia y Herzegovina</v>
      </c>
      <c r="F411" s="9" t="str">
        <f ca="1">+WORLDCUP!BD60</f>
        <v>Marruecos</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Bosnia y Herzegovina</v>
      </c>
      <c r="F412" s="9" t="str">
        <f ca="1">+WORLDCUP!BD60</f>
        <v>Marruecos</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Bosnia y Herzegovina</v>
      </c>
      <c r="F413" s="9" t="str">
        <f ca="1">+WORLDCUP!BD60</f>
        <v>Marruecos</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Bosnia y Herzegovina</v>
      </c>
      <c r="F414" s="9" t="str">
        <f ca="1">+WORLDCUP!BD60</f>
        <v>Marruecos</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Bosnia y Herzegovina</v>
      </c>
      <c r="F415" s="9" t="str">
        <f ca="1">+WORLDCUP!BD60</f>
        <v>Marruecos</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Bosnia y Herzegovina</v>
      </c>
      <c r="F416" s="9" t="str">
        <f ca="1">+WORLDCUP!BD60</f>
        <v>Marruecos</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Marruecos</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Marruecos</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Marruecos</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Marruecos</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Marruecos</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Marruecos</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Bosnia y Herzegovina</v>
      </c>
      <c r="F423" s="9" t="str">
        <f ca="1">+WORLDCUP!BD60</f>
        <v>Marruecos</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1</v>
      </c>
      <c r="C424" s="9" t="str">
        <f ca="1">+WORLDCUP!BD65</f>
        <v>España</v>
      </c>
      <c r="D424" s="9" t="str">
        <f ca="1">+WORLDCUP!BD64</f>
        <v>Bélgica</v>
      </c>
      <c r="E424" s="9" t="str">
        <f ca="1">+WORLDCUP!BD59</f>
        <v>Bosnia y Herzegovina</v>
      </c>
      <c r="F424" s="9" t="str">
        <f ca="1">+WORLDCUP!BD60</f>
        <v>Marruecos</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Bosnia y Herzegovina</v>
      </c>
      <c r="F425" s="9" t="str">
        <f ca="1">+WORLDCUP!BD60</f>
        <v>Marruecos</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Bosnia y Herzegovina</v>
      </c>
      <c r="F426" s="9" t="str">
        <f ca="1">+WORLDCUP!BD60</f>
        <v>Marruecos</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Marruecos</v>
      </c>
      <c r="G427" s="9" t="str">
        <f ca="1">+WORLDCUP!BD58</f>
        <v>República Checa</v>
      </c>
      <c r="H427" s="9" t="str">
        <f ca="1">+WORLDCUP!BD61</f>
        <v>Turquía</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Bosnia y Herzegovina</v>
      </c>
      <c r="F428" s="9" t="str">
        <f ca="1">+WORLDCUP!BD60</f>
        <v>Marruecos</v>
      </c>
      <c r="G428" s="9" t="str">
        <f ca="1">+WORLDCUP!BD58</f>
        <v>República Checa</v>
      </c>
      <c r="H428" s="9" t="str">
        <f ca="1">+WORLDCUP!BD61</f>
        <v>Turquía</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Bosnia y Herzegovina</v>
      </c>
      <c r="F429" s="9" t="str">
        <f ca="1">+WORLDCUP!BD60</f>
        <v>Marruecos</v>
      </c>
      <c r="G429" s="9" t="str">
        <f ca="1">+WORLDCUP!BD58</f>
        <v>República Checa</v>
      </c>
      <c r="H429" s="9" t="str">
        <f ca="1">+WORLDCUP!BD61</f>
        <v>Turquía</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Bosnia y Herzegovina</v>
      </c>
      <c r="F430" s="9" t="str">
        <f ca="1">+WORLDCUP!BD60</f>
        <v>Marruecos</v>
      </c>
      <c r="G430" s="9" t="str">
        <f ca="1">+WORLDCUP!BD58</f>
        <v>República Checa</v>
      </c>
      <c r="H430" s="9" t="str">
        <f ca="1">+WORLDCUP!BD61</f>
        <v>Turquía</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Bosnia y Herzegovina</v>
      </c>
      <c r="F431" s="9" t="str">
        <f ca="1">+WORLDCUP!BD60</f>
        <v>Marruecos</v>
      </c>
      <c r="G431" s="9" t="str">
        <f ca="1">+WORLDCUP!BD58</f>
        <v>República Checa</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Marruecos</v>
      </c>
      <c r="D432" s="9" t="str">
        <f ca="1">+WORLDCUP!BD67</f>
        <v>Jordania</v>
      </c>
      <c r="E432" s="9" t="str">
        <f ca="1">+WORLDCUP!BD59</f>
        <v>Bosnia y Herzegovina</v>
      </c>
      <c r="F432" s="9" t="str">
        <f ca="1">+WORLDCUP!BD61</f>
        <v>Turquía</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Marruecos</v>
      </c>
      <c r="G433" s="9" t="str">
        <f ca="1">+WORLDCUP!BD58</f>
        <v>República Checa</v>
      </c>
      <c r="H433" s="9" t="str">
        <f ca="1">+WORLDCUP!BD61</f>
        <v>Turquía</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Marruecos</v>
      </c>
      <c r="D434" s="9" t="str">
        <f ca="1">+WORLDCUP!BD67</f>
        <v>Jordania</v>
      </c>
      <c r="E434" s="9" t="str">
        <f ca="1">+WORLDCUP!BD59</f>
        <v>Bosnia y Herzegovina</v>
      </c>
      <c r="F434" s="9" t="str">
        <f ca="1">+WORLDCUP!BD61</f>
        <v>Turquía</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Marruecos</v>
      </c>
      <c r="D435" s="9" t="str">
        <f ca="1">+WORLDCUP!BD67</f>
        <v>Jordania</v>
      </c>
      <c r="E435" s="9" t="str">
        <f ca="1">+WORLDCUP!BD59</f>
        <v>Bosnia y Herzegovina</v>
      </c>
      <c r="F435" s="9" t="str">
        <f ca="1">+WORLDCUP!BD61</f>
        <v>Turquía</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Bosnia y Herzegovina</v>
      </c>
      <c r="F436" s="9" t="str">
        <f ca="1">+WORLDCUP!BD60</f>
        <v>Marruecos</v>
      </c>
      <c r="G436" s="9" t="str">
        <f ca="1">+WORLDCUP!BD58</f>
        <v>República Checa</v>
      </c>
      <c r="H436" s="9" t="str">
        <f ca="1">+WORLDCUP!BD61</f>
        <v>Turquía</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Bosnia y Herzegovina</v>
      </c>
      <c r="F437" s="9" t="str">
        <f ca="1">+WORLDCUP!BD60</f>
        <v>Marruecos</v>
      </c>
      <c r="G437" s="9" t="str">
        <f ca="1">+WORLDCUP!BD58</f>
        <v>República Checa</v>
      </c>
      <c r="H437" s="9" t="str">
        <f ca="1">+WORLDCUP!BD61</f>
        <v>Turquía</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Bosnia y Herzegovina</v>
      </c>
      <c r="F438" s="9" t="str">
        <f ca="1">+WORLDCUP!BD60</f>
        <v>Marruecos</v>
      </c>
      <c r="G438" s="9" t="str">
        <f ca="1">+WORLDCUP!BD58</f>
        <v>República Checa</v>
      </c>
      <c r="H438" s="9" t="str">
        <f ca="1">+WORLDCUP!BD61</f>
        <v>Turquía</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Bosnia y Herzegovina</v>
      </c>
      <c r="F439" s="9" t="str">
        <f ca="1">+WORLDCUP!BD60</f>
        <v>Marruecos</v>
      </c>
      <c r="G439" s="9" t="str">
        <f ca="1">+WORLDCUP!BD58</f>
        <v>República Checa</v>
      </c>
      <c r="H439" s="9" t="str">
        <f ca="1">+WORLDCUP!BD61</f>
        <v>Turquía</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Bosnia y Herzegovina</v>
      </c>
      <c r="F440" s="9" t="str">
        <f ca="1">+WORLDCUP!BD60</f>
        <v>Marruecos</v>
      </c>
      <c r="G440" s="9" t="str">
        <f ca="1">+WORLDCUP!BD58</f>
        <v>República Checa</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Bosnia y Herzegovina</v>
      </c>
      <c r="F441" s="9" t="str">
        <f ca="1">+WORLDCUP!BD60</f>
        <v>Marruecos</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Marruecos</v>
      </c>
      <c r="D442" s="9" t="str">
        <f ca="1">+WORLDCUP!BD67</f>
        <v>Jordania</v>
      </c>
      <c r="E442" s="9" t="str">
        <f ca="1">+WORLDCUP!BD59</f>
        <v>Bosnia y Herzegovina</v>
      </c>
      <c r="F442" s="9" t="str">
        <f ca="1">+WORLDCUP!BD61</f>
        <v>Turquía</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Marruecos</v>
      </c>
      <c r="D443" s="9" t="str">
        <f ca="1">+WORLDCUP!BD66</f>
        <v>Senegal</v>
      </c>
      <c r="E443" s="9" t="str">
        <f ca="1">+WORLDCUP!BD59</f>
        <v>Bosnia y Herzegovina</v>
      </c>
      <c r="F443" s="9" t="str">
        <f ca="1">+WORLDCUP!BD61</f>
        <v>Turquía</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Marruecos</v>
      </c>
      <c r="D444" s="9" t="str">
        <f ca="1">+WORLDCUP!BD67</f>
        <v>Jordania</v>
      </c>
      <c r="E444" s="9" t="str">
        <f ca="1">+WORLDCUP!BD59</f>
        <v>Bosnia y Herzegovina</v>
      </c>
      <c r="F444" s="9" t="str">
        <f ca="1">+WORLDCUP!BD61</f>
        <v>Turquía</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Marruecos</v>
      </c>
      <c r="D445" s="9" t="str">
        <f ca="1">+WORLDCUP!BD67</f>
        <v>Jordania</v>
      </c>
      <c r="E445" s="9" t="str">
        <f ca="1">+WORLDCUP!BD59</f>
        <v>Bosnia y Herzegovina</v>
      </c>
      <c r="F445" s="9" t="str">
        <f ca="1">+WORLDCUP!BD61</f>
        <v>Turquía</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Bosnia y Herzegovina</v>
      </c>
      <c r="F446" s="9" t="str">
        <f ca="1">+WORLDCUP!BD60</f>
        <v>Marruecos</v>
      </c>
      <c r="G446" s="9" t="str">
        <f ca="1">+WORLDCUP!BD58</f>
        <v>República Checa</v>
      </c>
      <c r="H446" s="9" t="str">
        <f ca="1">+WORLDCUP!BD61</f>
        <v>Turquía</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Marruecos</v>
      </c>
      <c r="D447" s="9" t="str">
        <f ca="1">+WORLDCUP!BD67</f>
        <v>Jordania</v>
      </c>
      <c r="E447" s="9" t="str">
        <f ca="1">+WORLDCUP!BD59</f>
        <v>Bosnia y Herzegovina</v>
      </c>
      <c r="F447" s="9" t="str">
        <f ca="1">+WORLDCUP!BD61</f>
        <v>Turquía</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Bosnia y Herzegovina</v>
      </c>
      <c r="F448" s="9" t="str">
        <f ca="1">+WORLDCUP!BD60</f>
        <v>Marruecos</v>
      </c>
      <c r="G448" s="9" t="str">
        <f ca="1">+WORLDCUP!BD58</f>
        <v>República Checa</v>
      </c>
      <c r="H448" s="9" t="str">
        <f ca="1">+WORLDCUP!BD63</f>
        <v>Japón</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Bosnia y Herzegovina</v>
      </c>
      <c r="F449" s="9" t="str">
        <f ca="1">+WORLDCUP!BD60</f>
        <v>Marruecos</v>
      </c>
      <c r="G449" s="9" t="str">
        <f ca="1">+WORLDCUP!BD58</f>
        <v>República Checa</v>
      </c>
      <c r="H449" s="9" t="str">
        <f ca="1">+WORLDCUP!BD61</f>
        <v>Turquía</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Bosnia y Herzegovina</v>
      </c>
      <c r="F450" s="9" t="str">
        <f ca="1">+WORLDCUP!BD60</f>
        <v>Marruecos</v>
      </c>
      <c r="G450" s="9" t="str">
        <f ca="1">+WORLDCUP!BD58</f>
        <v>República Checa</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Bosnia y Herzegovina</v>
      </c>
      <c r="F451" s="9" t="str">
        <f ca="1">+WORLDCUP!BD60</f>
        <v>Marruecos</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Marruecos</v>
      </c>
      <c r="D452" s="9" t="str">
        <f ca="1">+WORLDCUP!BD64</f>
        <v>Bélgica</v>
      </c>
      <c r="E452" s="9" t="str">
        <f ca="1">+WORLDCUP!BD59</f>
        <v>Bosnia y Herzegovina</v>
      </c>
      <c r="F452" s="9" t="str">
        <f ca="1">+WORLDCUP!BD61</f>
        <v>Turquía</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Marruecos</v>
      </c>
      <c r="D453" s="9" t="str">
        <f ca="1">+WORLDCUP!BD64</f>
        <v>Bélgica</v>
      </c>
      <c r="E453" s="9" t="str">
        <f ca="1">+WORLDCUP!BD59</f>
        <v>Bosnia y Herzegovina</v>
      </c>
      <c r="F453" s="9" t="str">
        <f ca="1">+WORLDCUP!BD61</f>
        <v>Turquía</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Marruecos</v>
      </c>
      <c r="D454" s="9" t="str">
        <f ca="1">+WORLDCUP!BD64</f>
        <v>Bélgica</v>
      </c>
      <c r="E454" s="9" t="str">
        <f ca="1">+WORLDCUP!BD59</f>
        <v>Bosnia y Herzegovina</v>
      </c>
      <c r="F454" s="9" t="str">
        <f ca="1">+WORLDCUP!BD61</f>
        <v>Turquía</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Marruecos</v>
      </c>
      <c r="D455" s="9" t="str">
        <f ca="1">+WORLDCUP!BD64</f>
        <v>Bélgica</v>
      </c>
      <c r="E455" s="9" t="str">
        <f ca="1">+WORLDCUP!BD59</f>
        <v>Bosnia y Herzegovina</v>
      </c>
      <c r="F455" s="9" t="str">
        <f ca="1">+WORLDCUP!BD61</f>
        <v>Turquía</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Marruecos</v>
      </c>
      <c r="D456" s="9" t="str">
        <f ca="1">+WORLDCUP!BD64</f>
        <v>Bélgica</v>
      </c>
      <c r="E456" s="9" t="str">
        <f ca="1">+WORLDCUP!BD59</f>
        <v>Bosnia y Herzegovina</v>
      </c>
      <c r="F456" s="9" t="str">
        <f ca="1">+WORLDCUP!BD61</f>
        <v>Turquía</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Marruecos</v>
      </c>
      <c r="D457" s="9" t="str">
        <f ca="1">+WORLDCUP!BD64</f>
        <v>Bélgica</v>
      </c>
      <c r="E457" s="9" t="str">
        <f ca="1">+WORLDCUP!BD59</f>
        <v>Bosnia y Herzegovina</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Marruecos</v>
      </c>
      <c r="D458" s="9" t="str">
        <f ca="1">+WORLDCUP!BD64</f>
        <v>Bélgica</v>
      </c>
      <c r="E458" s="9" t="str">
        <f ca="1">+WORLDCUP!BD59</f>
        <v>Bosnia y Herzegovina</v>
      </c>
      <c r="F458" s="9" t="str">
        <f ca="1">+WORLDCUP!BD61</f>
        <v>Turquía</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Bosnia y Herzegovina</v>
      </c>
      <c r="F459" s="9" t="str">
        <f ca="1">+WORLDCUP!BD60</f>
        <v>Marruecos</v>
      </c>
      <c r="G459" s="9" t="str">
        <f ca="1">+WORLDCUP!BD58</f>
        <v>República Checa</v>
      </c>
      <c r="H459" s="9" t="str">
        <f ca="1">+WORLDCUP!BD63</f>
        <v>Japón</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Bosnia y Herzegovina</v>
      </c>
      <c r="F460" s="9" t="str">
        <f ca="1">+WORLDCUP!BD60</f>
        <v>Marruecos</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Bosnia y Herzegovina</v>
      </c>
      <c r="F461" s="9" t="str">
        <f ca="1">+WORLDCUP!BD60</f>
        <v>Marruecos</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Marruecos</v>
      </c>
      <c r="G462" s="9" t="str">
        <f ca="1">+WORLDCUP!BD58</f>
        <v>República Checa</v>
      </c>
      <c r="H462" s="9" t="str">
        <f ca="1">+WORLDCUP!BD61</f>
        <v>Turquía</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Marruecos</v>
      </c>
      <c r="G463" s="9" t="str">
        <f ca="1">+WORLDCUP!BD58</f>
        <v>República Checa</v>
      </c>
      <c r="H463" s="9" t="str">
        <f ca="1">+WORLDCUP!BD61</f>
        <v>Turquía</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Marruecos</v>
      </c>
      <c r="G464" s="9" t="str">
        <f ca="1">+WORLDCUP!BD58</f>
        <v>República Checa</v>
      </c>
      <c r="H464" s="9" t="str">
        <f ca="1">+WORLDCUP!BD61</f>
        <v>Turquía</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Marruecos</v>
      </c>
      <c r="G465" s="9" t="str">
        <f ca="1">+WORLDCUP!BD58</f>
        <v>República Checa</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Bosnia y Herzegovina</v>
      </c>
      <c r="F466" s="9" t="str">
        <f ca="1">+WORLDCUP!BD60</f>
        <v>Marruecos</v>
      </c>
      <c r="G466" s="9" t="str">
        <f ca="1">+WORLDCUP!BD58</f>
        <v>República Checa</v>
      </c>
      <c r="H466" s="9" t="str">
        <f ca="1">+WORLDCUP!BD61</f>
        <v>Turquía</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Bosnia y Herzegovina</v>
      </c>
      <c r="F467" s="9" t="str">
        <f ca="1">+WORLDCUP!BD60</f>
        <v>Marruecos</v>
      </c>
      <c r="G467" s="9" t="str">
        <f ca="1">+WORLDCUP!BD58</f>
        <v>República Checa</v>
      </c>
      <c r="H467" s="9" t="str">
        <f ca="1">+WORLDCUP!BD61</f>
        <v>Turquía</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Bosnia y Herzegovina</v>
      </c>
      <c r="F468" s="9" t="str">
        <f ca="1">+WORLDCUP!BD60</f>
        <v>Marruecos</v>
      </c>
      <c r="G468" s="9" t="str">
        <f ca="1">+WORLDCUP!BD58</f>
        <v>República Checa</v>
      </c>
      <c r="H468" s="9" t="str">
        <f ca="1">+WORLDCUP!BD61</f>
        <v>Turquía</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Bosnia y Herzegovina</v>
      </c>
      <c r="F469" s="9" t="str">
        <f ca="1">+WORLDCUP!BD60</f>
        <v>Marruecos</v>
      </c>
      <c r="G469" s="9" t="str">
        <f ca="1">+WORLDCUP!BD58</f>
        <v>República Checa</v>
      </c>
      <c r="H469" s="9" t="str">
        <f ca="1">+WORLDCUP!BD61</f>
        <v>Turquía</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Bosnia y Herzegovina</v>
      </c>
      <c r="F470" s="9" t="str">
        <f ca="1">+WORLDCUP!BD60</f>
        <v>Marruecos</v>
      </c>
      <c r="G470" s="9" t="str">
        <f ca="1">+WORLDCUP!BD58</f>
        <v>República Checa</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Bosnia y Herzegovina</v>
      </c>
      <c r="F471" s="9" t="str">
        <f ca="1">+WORLDCUP!BD60</f>
        <v>Marruecos</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Marruecos</v>
      </c>
      <c r="G472" s="9" t="str">
        <f ca="1">+WORLDCUP!BD58</f>
        <v>República Checa</v>
      </c>
      <c r="H472" s="9" t="str">
        <f ca="1">+WORLDCUP!BD61</f>
        <v>Turquía</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Marruecos</v>
      </c>
      <c r="G473" s="9" t="str">
        <f ca="1">+WORLDCUP!BD58</f>
        <v>República Checa</v>
      </c>
      <c r="H473" s="9" t="str">
        <f ca="1">+WORLDCUP!BD61</f>
        <v>Turquía</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Marruecos</v>
      </c>
      <c r="G474" s="9" t="str">
        <f ca="1">+WORLDCUP!BD58</f>
        <v>República Checa</v>
      </c>
      <c r="H474" s="9" t="str">
        <f ca="1">+WORLDCUP!BD61</f>
        <v>Turquía</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Marruecos</v>
      </c>
      <c r="G475" s="9" t="str">
        <f ca="1">+WORLDCUP!BD58</f>
        <v>República Checa</v>
      </c>
      <c r="H475" s="9" t="str">
        <f ca="1">+WORLDCUP!BD61</f>
        <v>Turquía</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Marruecos</v>
      </c>
      <c r="G476" s="9" t="str">
        <f ca="1">+WORLDCUP!BD58</f>
        <v>República Checa</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Marruecos</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Bosnia y Herzegovina</v>
      </c>
      <c r="F478" s="9" t="str">
        <f ca="1">+WORLDCUP!BD60</f>
        <v>Marruecos</v>
      </c>
      <c r="G478" s="9" t="str">
        <f ca="1">+WORLDCUP!BD58</f>
        <v>República Checa</v>
      </c>
      <c r="H478" s="9" t="str">
        <f ca="1">+WORLDCUP!BD61</f>
        <v>Turquía</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Bosnia y Herzegovina</v>
      </c>
      <c r="F479" s="9" t="str">
        <f ca="1">+WORLDCUP!BD60</f>
        <v>Marruecos</v>
      </c>
      <c r="G479" s="9" t="str">
        <f ca="1">+WORLDCUP!BD58</f>
        <v>República Checa</v>
      </c>
      <c r="H479" s="9" t="str">
        <f ca="1">+WORLDCUP!BD61</f>
        <v>Turquía</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Bosnia y Herzegovina</v>
      </c>
      <c r="F480" s="9" t="str">
        <f ca="1">+WORLDCUP!BD60</f>
        <v>Marruecos</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Bosnia y Herzegovina</v>
      </c>
      <c r="F481" s="9" t="str">
        <f ca="1">+WORLDCUP!BD60</f>
        <v>Marruecos</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Marruecos</v>
      </c>
      <c r="D482" s="9" t="str">
        <f ca="1">+WORLDCUP!BD62</f>
        <v>Ecuador</v>
      </c>
      <c r="E482" s="9" t="str">
        <f ca="1">+WORLDCUP!BD59</f>
        <v>Bosnia y Herzegovina</v>
      </c>
      <c r="F482" s="9" t="str">
        <f ca="1">+WORLDCUP!BD61</f>
        <v>Turquía</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Marruecos</v>
      </c>
      <c r="D483" s="9" t="str">
        <f ca="1">+WORLDCUP!BD67</f>
        <v>Jordania</v>
      </c>
      <c r="E483" s="9" t="str">
        <f ca="1">+WORLDCUP!BD59</f>
        <v>Bosnia y Herzegovina</v>
      </c>
      <c r="F483" s="9" t="str">
        <f ca="1">+WORLDCUP!BD61</f>
        <v>Turquía</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Marruecos</v>
      </c>
      <c r="D484" s="9" t="str">
        <f ca="1">+WORLDCUP!BD67</f>
        <v>Jordania</v>
      </c>
      <c r="E484" s="9" t="str">
        <f ca="1">+WORLDCUP!BD59</f>
        <v>Bosnia y Herzegovina</v>
      </c>
      <c r="F484" s="9" t="str">
        <f ca="1">+WORLDCUP!BD61</f>
        <v>Turquía</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Marruecos</v>
      </c>
      <c r="D485" s="9" t="str">
        <f ca="1">+WORLDCUP!BD62</f>
        <v>Ecuador</v>
      </c>
      <c r="E485" s="9" t="str">
        <f ca="1">+WORLDCUP!BD59</f>
        <v>Bosnia y Herzegovina</v>
      </c>
      <c r="F485" s="9" t="str">
        <f ca="1">+WORLDCUP!BD61</f>
        <v>Turquía</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Marruecos</v>
      </c>
      <c r="D486" s="9" t="str">
        <f ca="1">+WORLDCUP!BD62</f>
        <v>Ecuador</v>
      </c>
      <c r="E486" s="9" t="str">
        <f ca="1">+WORLDCUP!BD59</f>
        <v>Bosnia y Herzegovina</v>
      </c>
      <c r="F486" s="9" t="str">
        <f ca="1">+WORLDCUP!BD61</f>
        <v>Turquía</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Marruecos</v>
      </c>
      <c r="D487" s="9" t="str">
        <f ca="1">+WORLDCUP!BD67</f>
        <v>Jordania</v>
      </c>
      <c r="E487" s="9" t="str">
        <f ca="1">+WORLDCUP!BD59</f>
        <v>Bosnia y Herzegovina</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Bosnia y Herzegovina</v>
      </c>
      <c r="F488" s="9" t="str">
        <f ca="1">+WORLDCUP!BD60</f>
        <v>Marruecos</v>
      </c>
      <c r="G488" s="9" t="str">
        <f ca="1">+WORLDCUP!BD58</f>
        <v>República Checa</v>
      </c>
      <c r="H488" s="9" t="str">
        <f ca="1">+WORLDCUP!BD61</f>
        <v>Turquía</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Bosnia y Herzegovina</v>
      </c>
      <c r="F489" s="9" t="str">
        <f ca="1">+WORLDCUP!BD60</f>
        <v>Marruecos</v>
      </c>
      <c r="G489" s="9" t="str">
        <f ca="1">+WORLDCUP!BD58</f>
        <v>República Checa</v>
      </c>
      <c r="H489" s="9" t="str">
        <f ca="1">+WORLDCUP!BD63</f>
        <v>Japón</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Bosnia y Herzegovina</v>
      </c>
      <c r="F490" s="9" t="str">
        <f ca="1">+WORLDCUP!BD60</f>
        <v>Marruecos</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Bosnia y Herzegovina</v>
      </c>
      <c r="F491" s="9" t="str">
        <f ca="1">+WORLDCUP!BD60</f>
        <v>Marruecos</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Marruecos</v>
      </c>
      <c r="D492" s="9" t="str">
        <f ca="1">+WORLDCUP!BD64</f>
        <v>Bélgica</v>
      </c>
      <c r="E492" s="9" t="str">
        <f ca="1">+WORLDCUP!BD59</f>
        <v>Bosnia y Herzegovina</v>
      </c>
      <c r="F492" s="9" t="str">
        <f ca="1">+WORLDCUP!BD61</f>
        <v>Turquía</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Marruecos</v>
      </c>
      <c r="D493" s="9" t="str">
        <f ca="1">+WORLDCUP!BD64</f>
        <v>Bélgica</v>
      </c>
      <c r="E493" s="9" t="str">
        <f ca="1">+WORLDCUP!BD59</f>
        <v>Bosnia y Herzegovina</v>
      </c>
      <c r="F493" s="9" t="str">
        <f ca="1">+WORLDCUP!BD61</f>
        <v>Turquía</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Marruecos</v>
      </c>
      <c r="D494" s="9" t="str">
        <f ca="1">+WORLDCUP!BD64</f>
        <v>Bélgica</v>
      </c>
      <c r="E494" s="9" t="str">
        <f ca="1">+WORLDCUP!BD59</f>
        <v>Bosnia y Herzegovina</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Marruecos</v>
      </c>
      <c r="D495" s="9" t="str">
        <f ca="1">+WORLDCUP!BD64</f>
        <v>Bélgica</v>
      </c>
      <c r="E495" s="9" t="str">
        <f ca="1">+WORLDCUP!BD59</f>
        <v>Bosnia y Herzegovina</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Bosnia y Herzegovina</v>
      </c>
      <c r="F496" s="9" t="str">
        <f ca="1">+WORLDCUP!BD60</f>
        <v>Marruecos</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30"/>
      <c r="D4" s="630"/>
      <c r="E4" s="630"/>
      <c r="F4" s="630"/>
      <c r="G4" s="630"/>
      <c r="H4" s="630"/>
      <c r="I4" s="630"/>
      <c r="J4" s="684"/>
      <c r="K4" s="224"/>
      <c r="L4" s="330" t="str">
        <f>+Idiomas!D84</f>
        <v>· Selecciona el idioma y la zona horaria</v>
      </c>
      <c r="M4" s="232"/>
      <c r="N4" s="232"/>
      <c r="O4" s="232"/>
      <c r="P4" s="232"/>
      <c r="Q4" s="232"/>
      <c r="R4" s="334"/>
    </row>
    <row r="5" spans="1:18" x14ac:dyDescent="0.2">
      <c r="A5" s="223"/>
      <c r="B5" s="683"/>
      <c r="C5" s="630"/>
      <c r="D5" s="630"/>
      <c r="E5" s="630"/>
      <c r="F5" s="630"/>
      <c r="G5" s="630"/>
      <c r="H5" s="630"/>
      <c r="I5" s="630"/>
      <c r="J5" s="684"/>
      <c r="K5" s="224"/>
      <c r="L5" s="330" t="str">
        <f>+Idiomas!D85</f>
        <v>· Si vas a participar en una porra escribe tu nombre</v>
      </c>
      <c r="M5" s="232"/>
      <c r="N5" s="232"/>
      <c r="O5" s="232"/>
      <c r="P5" s="232"/>
      <c r="Q5" s="232"/>
      <c r="R5" s="334"/>
    </row>
    <row r="6" spans="1:18" x14ac:dyDescent="0.2">
      <c r="A6" s="223"/>
      <c r="B6" s="683"/>
      <c r="C6" s="630"/>
      <c r="D6" s="630"/>
      <c r="E6" s="630"/>
      <c r="F6" s="630"/>
      <c r="G6" s="630"/>
      <c r="H6" s="630"/>
      <c r="I6" s="63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30"/>
      <c r="D7" s="630"/>
      <c r="E7" s="630"/>
      <c r="F7" s="630"/>
      <c r="G7" s="630"/>
      <c r="H7" s="630"/>
      <c r="I7" s="630"/>
      <c r="J7" s="684"/>
      <c r="K7" s="224"/>
      <c r="L7" s="335"/>
      <c r="M7" s="336"/>
      <c r="N7" s="336"/>
      <c r="O7" s="336"/>
      <c r="P7" s="336"/>
      <c r="Q7" s="336"/>
      <c r="R7" s="337"/>
    </row>
    <row r="8" spans="1:18" x14ac:dyDescent="0.2">
      <c r="A8" s="223"/>
      <c r="B8" s="683"/>
      <c r="C8" s="630"/>
      <c r="D8" s="630"/>
      <c r="E8" s="630"/>
      <c r="F8" s="630"/>
      <c r="G8" s="630"/>
      <c r="H8" s="630"/>
      <c r="I8" s="630"/>
      <c r="J8" s="684"/>
      <c r="K8" s="224"/>
    </row>
    <row r="9" spans="1:18" x14ac:dyDescent="0.2">
      <c r="A9" s="223"/>
      <c r="B9" s="683"/>
      <c r="C9" s="630"/>
      <c r="D9" s="630"/>
      <c r="E9" s="630"/>
      <c r="F9" s="630"/>
      <c r="G9" s="630"/>
      <c r="H9" s="630"/>
      <c r="I9" s="630"/>
      <c r="J9" s="684"/>
      <c r="K9" s="224"/>
      <c r="L9" s="259" t="s">
        <v>309</v>
      </c>
    </row>
    <row r="10" spans="1:18" x14ac:dyDescent="0.2">
      <c r="A10" s="223"/>
      <c r="B10" s="683"/>
      <c r="C10" s="630"/>
      <c r="D10" s="630"/>
      <c r="E10" s="630"/>
      <c r="F10" s="630"/>
      <c r="G10" s="630"/>
      <c r="H10" s="630"/>
      <c r="I10" s="630"/>
      <c r="J10" s="684"/>
      <c r="K10" s="224"/>
      <c r="L10" s="331"/>
      <c r="M10" s="332"/>
      <c r="N10" s="332"/>
      <c r="O10" s="332"/>
      <c r="P10" s="332"/>
      <c r="Q10" s="332"/>
      <c r="R10" s="333"/>
    </row>
    <row r="11" spans="1:18" x14ac:dyDescent="0.2">
      <c r="A11" s="223"/>
      <c r="B11" s="683"/>
      <c r="C11" s="630"/>
      <c r="D11" s="630"/>
      <c r="E11" s="630"/>
      <c r="F11" s="630"/>
      <c r="G11" s="630"/>
      <c r="H11" s="630"/>
      <c r="I11" s="63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30"/>
      <c r="O84" s="630"/>
      <c r="P84" s="630"/>
      <c r="Q84" s="630"/>
      <c r="R84" s="63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2026-06-19T02:57:09Z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
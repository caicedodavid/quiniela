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CB0FC111-1850-7C47-85B4-94CE39C3C00E}"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7" i="2"/>
  <c r="R17" i="2"/>
  <c r="Q24" i="2"/>
  <c r="O24" i="2"/>
  <c r="N24" i="2"/>
  <c r="L24" i="2"/>
  <c r="K24" i="2"/>
  <c r="I24" i="2"/>
  <c r="H24" i="2"/>
  <c r="F24" i="2"/>
  <c r="E24" i="2"/>
  <c r="T24" i="2"/>
  <c r="R24" i="2"/>
  <c r="T17" i="2"/>
  <c r="U24" i="2"/>
  <c r="Z68" i="2"/>
  <c r="Z85" i="2"/>
  <c r="Z84" i="2"/>
  <c r="Z69" i="2"/>
  <c r="Z92" i="2"/>
  <c r="Z76" i="2"/>
  <c r="Z77" i="2"/>
  <c r="Z45" i="2"/>
  <c r="Z60" i="2"/>
  <c r="Z52" i="2"/>
  <c r="Z61" i="2"/>
  <c r="Z36" i="2"/>
  <c r="Z44" i="2"/>
  <c r="Z93" i="2"/>
  <c r="Z37" i="2"/>
  <c r="Z21" i="2"/>
  <c r="Z20" i="2"/>
  <c r="Z29" i="2"/>
  <c r="Z53" i="2"/>
  <c r="Z5" i="2"/>
  <c r="Z28" i="2"/>
  <c r="E17" i="2"/>
  <c r="U17" i="2"/>
  <c r="X146" i="2"/>
  <c r="X130" i="2"/>
  <c r="X119" i="2"/>
  <c r="X83" i="2"/>
  <c r="X51" i="2"/>
  <c r="X137" i="2"/>
  <c r="X100" i="2"/>
  <c r="X59" i="2"/>
  <c r="X142" i="2"/>
  <c r="X75" i="2"/>
  <c r="X67" i="2"/>
  <c r="X91" i="2"/>
  <c r="X11" i="2"/>
  <c r="X27" i="2" s="1"/>
  <c r="X43" i="2" s="1"/>
  <c r="AJ53" i="2"/>
  <c r="AC11" i="2"/>
  <c r="N25" i="2"/>
  <c r="O39" i="2"/>
  <c r="N39" i="2"/>
  <c r="L39" i="2"/>
  <c r="U39" i="2"/>
  <c r="T39" i="2"/>
  <c r="R39" i="2"/>
  <c r="Q39" i="2"/>
  <c r="K39" i="2"/>
  <c r="I39" i="2"/>
  <c r="AC142" i="2"/>
  <c r="AC119" i="2"/>
  <c r="AC130" i="2"/>
  <c r="AC75" i="2"/>
  <c r="AC91" i="2"/>
  <c r="AC83" i="2"/>
  <c r="AC59" i="2"/>
  <c r="AC100" i="2"/>
  <c r="AC43" i="2"/>
  <c r="AC35" i="2"/>
  <c r="O25" i="2"/>
  <c r="AR29" i="2"/>
  <c r="E39" i="2"/>
  <c r="AD142" i="2"/>
  <c r="AD59" i="2"/>
  <c r="AD91" i="2"/>
  <c r="AD130" i="2"/>
  <c r="AD119" i="2"/>
  <c r="AD43" i="2"/>
  <c r="AD83" i="2"/>
  <c r="AD100" i="2"/>
  <c r="AD75" i="2"/>
  <c r="AD35" i="2"/>
  <c r="AD27" i="2"/>
  <c r="AD67" i="2"/>
  <c r="AD51" i="2"/>
  <c r="Q25" i="2"/>
  <c r="F39" i="2"/>
  <c r="AF137" i="2"/>
  <c r="AF142" i="2"/>
  <c r="AF146" i="2"/>
  <c r="AF59" i="2"/>
  <c r="AF91" i="2"/>
  <c r="AF67" i="2"/>
  <c r="AF100" i="2"/>
  <c r="AF119" i="2"/>
  <c r="AF83" i="2"/>
  <c r="AF75" i="2"/>
  <c r="AF51" i="2"/>
  <c r="AR85" i="2"/>
  <c r="AR53" i="2"/>
  <c r="AR101" i="2"/>
  <c r="AR77" i="2"/>
  <c r="AR37" i="2"/>
  <c r="AR69" i="2"/>
  <c r="AR93" i="2"/>
  <c r="AR61" i="2"/>
  <c r="AR45" i="2"/>
  <c r="U16" i="2"/>
  <c r="R25" i="2"/>
  <c r="H39"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H38" i="2"/>
  <c r="F38" i="2"/>
  <c r="E38" i="2"/>
  <c r="I64" i="2"/>
  <c r="H64" i="2"/>
  <c r="F64" i="2"/>
  <c r="L64" i="2"/>
  <c r="U64" i="2"/>
  <c r="T64" i="2"/>
  <c r="R64" i="2"/>
  <c r="O64" i="2"/>
  <c r="C213" i="3"/>
  <c r="L32" i="2"/>
  <c r="K32" i="2"/>
  <c r="K38" i="2"/>
  <c r="F54" i="2"/>
  <c r="E54" i="2"/>
  <c r="N54" i="2"/>
  <c r="L54" i="2"/>
  <c r="K54" i="2"/>
  <c r="H54" i="2"/>
  <c r="Q54"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I63" i="2"/>
  <c r="H63" i="2"/>
  <c r="L63" i="2"/>
  <c r="N70" i="2"/>
  <c r="L70" i="2"/>
  <c r="K70" i="2"/>
  <c r="Q70" i="2"/>
  <c r="O70" i="2"/>
  <c r="U97" i="2"/>
  <c r="C244" i="3"/>
  <c r="B244" i="3"/>
  <c r="C236" i="3"/>
  <c r="C258" i="3"/>
  <c r="AG160" i="2"/>
  <c r="E47" i="2"/>
  <c r="E48" i="2"/>
  <c r="I49" i="2"/>
  <c r="U56" i="2"/>
  <c r="E57" i="2"/>
  <c r="I62" i="2"/>
  <c r="H62" i="2"/>
  <c r="E63" i="2"/>
  <c r="E70" i="2"/>
  <c r="I71" i="2"/>
  <c r="H71" i="2"/>
  <c r="F71" i="2"/>
  <c r="T71" i="2"/>
  <c r="L71" i="2"/>
  <c r="K71" i="2"/>
  <c r="AG103" i="2"/>
  <c r="M120" i="2"/>
  <c r="AA121" i="2" s="1"/>
  <c r="M125" i="2"/>
  <c r="AA125" i="2" s="1"/>
  <c r="AG110" i="2"/>
  <c r="U73" i="2"/>
  <c r="N87" i="2"/>
  <c r="AG105" i="2"/>
  <c r="N122" i="2"/>
  <c r="AF122" i="2" s="1"/>
  <c r="C192" i="3" s="1"/>
  <c r="M124" i="2"/>
  <c r="AA124" i="2" s="1"/>
  <c r="AG112" i="2"/>
  <c r="E73" i="2"/>
  <c r="U78"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O78" i="2"/>
  <c r="U81" i="2"/>
  <c r="H87" i="2"/>
  <c r="I88" i="2"/>
  <c r="AA159" i="2"/>
  <c r="BA21" i="4"/>
  <c r="R73" i="2"/>
  <c r="Q78"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14" i="4" l="1"/>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F38" i="4" s="1"/>
  <c r="AF36" i="2"/>
  <c r="AF87" i="2"/>
  <c r="R38" i="4" s="1"/>
  <c r="AA89" i="2"/>
  <c r="AF84" i="2"/>
  <c r="AY87" i="2"/>
  <c r="C5" i="4"/>
  <c r="O3" i="4"/>
  <c r="B18" i="3"/>
  <c r="O7" i="4"/>
  <c r="AA21" i="2"/>
  <c r="AF25" i="2"/>
  <c r="F24" i="4" s="1"/>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BC11" i="2"/>
  <c r="BC6" i="2"/>
  <c r="AA64" i="2"/>
  <c r="AF63" i="2"/>
  <c r="R14" i="4" s="1"/>
  <c r="AF60" i="2"/>
  <c r="AY63" i="2"/>
  <c r="BC34" i="2"/>
  <c r="O30" i="4"/>
  <c r="B49" i="3"/>
  <c r="AF46" i="2"/>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45" i="4" l="1"/>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F84" i="2" s="1"/>
  <c r="BT43" i="2"/>
  <c r="F76" i="2" s="1"/>
  <c r="BT51" i="2"/>
  <c r="F92" i="2" s="1"/>
  <c r="BT41" i="2"/>
  <c r="F69" i="2" s="1"/>
  <c r="BT38" i="2"/>
  <c r="E68" i="2" s="1"/>
  <c r="BT44" i="2"/>
  <c r="E77" i="2" s="1"/>
  <c r="BT14" i="2"/>
  <c r="BT42" i="2"/>
  <c r="E76" i="2" s="1"/>
  <c r="BT9" i="2"/>
  <c r="E8" i="2" s="1"/>
  <c r="BT37" i="2"/>
  <c r="F61" i="2" s="1"/>
  <c r="BT8" i="2"/>
  <c r="F9" i="2" s="1"/>
  <c r="BT18" i="2"/>
  <c r="BT11" i="2"/>
  <c r="BT25" i="2"/>
  <c r="F37" i="2" s="1"/>
  <c r="BT39" i="2"/>
  <c r="F68" i="2" s="1"/>
  <c r="BT52" i="2"/>
  <c r="E93" i="2" s="1"/>
  <c r="BT16" i="2"/>
  <c r="BT32" i="2"/>
  <c r="E53" i="2" s="1"/>
  <c r="BT17" i="2"/>
  <c r="BT35" i="2"/>
  <c r="F60" i="2" s="1"/>
  <c r="BT26" i="2"/>
  <c r="BT50" i="2"/>
  <c r="E92" i="2" s="1"/>
  <c r="BT30" i="2"/>
  <c r="E52" i="2" s="1"/>
  <c r="BT34" i="2"/>
  <c r="E60" i="2" s="1"/>
  <c r="BT7" i="2"/>
  <c r="E9" i="2" s="1"/>
  <c r="BT27" i="2"/>
  <c r="F44" i="2" s="1"/>
  <c r="BT28" i="2"/>
  <c r="BT48" i="2"/>
  <c r="E85" i="2" s="1"/>
  <c r="BT20" i="2"/>
  <c r="BT24" i="2"/>
  <c r="E37" i="2" s="1"/>
  <c r="BT13" i="2"/>
  <c r="BT23" i="2"/>
  <c r="F36" i="2" s="1"/>
  <c r="BT22" i="2"/>
  <c r="E36" i="2" s="1"/>
  <c r="BT31" i="2"/>
  <c r="F52" i="2" s="1"/>
  <c r="BT49" i="2"/>
  <c r="F85" i="2" s="1"/>
  <c r="BT21" i="2"/>
  <c r="BT15" i="2"/>
  <c r="BT45" i="2"/>
  <c r="F77" i="2" s="1"/>
  <c r="BT33" i="2"/>
  <c r="F53" i="2" s="1"/>
  <c r="BT12" i="2"/>
  <c r="BT6" i="2"/>
  <c r="F8" i="2" s="1"/>
  <c r="BT10" i="2"/>
  <c r="BT46" i="2"/>
  <c r="E84" i="2" s="1"/>
  <c r="BT19" i="2"/>
  <c r="BT29" i="2"/>
  <c r="F45" i="2" s="1"/>
  <c r="BT53" i="2"/>
  <c r="F93" i="2" s="1"/>
  <c r="BT36" i="2"/>
  <c r="E61" i="2" s="1"/>
  <c r="E45" i="2" l="1"/>
  <c r="F46" i="2"/>
  <c r="E44" i="2"/>
  <c r="E46" i="2"/>
  <c r="F28" i="2"/>
  <c r="F31" i="2"/>
  <c r="F29" i="2"/>
  <c r="E31" i="2"/>
  <c r="E21" i="2"/>
  <c r="F23" i="2"/>
  <c r="E20" i="2"/>
  <c r="E23" i="2"/>
  <c r="F20" i="2"/>
  <c r="F22" i="2"/>
  <c r="F21" i="2"/>
  <c r="E22" i="2"/>
  <c r="E29" i="2"/>
  <c r="F30" i="2"/>
  <c r="E28" i="2"/>
  <c r="E30" i="2"/>
  <c r="E13" i="2"/>
  <c r="F15" i="2"/>
  <c r="E12" i="2"/>
  <c r="E15" i="2"/>
  <c r="F13" i="2"/>
  <c r="E14" i="2"/>
  <c r="F12" i="2"/>
  <c r="F14" i="2"/>
  <c r="BV40" i="2"/>
  <c r="E69" i="2"/>
  <c r="BU41" i="2" s="1"/>
  <c r="E5" i="2"/>
  <c r="F7" i="2"/>
  <c r="E4" i="2"/>
  <c r="E7" i="2"/>
  <c r="F5" i="2"/>
  <c r="BU8" i="2" s="1"/>
  <c r="E6" i="2"/>
  <c r="F4" i="2"/>
  <c r="BU6" i="2" s="1"/>
  <c r="F6" i="2"/>
  <c r="BU40" i="2"/>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H69" i="2" s="1"/>
  <c r="BZ42" i="2"/>
  <c r="BZ45" i="2"/>
  <c r="BZ24" i="2"/>
  <c r="BZ36" i="2"/>
  <c r="BZ39" i="2"/>
  <c r="BZ31" i="2"/>
  <c r="BZ22" i="2"/>
  <c r="BZ23" i="2"/>
  <c r="BZ33" i="2"/>
  <c r="BZ21" i="2"/>
  <c r="H31" i="2" s="1"/>
  <c r="BZ27" i="2"/>
  <c r="BZ12" i="2"/>
  <c r="BZ53" i="2"/>
  <c r="BZ25" i="2"/>
  <c r="BZ51" i="2"/>
  <c r="BZ16" i="2"/>
  <c r="I23" i="2" s="1"/>
  <c r="BZ50" i="2"/>
  <c r="BZ34" i="2"/>
  <c r="BZ41" i="2"/>
  <c r="BZ30" i="2"/>
  <c r="BZ9" i="2"/>
  <c r="H8" i="2" s="1"/>
  <c r="BZ32" i="2"/>
  <c r="BZ17" i="2"/>
  <c r="H22" i="2" s="1"/>
  <c r="BZ47" i="2"/>
  <c r="BZ6" i="2"/>
  <c r="BZ38" i="2"/>
  <c r="BZ46" i="2"/>
  <c r="BZ15" i="2"/>
  <c r="I22" i="2" s="1"/>
  <c r="BZ44" i="2"/>
  <c r="BZ48" i="2"/>
  <c r="BZ26" i="2"/>
  <c r="H46" i="2" s="1"/>
  <c r="BZ19" i="2"/>
  <c r="I31" i="2" s="1"/>
  <c r="BZ20" i="2"/>
  <c r="I30" i="2" s="1"/>
  <c r="BZ29" i="2"/>
  <c r="BZ10" i="2"/>
  <c r="H15" i="2" s="1"/>
  <c r="BZ8" i="2"/>
  <c r="BZ28" i="2"/>
  <c r="I46" i="2" s="1"/>
  <c r="BZ37" i="2"/>
  <c r="BZ52" i="2"/>
  <c r="BZ13" i="2"/>
  <c r="H14" i="2" s="1"/>
  <c r="BZ35" i="2"/>
  <c r="BZ18" i="2"/>
  <c r="H30" i="2" s="1"/>
  <c r="BZ43" i="2"/>
  <c r="BZ11" i="2"/>
  <c r="I14" i="2" s="1"/>
  <c r="BZ14" i="2"/>
  <c r="H23" i="2" s="1"/>
  <c r="BZ7" i="2"/>
  <c r="H9" i="2" s="1"/>
  <c r="CA49" i="2" l="1"/>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A38" i="2"/>
  <c r="CB48" i="2"/>
  <c r="CC48" i="2" s="1"/>
  <c r="H4" i="2"/>
  <c r="CA41" i="2"/>
  <c r="CC49" i="2"/>
  <c r="CC53" i="2" l="1"/>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C38" i="2"/>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K22" i="2" s="1"/>
  <c r="CE29" i="2"/>
  <c r="CE23" i="2"/>
  <c r="CE30" i="2"/>
  <c r="CE51" i="2"/>
  <c r="CE53" i="2"/>
  <c r="CE44" i="2"/>
  <c r="CE52" i="2"/>
  <c r="CE24" i="2"/>
  <c r="CE50" i="2"/>
  <c r="CE27" i="2"/>
  <c r="CE39" i="2"/>
  <c r="CE36" i="2"/>
  <c r="CE42" i="2"/>
  <c r="CE7" i="2"/>
  <c r="CE25" i="2"/>
  <c r="CE20" i="2"/>
  <c r="L30" i="2" s="1"/>
  <c r="CE47" i="2"/>
  <c r="CE34" i="2"/>
  <c r="CE6" i="2"/>
  <c r="L8" i="2" s="1"/>
  <c r="CE33" i="2"/>
  <c r="CE11" i="2"/>
  <c r="L14" i="2" s="1"/>
  <c r="CE15" i="2"/>
  <c r="L22" i="2" s="1"/>
  <c r="CE32" i="2"/>
  <c r="CE8" i="2"/>
  <c r="L9" i="2" s="1"/>
  <c r="CE31" i="2"/>
  <c r="CE45" i="2"/>
  <c r="CE12" i="2"/>
  <c r="L15" i="2" s="1"/>
  <c r="CE22" i="2"/>
  <c r="CE37" i="2"/>
  <c r="CE9" i="2"/>
  <c r="CE49" i="2"/>
  <c r="CE28" i="2"/>
  <c r="L46" i="2" s="1"/>
  <c r="CE21" i="2"/>
  <c r="K31" i="2" s="1"/>
  <c r="CE48" i="2"/>
  <c r="CE10" i="2"/>
  <c r="K15" i="2" s="1"/>
  <c r="CE13" i="2"/>
  <c r="K14" i="2" s="1"/>
  <c r="CE40" i="2"/>
  <c r="CE38" i="2"/>
  <c r="CE35" i="2"/>
  <c r="CE16" i="2"/>
  <c r="L23" i="2" s="1"/>
  <c r="CE26" i="2"/>
  <c r="K46" i="2" s="1"/>
  <c r="CE19" i="2"/>
  <c r="L31" i="2" s="1"/>
  <c r="CE18" i="2"/>
  <c r="K30" i="2" s="1"/>
  <c r="CE41" i="2"/>
  <c r="CE43" i="2"/>
  <c r="CE14" i="2"/>
  <c r="K23" i="2" s="1"/>
  <c r="CE46" i="2"/>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CH44" i="2"/>
  <c r="CH25" i="2"/>
  <c r="CH8" i="2"/>
  <c r="O9" i="2" s="1"/>
  <c r="CH45" i="2"/>
  <c r="CH18" i="2"/>
  <c r="CH23" i="2"/>
  <c r="O36" i="2" s="1"/>
  <c r="CH47" i="2"/>
  <c r="CH32" i="2"/>
  <c r="CH43" i="2"/>
  <c r="CH49" i="2"/>
  <c r="CH14" i="2"/>
  <c r="N23" i="2" s="1"/>
  <c r="CH38" i="2"/>
  <c r="N68" i="2" s="1"/>
  <c r="CH36" i="2"/>
  <c r="CH46" i="2"/>
  <c r="CH48" i="2"/>
  <c r="CH24" i="2"/>
  <c r="CH31" i="2"/>
  <c r="CH12" i="2"/>
  <c r="O15" i="2" s="1"/>
  <c r="CH37" i="2"/>
  <c r="CH35" i="2"/>
  <c r="CH53" i="2"/>
  <c r="CK41" i="2"/>
  <c r="CH17" i="2"/>
  <c r="N22" i="2" s="1"/>
  <c r="CH19" i="2"/>
  <c r="O31" i="2" s="1"/>
  <c r="CH52" i="2"/>
  <c r="N93" i="2" s="1"/>
  <c r="CH51" i="2"/>
  <c r="CH9" i="2"/>
  <c r="O5" i="2" s="1"/>
  <c r="CH30" i="2"/>
  <c r="CH13" i="2"/>
  <c r="N14" i="2" s="1"/>
  <c r="CH42" i="2"/>
  <c r="CH27" i="2"/>
  <c r="CH40" i="2"/>
  <c r="N69" i="2" s="1"/>
  <c r="N9" i="2"/>
  <c r="CH26" i="2"/>
  <c r="CH11" i="2"/>
  <c r="CH33" i="2"/>
  <c r="O53" i="2" s="1"/>
  <c r="CH22" i="2"/>
  <c r="N36" i="2" s="1"/>
  <c r="CH21" i="2"/>
  <c r="CH15" i="2"/>
  <c r="O22" i="2" s="1"/>
  <c r="CH10" i="2"/>
  <c r="CH39" i="2"/>
  <c r="O68" i="2" s="1"/>
  <c r="CH29" i="2"/>
  <c r="O45" i="2" s="1"/>
  <c r="CH20" i="2"/>
  <c r="O30" i="2" s="1"/>
  <c r="CH50" i="2"/>
  <c r="N92" i="2" s="1"/>
  <c r="O8" i="2"/>
  <c r="CJ28" i="2"/>
  <c r="N44" i="2" l="1"/>
  <c r="N46" i="2"/>
  <c r="N45" i="2"/>
  <c r="O46" i="2"/>
  <c r="N7" i="2"/>
  <c r="O29" i="2"/>
  <c r="N31" i="2"/>
  <c r="CI16" i="2"/>
  <c r="O23" i="2"/>
  <c r="CK18" i="2"/>
  <c r="N30" i="2"/>
  <c r="O7" i="2"/>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N5" i="2"/>
  <c r="CJ41" i="2"/>
  <c r="O69" i="2"/>
  <c r="CK40" i="2" s="1"/>
  <c r="CI32" i="2"/>
  <c r="N53" i="2"/>
  <c r="CI36" i="2"/>
  <c r="N61" i="2"/>
  <c r="CK37" i="2"/>
  <c r="O61" i="2"/>
  <c r="O52" i="2"/>
  <c r="CJ30" i="2" s="1"/>
  <c r="N52" i="2"/>
  <c r="CJ31" i="2" s="1"/>
  <c r="O60" i="2"/>
  <c r="CJ34" i="2" s="1"/>
  <c r="N60" i="2"/>
  <c r="CJ35" i="2" s="1"/>
  <c r="CJ24" i="2"/>
  <c r="N37" i="2"/>
  <c r="CK25" i="2" s="1"/>
  <c r="CJ25" i="2"/>
  <c r="O37" i="2"/>
  <c r="CI24" i="2" s="1"/>
  <c r="CI27" i="2"/>
  <c r="O44" i="2"/>
  <c r="CJ26" i="2" s="1"/>
  <c r="CI45" i="2"/>
  <c r="CK20" i="2"/>
  <c r="N29" i="2"/>
  <c r="CK45" i="2"/>
  <c r="CI8" i="2"/>
  <c r="CK17" i="2"/>
  <c r="O21" i="2"/>
  <c r="CJ16" i="2"/>
  <c r="N21" i="2"/>
  <c r="CI15" i="2"/>
  <c r="O20" i="2"/>
  <c r="CJ14" i="2" s="1"/>
  <c r="CI14" i="2"/>
  <c r="N20" i="2"/>
  <c r="CI34" i="2"/>
  <c r="CJ32" i="2"/>
  <c r="CK43"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J15" i="2"/>
  <c r="CK35" i="2"/>
  <c r="CJ9" i="2"/>
  <c r="CJ42" i="2"/>
  <c r="CI19" i="2"/>
  <c r="CK31" i="2"/>
  <c r="CI31" i="2"/>
  <c r="CK44" i="2"/>
  <c r="CK9" i="2"/>
  <c r="CI30" i="2"/>
  <c r="CK14" i="2"/>
  <c r="CI23" i="2"/>
  <c r="CJ23" i="2"/>
  <c r="CK23" i="2"/>
  <c r="CI37" i="2"/>
  <c r="CJ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3" i="2" l="1"/>
  <c r="CL41"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R61" i="2" s="1"/>
  <c r="CN32" i="2"/>
  <c r="Q53" i="2" s="1"/>
  <c r="CN45" i="2"/>
  <c r="R77" i="2" s="1"/>
  <c r="CN53" i="2"/>
  <c r="R93" i="2" s="1"/>
  <c r="CN18" i="2"/>
  <c r="CN33" i="2"/>
  <c r="R53" i="2" s="1"/>
  <c r="CN30" i="2"/>
  <c r="Q52" i="2" s="1"/>
  <c r="CN28" i="2"/>
  <c r="CN36" i="2"/>
  <c r="Q61" i="2" s="1"/>
  <c r="CN24" i="2"/>
  <c r="Q37" i="2" s="1"/>
  <c r="CN48" i="2"/>
  <c r="Q85" i="2" s="1"/>
  <c r="CN34" i="2"/>
  <c r="Q60" i="2" s="1"/>
  <c r="CN13" i="2"/>
  <c r="CN51" i="2"/>
  <c r="R92" i="2" s="1"/>
  <c r="CN43" i="2"/>
  <c r="R76" i="2" s="1"/>
  <c r="CN15" i="2"/>
  <c r="CN14" i="2"/>
  <c r="CN40" i="2"/>
  <c r="Q69" i="2" s="1"/>
  <c r="CN26" i="2"/>
  <c r="CN31" i="2"/>
  <c r="R52" i="2" s="1"/>
  <c r="CN38" i="2"/>
  <c r="Q68" i="2" s="1"/>
  <c r="CN21" i="2"/>
  <c r="CN23" i="2"/>
  <c r="R36" i="2" s="1"/>
  <c r="CN17" i="2"/>
  <c r="CN20" i="2"/>
  <c r="CN35" i="2"/>
  <c r="R60" i="2" s="1"/>
  <c r="CN44" i="2"/>
  <c r="Q77" i="2" s="1"/>
  <c r="CN25" i="2"/>
  <c r="R37" i="2" s="1"/>
  <c r="CN39" i="2"/>
  <c r="R68" i="2" s="1"/>
  <c r="CN52" i="2"/>
  <c r="Q93" i="2" s="1"/>
  <c r="CN47" i="2"/>
  <c r="R84" i="2" s="1"/>
  <c r="CN50" i="2"/>
  <c r="Q92" i="2" s="1"/>
  <c r="CN16" i="2"/>
  <c r="CN12" i="2"/>
  <c r="CN22" i="2"/>
  <c r="Q36" i="2" s="1"/>
  <c r="CN19" i="2"/>
  <c r="CN49" i="2"/>
  <c r="R85" i="2" s="1"/>
  <c r="CN41" i="2"/>
  <c r="R69" i="2" s="1"/>
  <c r="CN8" i="2"/>
  <c r="CN9" i="2"/>
  <c r="CN10" i="2"/>
  <c r="CN6" i="2"/>
  <c r="Q4" i="2" s="1"/>
  <c r="CN7" i="2"/>
  <c r="R4" i="2" s="1"/>
  <c r="CN46" i="2"/>
  <c r="Q84" i="2" s="1"/>
  <c r="CN11" i="2"/>
  <c r="Q45" i="2" l="1"/>
  <c r="R46" i="2"/>
  <c r="Q44" i="2"/>
  <c r="Q46" i="2"/>
  <c r="R28" i="2"/>
  <c r="R31" i="2"/>
  <c r="R29" i="2"/>
  <c r="Q31" i="2"/>
  <c r="Q21" i="2"/>
  <c r="R23" i="2"/>
  <c r="Q20" i="2"/>
  <c r="Q23" i="2"/>
  <c r="R21" i="2"/>
  <c r="Q22" i="2"/>
  <c r="R20" i="2"/>
  <c r="R22" i="2"/>
  <c r="Q28" i="2"/>
  <c r="Q30" i="2"/>
  <c r="Q29" i="2"/>
  <c r="R30" i="2"/>
  <c r="Q12" i="2"/>
  <c r="Q15" i="2"/>
  <c r="Q13" i="2"/>
  <c r="R15" i="2"/>
  <c r="R12" i="2"/>
  <c r="R14" i="2"/>
  <c r="R13" i="2"/>
  <c r="Q14" i="2"/>
  <c r="CP42" i="2"/>
  <c r="Q76" i="2"/>
  <c r="CP29" i="2"/>
  <c r="R45" i="2"/>
  <c r="CP27" i="2"/>
  <c r="R44" i="2"/>
  <c r="CP26" i="2" s="1"/>
  <c r="CO42" i="2"/>
  <c r="CO29" i="2"/>
  <c r="CQ29" i="2" s="1"/>
  <c r="CO27" i="2"/>
  <c r="CO30" i="2"/>
  <c r="CP30" i="2"/>
  <c r="CP38" i="2"/>
  <c r="CO38" i="2"/>
  <c r="R8" i="2"/>
  <c r="Q7" i="2"/>
  <c r="CP40" i="2"/>
  <c r="CO40" i="2"/>
  <c r="Q8" i="2"/>
  <c r="R5" i="2"/>
  <c r="CO8" i="2" s="1"/>
  <c r="Q6" i="2"/>
  <c r="CP7" i="2" s="1"/>
  <c r="CP39" i="2"/>
  <c r="CO39" i="2"/>
  <c r="CP14" i="2"/>
  <c r="CO33" i="2"/>
  <c r="CP33" i="2"/>
  <c r="CP16" i="2"/>
  <c r="CO16" i="2"/>
  <c r="CO36" i="2"/>
  <c r="CP36" i="2"/>
  <c r="CP25" i="2"/>
  <c r="CO25" i="2"/>
  <c r="R6" i="2"/>
  <c r="Q9" i="2"/>
  <c r="CO47" i="2"/>
  <c r="CP47" i="2"/>
  <c r="CO52" i="2"/>
  <c r="CP52" i="2"/>
  <c r="R9" i="2"/>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O21" i="2"/>
  <c r="CP21" i="2"/>
  <c r="CO6" i="2"/>
  <c r="CP10" i="2" l="1"/>
  <c r="CO10" i="2"/>
  <c r="CO14" i="2"/>
  <c r="CQ14" i="2" s="1"/>
  <c r="CO7" i="2"/>
  <c r="CQ7" i="2" s="1"/>
  <c r="CO26" i="2"/>
  <c r="CQ26" i="2" s="1"/>
  <c r="CQ42" i="2"/>
  <c r="CQ27" i="2"/>
  <c r="CP8" i="2"/>
  <c r="CQ8" i="2" s="1"/>
  <c r="CP6" i="2"/>
  <c r="CQ6" i="2" s="1"/>
  <c r="CQ16" i="2"/>
  <c r="CQ30" i="2"/>
  <c r="CQ36" i="2"/>
  <c r="CQ31" i="2"/>
  <c r="CQ37" i="2"/>
  <c r="CQ11" i="2"/>
  <c r="CQ49" i="2"/>
  <c r="CQ53" i="2"/>
  <c r="CQ48" i="2"/>
  <c r="CQ17" i="2"/>
  <c r="CQ52" i="2"/>
  <c r="CQ20" i="2"/>
  <c r="CQ38" i="2"/>
  <c r="CQ28" i="2"/>
  <c r="CQ18" i="2"/>
  <c r="CO9" i="2"/>
  <c r="CQ35" i="2"/>
  <c r="CQ40" i="2"/>
  <c r="CQ24" i="2"/>
  <c r="CQ47" i="2"/>
  <c r="CQ32" i="2"/>
  <c r="CQ15" i="2"/>
  <c r="CP9" i="2"/>
  <c r="CQ25" i="2"/>
  <c r="CQ39" i="2"/>
  <c r="CQ19" i="2"/>
  <c r="CQ43" i="2"/>
  <c r="CQ12" i="2"/>
  <c r="CQ50" i="2"/>
  <c r="CQ22" i="2"/>
  <c r="CQ13" i="2"/>
  <c r="CQ21" i="2"/>
  <c r="CQ44" i="2"/>
  <c r="CQ34" i="2"/>
  <c r="CQ51" i="2"/>
  <c r="CQ46" i="2"/>
  <c r="CQ41" i="2"/>
  <c r="CQ23" i="2"/>
  <c r="CQ45" i="2"/>
  <c r="CQ33" i="2"/>
  <c r="CQ10" i="2" l="1"/>
  <c r="CR46" i="2"/>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T23" i="2" s="1"/>
  <c r="CS15" i="2"/>
  <c r="U22" i="2" s="1"/>
  <c r="CS18" i="2"/>
  <c r="T30" i="2" s="1"/>
  <c r="CS49" i="2"/>
  <c r="CS26" i="2"/>
  <c r="T46" i="2" s="1"/>
  <c r="CS52" i="2"/>
  <c r="CS53" i="2"/>
  <c r="CS41" i="2"/>
  <c r="CS29" i="2"/>
  <c r="CS8" i="2"/>
  <c r="U7" i="2" s="1"/>
  <c r="CS31" i="2"/>
  <c r="CS39" i="2"/>
  <c r="CS28" i="2"/>
  <c r="U46" i="2" s="1"/>
  <c r="CS44" i="2"/>
  <c r="CS20" i="2"/>
  <c r="U30" i="2" s="1"/>
  <c r="CS21" i="2"/>
  <c r="T31" i="2" s="1"/>
  <c r="CS38" i="2"/>
  <c r="CS30" i="2"/>
  <c r="CS32" i="2"/>
  <c r="CS17" i="2"/>
  <c r="T22" i="2" s="1"/>
  <c r="CS7" i="2"/>
  <c r="U4" i="2" s="1"/>
  <c r="CS23" i="2"/>
  <c r="CS48" i="2"/>
  <c r="CS12" i="2"/>
  <c r="U15" i="2" s="1"/>
  <c r="CS34" i="2"/>
  <c r="CS16" i="2"/>
  <c r="U23" i="2" s="1"/>
  <c r="CS10" i="2"/>
  <c r="T15" i="2" s="1"/>
  <c r="CS9" i="2"/>
  <c r="T6" i="2" s="1"/>
  <c r="CS40" i="2"/>
  <c r="CS6" i="2"/>
  <c r="T7" i="2" s="1"/>
  <c r="CS11" i="2"/>
  <c r="U14" i="2" s="1"/>
  <c r="CS27" i="2"/>
  <c r="CS46" i="2"/>
  <c r="CS42" i="2"/>
  <c r="CS25" i="2"/>
  <c r="CS19" i="2"/>
  <c r="U31" i="2" s="1"/>
  <c r="CS33" i="2"/>
  <c r="CS13" i="2"/>
  <c r="T14" i="2" s="1"/>
  <c r="CS37" i="2"/>
  <c r="CS36" i="2"/>
  <c r="CS51" i="2"/>
  <c r="CS50" i="2"/>
  <c r="CS45" i="2"/>
  <c r="CS24" i="2"/>
  <c r="CS47" i="2"/>
  <c r="CS43" i="2"/>
  <c r="CS35" i="2"/>
  <c r="CS22" i="2"/>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33" i="2"/>
  <c r="CU48" i="2"/>
  <c r="CU27" i="2"/>
  <c r="CU29" i="2"/>
  <c r="CU20" i="2"/>
  <c r="CU18" i="2"/>
  <c r="CU10" i="2"/>
  <c r="CU8" i="2"/>
  <c r="CU11" i="2" l="1"/>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<sst xmlns="http://schemas.openxmlformats.org/spreadsheetml/2006/main" count="6754" uniqueCount="1516">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</sst>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V32" sqref="AV32"/>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60" spans="1:31" x14ac:dyDescent="0.2">
      <c r="AC60" s="292">
        <v>0</v>
      </c>
      <c r="AD60" s="292">
        <v>0</v>
      </c>
    </row>
    <row r="61" spans="1:31" x14ac:dyDescent="0.2">
      <c r="AC61" s="292">
        <v>1</v>
      </c>
      <c r="AD61" s="292">
        <v>1</v>
      </c>
    </row>
    <row r="68" spans="29:30" x14ac:dyDescent="0.2">
      <c r="AC68" s="292">
        <v>3</v>
      </c>
      <c r="AD68" s="292">
        <v>1</v>
      </c>
    </row>
    <row r="69" spans="29:30" x14ac:dyDescent="0.2">
      <c r="AC69" s="292">
        <v>1</v>
      </c>
      <c r="AD69" s="292">
        <v>4</v>
      </c>
    </row>
    <row r="76" spans="29:30" x14ac:dyDescent="0.2">
      <c r="AC76" s="292">
        <v>3</v>
      </c>
      <c r="AD76" s="292">
        <v>0</v>
      </c>
    </row>
    <row r="77" spans="29:30" x14ac:dyDescent="0.2">
      <c r="AC77" s="292">
        <v>3</v>
      </c>
      <c r="AD77" s="292">
        <v>1</v>
      </c>
    </row>
    <row r="84" spans="29:30" x14ac:dyDescent="0.2">
      <c r="AC84" s="292">
        <v>1</v>
      </c>
      <c r="AD84" s="292">
        <v>1</v>
      </c>
    </row>
    <row r="85" spans="29:30" x14ac:dyDescent="0.2">
      <c r="AC85" s="292">
        <v>1</v>
      </c>
      <c r="AD85" s="292">
        <v>3</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0" zoomScaleNormal="100" workbookViewId="0">
      <selection activeCell="AV32" sqref="AV3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19"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28"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5"/>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5"/>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5"/>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5"/>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6"/>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3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5"/>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5"/>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4</v>
      </c>
      <c r="BF14" s="16">
        <f t="shared" ca="1" si="17"/>
        <v>2</v>
      </c>
      <c r="BG14" s="16">
        <f t="shared" ca="1" si="18"/>
        <v>1</v>
      </c>
      <c r="BH14" s="16">
        <f t="shared" ca="1" si="19"/>
        <v>1</v>
      </c>
      <c r="BI14" s="16">
        <f t="shared" ca="1" si="20"/>
        <v>0</v>
      </c>
      <c r="BJ14" s="16">
        <f t="shared" ca="1" si="21"/>
        <v>4</v>
      </c>
      <c r="BK14" s="16">
        <f t="shared" ca="1" si="22"/>
        <v>1</v>
      </c>
      <c r="BL14" s="16">
        <f t="shared" ca="1" si="23"/>
        <v>3</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8</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5"/>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2</v>
      </c>
      <c r="BG15" s="16">
        <f t="shared" ca="1" si="18"/>
        <v>1</v>
      </c>
      <c r="BH15" s="16">
        <f t="shared" ca="1" si="19"/>
        <v>1</v>
      </c>
      <c r="BI15" s="16">
        <f t="shared" ca="1" si="20"/>
        <v>0</v>
      </c>
      <c r="BJ15" s="16">
        <f t="shared" ca="1" si="21"/>
        <v>2</v>
      </c>
      <c r="BK15" s="16">
        <f t="shared" ca="1" si="22"/>
        <v>1</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8</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5"/>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2</v>
      </c>
      <c r="BG16" s="16">
        <f t="shared" ca="1" si="18"/>
        <v>0</v>
      </c>
      <c r="BH16" s="16">
        <f t="shared" ca="1" si="19"/>
        <v>0</v>
      </c>
      <c r="BI16" s="16">
        <f t="shared" ca="1" si="20"/>
        <v>2</v>
      </c>
      <c r="BJ16" s="16">
        <f t="shared" ca="1" si="21"/>
        <v>0</v>
      </c>
      <c r="BK16" s="16">
        <f t="shared" ca="1" si="22"/>
        <v>4</v>
      </c>
      <c r="BL16" s="16">
        <f t="shared" ca="1" si="23"/>
        <v>-4</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8</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6"/>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2</v>
      </c>
      <c r="BG17" s="16">
        <f t="shared" ca="1" si="18"/>
        <v>1</v>
      </c>
      <c r="BH17" s="16">
        <f t="shared" ca="1" si="19"/>
        <v>0</v>
      </c>
      <c r="BI17" s="16">
        <f t="shared" ca="1" si="20"/>
        <v>1</v>
      </c>
      <c r="BJ17" s="16">
        <f t="shared" ca="1" si="21"/>
        <v>1</v>
      </c>
      <c r="BK17" s="16">
        <f t="shared" ca="1" si="22"/>
        <v>1</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8</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8</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2</v>
      </c>
      <c r="BG19" s="16">
        <f t="shared" ca="1" si="18"/>
        <v>1</v>
      </c>
      <c r="BH19" s="16">
        <f t="shared" ca="1" si="19"/>
        <v>0</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8</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6"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8</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5"/>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2</v>
      </c>
      <c r="BG21" s="16">
        <f t="shared" ca="1" si="18"/>
        <v>0</v>
      </c>
      <c r="BH21" s="16">
        <f t="shared" ca="1" si="19"/>
        <v>0</v>
      </c>
      <c r="BI21" s="16">
        <f t="shared" ca="1" si="20"/>
        <v>2</v>
      </c>
      <c r="BJ21" s="16">
        <f t="shared" ca="1" si="21"/>
        <v>0</v>
      </c>
      <c r="BK21" s="16">
        <f t="shared" ca="1" si="22"/>
        <v>3</v>
      </c>
      <c r="BL21" s="16">
        <f t="shared" ca="1" si="23"/>
        <v>-3</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8</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5"/>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4</v>
      </c>
      <c r="AN22" s="36">
        <f t="shared" ca="1" si="83"/>
        <v>2</v>
      </c>
      <c r="AO22" s="36">
        <f t="shared" ca="1" si="83"/>
        <v>1</v>
      </c>
      <c r="AP22" s="36">
        <f t="shared" ca="1" si="83"/>
        <v>1</v>
      </c>
      <c r="AQ22" s="36">
        <f t="shared" ca="1" si="83"/>
        <v>0</v>
      </c>
      <c r="AR22" s="36">
        <f t="shared" ca="1" si="83"/>
        <v>4</v>
      </c>
      <c r="AS22" s="36">
        <f t="shared" ca="1" si="83"/>
        <v>1</v>
      </c>
      <c r="AT22" s="41">
        <f t="shared" ca="1" si="83"/>
        <v>3</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5"/>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4</v>
      </c>
      <c r="AN23" s="39">
        <f t="shared" ca="1" si="83"/>
        <v>2</v>
      </c>
      <c r="AO23" s="39">
        <f t="shared" ca="1" si="83"/>
        <v>1</v>
      </c>
      <c r="AP23" s="39">
        <f t="shared" ca="1" si="83"/>
        <v>1</v>
      </c>
      <c r="AQ23" s="39">
        <f t="shared" ca="1" si="83"/>
        <v>0</v>
      </c>
      <c r="AR23" s="39">
        <f t="shared" ca="1" si="83"/>
        <v>2</v>
      </c>
      <c r="AS23" s="39">
        <f t="shared" ca="1" si="83"/>
        <v>1</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5"/>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2</v>
      </c>
      <c r="AO24" s="39">
        <f t="shared" ca="1" si="83"/>
        <v>1</v>
      </c>
      <c r="AP24" s="39">
        <f t="shared" ca="1" si="83"/>
        <v>0</v>
      </c>
      <c r="AQ24" s="39">
        <f t="shared" ca="1" si="83"/>
        <v>1</v>
      </c>
      <c r="AR24" s="39">
        <f t="shared" ca="1" si="83"/>
        <v>1</v>
      </c>
      <c r="AS24" s="39">
        <f t="shared" ca="1" si="83"/>
        <v>1</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6"/>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2</v>
      </c>
      <c r="AO25" s="47">
        <f t="shared" ca="1" si="83"/>
        <v>0</v>
      </c>
      <c r="AP25" s="47">
        <f t="shared" ca="1" si="83"/>
        <v>0</v>
      </c>
      <c r="AQ25" s="47">
        <f t="shared" ca="1" si="83"/>
        <v>2</v>
      </c>
      <c r="AR25" s="47">
        <f t="shared" ca="1" si="83"/>
        <v>0</v>
      </c>
      <c r="AS25" s="47">
        <f t="shared" ca="1" si="83"/>
        <v>4</v>
      </c>
      <c r="AT25" s="48">
        <f t="shared" ca="1" si="83"/>
        <v>-4</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4</v>
      </c>
      <c r="BF26" s="16">
        <f t="shared" ca="1" si="17"/>
        <v>2</v>
      </c>
      <c r="BG26" s="16">
        <f t="shared" ca="1" si="18"/>
        <v>1</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6</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3</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3</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3</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3</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3</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3</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3</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3</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3</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3</v>
      </c>
      <c r="DE27" s="16"/>
      <c r="DF27" s="16">
        <f t="shared" ca="1" si="46"/>
        <v>3</v>
      </c>
      <c r="DG27" s="16" t="str">
        <f ca="1">IF(DB27="-","-",COUNTIFS(DF$6:DF$53,"&lt;"&amp;DF27,$BC$6:$BC$53,INDEX(T_Equipos[Grupo],MATCH(BD27,T_Equipos[NombreEquipo],0))))</f>
        <v>-</v>
      </c>
      <c r="DH27" s="16">
        <f ca="1">DA27+COUNTIFS(DB$6:DB$53,DB27,DG$6:DG$53,"&lt;"&amp;DG27,$BC$6:$BC$53,INDEX(T_Equipos[Grupo],MATCH(BD27,T_Equipos[NombreEquipo],0)))</f>
        <v>3</v>
      </c>
      <c r="DI27" s="16"/>
      <c r="DJ27" s="16">
        <f t="shared" ca="1" si="47"/>
        <v>2</v>
      </c>
      <c r="DK27" s="16">
        <f t="shared" ca="1" si="48"/>
        <v>6</v>
      </c>
      <c r="DL27" s="16">
        <f t="shared" ca="1" si="49"/>
        <v>1</v>
      </c>
      <c r="DM27" s="16" t="str">
        <f t="shared" ca="1" si="50"/>
        <v>2.1</v>
      </c>
      <c r="DN27" s="16">
        <f t="array" aca="1" ref="DN27" ca="1">OFFSET(Horarios!$P$3,DJ27-1,0,DL27,1)</f>
        <v>2</v>
      </c>
      <c r="DO27" s="16"/>
      <c r="DP27" s="16" t="s">
        <v>93</v>
      </c>
      <c r="DQ27" s="16" t="str">
        <f t="shared" ca="1" si="51"/>
        <v>Suecia</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7"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2</v>
      </c>
      <c r="BG28" s="16">
        <f t="shared" ca="1" si="18"/>
        <v>1</v>
      </c>
      <c r="BH28" s="16">
        <f t="shared" ca="1" si="19"/>
        <v>0</v>
      </c>
      <c r="BI28" s="16">
        <f t="shared" ca="1" si="20"/>
        <v>1</v>
      </c>
      <c r="BJ28" s="16">
        <f t="shared" ca="1" si="21"/>
        <v>6</v>
      </c>
      <c r="BK28" s="16">
        <f t="shared" ca="1" si="22"/>
        <v>6</v>
      </c>
      <c r="BL28" s="16">
        <f t="shared" ca="1" si="23"/>
        <v>0</v>
      </c>
      <c r="BM28" s="16" t="str">
        <f t="shared" ca="1" si="24"/>
        <v>2F</v>
      </c>
      <c r="BN28" s="16" t="str">
        <f t="shared" ca="1" si="25"/>
        <v>2F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2</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2</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2</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2</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2</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2</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2</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2</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2</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2</v>
      </c>
      <c r="DE28" s="16"/>
      <c r="DF28" s="16">
        <f t="shared" ca="1" si="46"/>
        <v>2</v>
      </c>
      <c r="DG28" s="16" t="str">
        <f ca="1">IF(DB28="-","-",COUNTIFS(DF$6:DF$53,"&lt;"&amp;DF28,$BC$6:$BC$53,INDEX(T_Equipos[Grupo],MATCH(BD28,T_Equipos[NombreEquipo],0))))</f>
        <v>-</v>
      </c>
      <c r="DH28" s="16">
        <f ca="1">DA28+COUNTIFS(DB$6:DB$53,DB28,DG$6:DG$53,"&lt;"&amp;DG28,$BC$6:$BC$53,INDEX(T_Equipos[Grupo],MATCH(BD28,T_Equipos[NombreEquipo],0)))</f>
        <v>2</v>
      </c>
      <c r="DI28" s="16"/>
      <c r="DJ28" s="16">
        <f t="shared" ca="1" si="47"/>
        <v>3</v>
      </c>
      <c r="DK28" s="16">
        <f t="shared" ca="1" si="48"/>
        <v>6</v>
      </c>
      <c r="DL28" s="16">
        <f t="shared" ca="1" si="49"/>
        <v>1</v>
      </c>
      <c r="DM28" s="16" t="str">
        <f t="shared" ca="1" si="50"/>
        <v>3.1</v>
      </c>
      <c r="DN28" s="16">
        <f t="array" aca="1" ref="DN28" ca="1">OFFSET(Horarios!$P$3,DJ28-1,0,DL28,1)</f>
        <v>3</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5"/>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6</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5"/>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5"/>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5"/>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2</v>
      </c>
      <c r="AO32" s="39">
        <f t="shared" ca="1" si="99"/>
        <v>1</v>
      </c>
      <c r="AP32" s="39">
        <f t="shared" ca="1" si="99"/>
        <v>0</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6"/>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2</v>
      </c>
      <c r="AO33" s="47">
        <f t="shared" ca="1" si="99"/>
        <v>0</v>
      </c>
      <c r="AP33" s="47">
        <f t="shared" ca="1" si="99"/>
        <v>0</v>
      </c>
      <c r="AQ33" s="47">
        <f t="shared" ca="1" si="99"/>
        <v>2</v>
      </c>
      <c r="AR33" s="47">
        <f t="shared" ca="1" si="99"/>
        <v>0</v>
      </c>
      <c r="AS33" s="47">
        <f t="shared" ca="1" si="99"/>
        <v>3</v>
      </c>
      <c r="AT33" s="48">
        <f t="shared" ca="1" si="99"/>
        <v>-3</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1"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5"/>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5"/>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5"/>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5"/>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6"/>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4</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4</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4"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1</v>
      </c>
      <c r="BG44" s="16">
        <f t="shared" ca="1" si="18"/>
        <v>1</v>
      </c>
      <c r="BH44" s="16">
        <f t="shared" ca="1" si="19"/>
        <v>0</v>
      </c>
      <c r="BI44" s="16">
        <f t="shared" ca="1" si="20"/>
        <v>0</v>
      </c>
      <c r="BJ44" s="16">
        <f t="shared" ca="1" si="21"/>
        <v>3</v>
      </c>
      <c r="BK44" s="16">
        <f t="shared" ca="1" si="22"/>
        <v>1</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4</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5"/>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4</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5"/>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4</v>
      </c>
      <c r="AN46" s="36">
        <f t="shared" ca="1" si="131"/>
        <v>2</v>
      </c>
      <c r="AO46" s="36">
        <f t="shared" ca="1" si="131"/>
        <v>1</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8"/>
        <v>0</v>
      </c>
      <c r="BV46" s="16">
        <f t="shared" ca="1" si="29"/>
        <v>1</v>
      </c>
      <c r="BW46" s="16">
        <f t="shared" ca="1" si="30"/>
        <v>0</v>
      </c>
      <c r="BX46" s="16">
        <f t="shared" ca="1" si="31"/>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32"/>
        <v>1</v>
      </c>
      <c r="CB46" s="16">
        <f t="shared" ca="1" si="33"/>
        <v>1</v>
      </c>
      <c r="CC46" s="16">
        <f t="shared" ca="1" si="34"/>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35"/>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6"/>
        <v>0</v>
      </c>
      <c r="CJ46" s="16">
        <f t="shared" ca="1" si="37"/>
        <v>1</v>
      </c>
      <c r="CK46" s="16">
        <f t="shared" ca="1" si="38"/>
        <v>0</v>
      </c>
      <c r="CL46" s="16">
        <f t="shared" ca="1" si="39"/>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40"/>
        <v>1</v>
      </c>
      <c r="CP46" s="16">
        <f t="shared" ca="1" si="41"/>
        <v>1</v>
      </c>
      <c r="CQ46" s="16">
        <f t="shared" ca="1" si="42"/>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43"/>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44"/>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45"/>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46"/>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47"/>
        <v>1</v>
      </c>
      <c r="DK46" s="16">
        <f t="shared" ca="1" si="48"/>
        <v>4</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5"/>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Suecia</v>
      </c>
      <c r="AM47" s="38">
        <f t="shared" ca="1" si="131"/>
        <v>3</v>
      </c>
      <c r="AN47" s="39">
        <f t="shared" ca="1" si="131"/>
        <v>2</v>
      </c>
      <c r="AO47" s="39">
        <f t="shared" ca="1" si="131"/>
        <v>1</v>
      </c>
      <c r="AP47" s="39">
        <f t="shared" ca="1" si="131"/>
        <v>0</v>
      </c>
      <c r="AQ47" s="39">
        <f t="shared" ca="1" si="131"/>
        <v>1</v>
      </c>
      <c r="AR47" s="39">
        <f t="shared" ca="1" si="131"/>
        <v>6</v>
      </c>
      <c r="AS47" s="39">
        <f t="shared" ca="1" si="131"/>
        <v>6</v>
      </c>
      <c r="AT47" s="43">
        <f t="shared" ca="1" si="131"/>
        <v>0</v>
      </c>
      <c r="AU47" s="323">
        <f ca="1">INDEX($DL$6:$DL$53,MATCH(AI47,$DP$6:$DP$53,0))</f>
        <v>1</v>
      </c>
      <c r="AV47" s="182" t="str">
        <f ca="1">INDEX($BD$6:$BD$53,MATCH(AI47,$BM$6:$BM$53,0))</f>
        <v>Suecia</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45"/>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4</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5"/>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1</v>
      </c>
      <c r="BG48" s="16">
        <f t="shared" ca="1" si="18"/>
        <v>0</v>
      </c>
      <c r="BH48" s="16">
        <f t="shared" ca="1" si="19"/>
        <v>0</v>
      </c>
      <c r="BI48" s="16">
        <f t="shared" ca="1" si="20"/>
        <v>1</v>
      </c>
      <c r="BJ48" s="16">
        <f t="shared" ca="1" si="21"/>
        <v>1</v>
      </c>
      <c r="BK48" s="16">
        <f t="shared" ca="1" si="22"/>
        <v>3</v>
      </c>
      <c r="BL48" s="16">
        <f t="shared" ca="1" si="23"/>
        <v>-2</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2</v>
      </c>
      <c r="DK48" s="16">
        <f t="shared" ca="1" si="48"/>
        <v>4</v>
      </c>
      <c r="DL48" s="16">
        <f t="shared" ca="1" si="49"/>
        <v>1</v>
      </c>
      <c r="DM48" s="16" t="str">
        <f t="shared" ca="1" si="50"/>
        <v>2.1</v>
      </c>
      <c r="DN48" s="16">
        <f t="array" aca="1" ref="DN48" ca="1">OFFSET(Horarios!$P$3,DJ48-1,0,DL48,1)</f>
        <v>2</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6"/>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4</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29"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5"/>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5"/>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5"/>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5"/>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6"/>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7</v>
      </c>
      <c r="BN58" s="16">
        <f t="shared" ref="BN58:BN69" ca="1" si="153">CF58</f>
        <v>7</v>
      </c>
      <c r="BO58" s="16" t="str">
        <f t="shared" ref="BO58:BO69" si="154">"4"&amp;BC58</f>
        <v>4A</v>
      </c>
      <c r="BP58" s="16"/>
      <c r="BQ58" s="16"/>
      <c r="BR58" s="16">
        <f t="shared" ref="BR58:BR69" ca="1" si="155">+BE58</f>
        <v>1</v>
      </c>
      <c r="BS58" s="16">
        <f t="shared" ref="BS58:BS69" ca="1" si="156">COUNTIFS(BR$58:BR$69,"&gt;"&amp;BR58)+1</f>
        <v>3</v>
      </c>
      <c r="BT58" s="16" t="str">
        <f t="shared" ref="BT58:BT69" ca="1" si="157">IF(COUNTIF(BS$58:BS$69,BS58)=1,"-","Pos. "&amp;BS58&amp;" ("&amp;COUNTIF(BS$58:BS$69,BS58)&amp;")")</f>
        <v>Pos. 3 (6)</v>
      </c>
      <c r="BU58" s="16">
        <f t="shared" ref="BU58:BU69" ca="1" si="158">IF(BT58="-","-",BL58)</f>
        <v>-1</v>
      </c>
      <c r="BV58" s="16">
        <f t="shared" ref="BV58:BV69" ca="1" si="159">BS58+COUNTIFS(BT$58:BT$69,BT58,BU$58:BU$69,"&gt;"&amp;BU58)</f>
        <v>7</v>
      </c>
      <c r="BW58" s="16" t="str">
        <f t="shared" ref="BW58:BW69" ca="1" si="160">IF(COUNTIF(BV$58:BV$69,BV58)=1,"-","Pos. "&amp;BV58&amp;" ("&amp;COUNTIF(BV$58:BV$69,BV58)&amp;")")</f>
        <v>-</v>
      </c>
      <c r="BX58" s="16" t="str">
        <f t="shared" ref="BX58:BX69" ca="1" si="161">IF(BW58="-","-",BJ58)</f>
        <v>-</v>
      </c>
      <c r="BY58" s="16">
        <f t="shared" ref="BY58:BY69" ca="1" si="162">BV58+COUNTIFS(BW$58:BW$69,BW58,BX$58:BX$69,"&gt;"&amp;BX58)</f>
        <v>7</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7</v>
      </c>
      <c r="CC58" s="16"/>
      <c r="CD58" s="16">
        <f t="shared" ref="CD58:CD69" ca="1" si="166">IF(OR(INDEX($AW$102:$AW$113,MATCH($BD58,$AV$102:$AV$113,0))="",BZ58="-"),CB58,INDEX($AW$102:$AW$113,MATCH($BD58,$AV$102:$AV$113,0))+CB58/1000)</f>
        <v>7</v>
      </c>
      <c r="CE58" s="16" t="str">
        <f t="shared" ref="CE58:CE69" ca="1" si="167">IF(BZ58="-","-",COUNTIF(CD$58:CD$69,"&lt;"&amp;CD58))</f>
        <v>-</v>
      </c>
      <c r="CF58" s="16">
        <f t="shared" ref="CF58:CF69" ca="1" si="168">BY58+COUNTIFS(BZ$58:BZ$69,BZ58,CE$58:CE$69,"&lt;"&amp;CE58)</f>
        <v>7</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Escocia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8</v>
      </c>
      <c r="BN59" s="16">
        <f t="shared" ca="1" si="153"/>
        <v>8</v>
      </c>
      <c r="BO59" s="16" t="str">
        <f t="shared" si="154"/>
        <v>4B</v>
      </c>
      <c r="BP59" s="16"/>
      <c r="BQ59" s="16"/>
      <c r="BR59" s="16">
        <f t="shared" ca="1" si="155"/>
        <v>1</v>
      </c>
      <c r="BS59" s="16">
        <f t="shared" ca="1" si="156"/>
        <v>3</v>
      </c>
      <c r="BT59" s="16" t="str">
        <f t="shared" ca="1" si="157"/>
        <v>Pos. 3 (6)</v>
      </c>
      <c r="BU59" s="16">
        <f t="shared" ca="1" si="158"/>
        <v>-3</v>
      </c>
      <c r="BV59" s="16">
        <f t="shared" ca="1" si="159"/>
        <v>8</v>
      </c>
      <c r="BW59" s="16" t="str">
        <f t="shared" ca="1" si="160"/>
        <v>-</v>
      </c>
      <c r="BX59" s="16" t="str">
        <f t="shared" ca="1" si="161"/>
        <v>-</v>
      </c>
      <c r="BY59" s="16">
        <f t="shared" ca="1" si="162"/>
        <v>8</v>
      </c>
      <c r="BZ59" s="16" t="str">
        <f t="shared" ca="1" si="163"/>
        <v>-</v>
      </c>
      <c r="CA59" s="16" t="str">
        <f t="shared" ca="1" si="164"/>
        <v>-</v>
      </c>
      <c r="CB59" s="16">
        <f t="shared" ca="1" si="165"/>
        <v>8</v>
      </c>
      <c r="CC59" s="16"/>
      <c r="CD59" s="16">
        <f t="shared" ca="1" si="166"/>
        <v>8</v>
      </c>
      <c r="CE59" s="16" t="str">
        <f t="shared" ca="1" si="167"/>
        <v>-</v>
      </c>
      <c r="CF59" s="16">
        <f t="shared" ca="1" si="168"/>
        <v>8</v>
      </c>
      <c r="DJ59" s="16">
        <f t="shared" ca="1" si="169"/>
        <v>2</v>
      </c>
      <c r="DK59" s="16"/>
      <c r="DL59" s="16">
        <f t="shared" ca="1" si="170"/>
        <v>1</v>
      </c>
      <c r="DM59" s="16" t="str">
        <f t="shared" ca="1" si="171"/>
        <v>2.1</v>
      </c>
      <c r="DN59" s="16">
        <f t="array" aca="1" ref="DN59" ca="1">OFFSET(Horarios!$P$3,DJ59-1,0,DL59,1)</f>
        <v>2</v>
      </c>
      <c r="DO59" s="16"/>
      <c r="DP59" s="16">
        <v>2</v>
      </c>
      <c r="DQ59" s="16" t="str">
        <f t="shared" ca="1" si="172"/>
        <v>Paraguay</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32"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2</v>
      </c>
      <c r="BG60" s="16">
        <f t="shared" ca="1" si="174"/>
        <v>1</v>
      </c>
      <c r="BH60" s="16">
        <f t="shared" ca="1" si="175"/>
        <v>0</v>
      </c>
      <c r="BI60" s="16">
        <f t="shared" ca="1" si="176"/>
        <v>1</v>
      </c>
      <c r="BJ60" s="16">
        <f t="shared" ca="1" si="177"/>
        <v>1</v>
      </c>
      <c r="BK60" s="16">
        <f t="shared" ca="1" si="178"/>
        <v>1</v>
      </c>
      <c r="BL60" s="16">
        <f t="shared" ca="1" si="151"/>
        <v>0</v>
      </c>
      <c r="BM60" s="16">
        <f t="shared" ca="1" si="152"/>
        <v>1</v>
      </c>
      <c r="BN60" s="16">
        <f t="shared" ca="1" si="153"/>
        <v>1</v>
      </c>
      <c r="BO60" s="16" t="str">
        <f t="shared" si="154"/>
        <v>4C</v>
      </c>
      <c r="BP60" s="16"/>
      <c r="BQ60" s="16"/>
      <c r="BR60" s="16">
        <f t="shared" ca="1" si="155"/>
        <v>3</v>
      </c>
      <c r="BS60" s="16">
        <f t="shared" ca="1" si="156"/>
        <v>1</v>
      </c>
      <c r="BT60" s="16" t="str">
        <f t="shared" ca="1" si="157"/>
        <v>Pos. 1 (2)</v>
      </c>
      <c r="BU60" s="16">
        <f t="shared" ca="1" si="158"/>
        <v>0</v>
      </c>
      <c r="BV60" s="16">
        <f t="shared" ca="1" si="159"/>
        <v>1</v>
      </c>
      <c r="BW60" s="16" t="str">
        <f t="shared" ca="1" si="160"/>
        <v>-</v>
      </c>
      <c r="BX60" s="16" t="str">
        <f t="shared" ca="1" si="161"/>
        <v>-</v>
      </c>
      <c r="BY60" s="16">
        <f t="shared" ca="1" si="162"/>
        <v>1</v>
      </c>
      <c r="BZ60" s="16" t="str">
        <f t="shared" ca="1" si="163"/>
        <v>-</v>
      </c>
      <c r="CA60" s="16" t="str">
        <f t="shared" ca="1" si="164"/>
        <v>-</v>
      </c>
      <c r="CB60" s="16">
        <f t="shared" ca="1" si="165"/>
        <v>1</v>
      </c>
      <c r="CC60" s="16"/>
      <c r="CD60" s="16">
        <f t="shared" ca="1" si="166"/>
        <v>1</v>
      </c>
      <c r="CE60" s="16" t="str">
        <f t="shared" ca="1" si="167"/>
        <v>-</v>
      </c>
      <c r="CF60" s="16">
        <f t="shared" ca="1" si="168"/>
        <v>1</v>
      </c>
      <c r="DJ60" s="16">
        <f t="shared" ca="1" si="169"/>
        <v>3</v>
      </c>
      <c r="DK60" s="16"/>
      <c r="DL60" s="16">
        <f t="shared" ca="1" si="170"/>
        <v>1</v>
      </c>
      <c r="DM60" s="16" t="str">
        <f t="shared" ca="1" si="171"/>
        <v>3.1</v>
      </c>
      <c r="DN60" s="16">
        <f t="array" aca="1" ref="DN60" ca="1">OFFSET(Horarios!$P$3,DJ60-1,0,DL60,1)</f>
        <v>3</v>
      </c>
      <c r="DO60" s="16"/>
      <c r="DP60" s="16">
        <v>3</v>
      </c>
      <c r="DQ60" s="16" t="str">
        <f t="shared" ca="1" si="172"/>
        <v>Japón</v>
      </c>
    </row>
    <row r="61" spans="1:121" ht="16" customHeight="1" x14ac:dyDescent="0.2">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5"/>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2</v>
      </c>
      <c r="BG61" s="16">
        <f t="shared" ca="1" si="174"/>
        <v>1</v>
      </c>
      <c r="BH61" s="16">
        <f t="shared" ca="1" si="175"/>
        <v>0</v>
      </c>
      <c r="BI61" s="16">
        <f t="shared" ca="1" si="176"/>
        <v>1</v>
      </c>
      <c r="BJ61" s="16">
        <f t="shared" ca="1" si="177"/>
        <v>2</v>
      </c>
      <c r="BK61" s="16">
        <f t="shared" ca="1" si="178"/>
        <v>4</v>
      </c>
      <c r="BL61" s="16">
        <f t="shared" ca="1" si="151"/>
        <v>-2</v>
      </c>
      <c r="BM61" s="16">
        <f t="shared" ca="1" si="152"/>
        <v>2</v>
      </c>
      <c r="BN61" s="16">
        <f t="shared" ca="1" si="153"/>
        <v>2</v>
      </c>
      <c r="BO61" s="16" t="str">
        <f t="shared" si="154"/>
        <v>4D</v>
      </c>
      <c r="BP61" s="16"/>
      <c r="BQ61" s="16"/>
      <c r="BR61" s="16">
        <f t="shared" ca="1" si="155"/>
        <v>3</v>
      </c>
      <c r="BS61" s="16">
        <f t="shared" ca="1" si="156"/>
        <v>1</v>
      </c>
      <c r="BT61" s="16" t="str">
        <f t="shared" ca="1" si="157"/>
        <v>Pos. 1 (2)</v>
      </c>
      <c r="BU61" s="16">
        <f t="shared" ca="1" si="158"/>
        <v>-2</v>
      </c>
      <c r="BV61" s="16">
        <f t="shared" ca="1" si="159"/>
        <v>2</v>
      </c>
      <c r="BW61" s="16" t="str">
        <f t="shared" ca="1" si="160"/>
        <v>-</v>
      </c>
      <c r="BX61" s="16" t="str">
        <f t="shared" ca="1" si="161"/>
        <v>-</v>
      </c>
      <c r="BY61" s="16">
        <f t="shared" ca="1" si="162"/>
        <v>2</v>
      </c>
      <c r="BZ61" s="16" t="str">
        <f t="shared" ca="1" si="163"/>
        <v>-</v>
      </c>
      <c r="CA61" s="16" t="str">
        <f t="shared" ca="1" si="164"/>
        <v>-</v>
      </c>
      <c r="CB61" s="16">
        <f t="shared" ca="1" si="165"/>
        <v>2</v>
      </c>
      <c r="CC61" s="16"/>
      <c r="CD61" s="16">
        <f t="shared" ca="1" si="166"/>
        <v>2</v>
      </c>
      <c r="CE61" s="16" t="str">
        <f t="shared" ca="1" si="167"/>
        <v>-</v>
      </c>
      <c r="CF61" s="16">
        <f t="shared" ca="1" si="168"/>
        <v>2</v>
      </c>
      <c r="DJ61" s="16">
        <f t="shared" ca="1" si="169"/>
        <v>4</v>
      </c>
      <c r="DK61" s="16"/>
      <c r="DL61" s="16">
        <f t="shared" ca="1" si="170"/>
        <v>1</v>
      </c>
      <c r="DM61" s="16" t="str">
        <f t="shared" ca="1" si="171"/>
        <v>4.1</v>
      </c>
      <c r="DN61" s="16">
        <f t="array" aca="1" ref="DN61" ca="1">OFFSET(Horarios!$P$3,DJ61-1,0,DL61,1)</f>
        <v>4</v>
      </c>
      <c r="DO61" s="16"/>
      <c r="DP61" s="16">
        <v>4</v>
      </c>
      <c r="DQ61" s="16" t="str">
        <f t="shared" ca="1" si="172"/>
        <v>Bélgica</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5"/>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9</v>
      </c>
      <c r="BN62" s="16">
        <f t="shared" ca="1" si="153"/>
        <v>9</v>
      </c>
      <c r="BO62" s="16" t="str">
        <f t="shared" si="154"/>
        <v>4E</v>
      </c>
      <c r="BP62" s="16"/>
      <c r="BQ62" s="16"/>
      <c r="BR62" s="16">
        <f t="shared" ca="1" si="155"/>
        <v>0</v>
      </c>
      <c r="BS62" s="16">
        <f t="shared" ca="1" si="156"/>
        <v>9</v>
      </c>
      <c r="BT62" s="16" t="str">
        <f t="shared" ca="1" si="157"/>
        <v>Pos. 9 (4)</v>
      </c>
      <c r="BU62" s="16">
        <f t="shared" ca="1" si="158"/>
        <v>-1</v>
      </c>
      <c r="BV62" s="16">
        <f t="shared" ca="1" si="159"/>
        <v>9</v>
      </c>
      <c r="BW62" s="16" t="str">
        <f t="shared" ca="1" si="160"/>
        <v>Pos. 9 (2)</v>
      </c>
      <c r="BX62" s="16">
        <f t="shared" ca="1" si="161"/>
        <v>0</v>
      </c>
      <c r="BY62" s="16">
        <f t="shared" ca="1" si="162"/>
        <v>9</v>
      </c>
      <c r="BZ62" s="16" t="str">
        <f t="shared" ca="1" si="163"/>
        <v>Pos. 9 (2)</v>
      </c>
      <c r="CA62" s="16">
        <f t="shared" ca="1" si="164"/>
        <v>9</v>
      </c>
      <c r="CB62" s="16">
        <f t="shared" ca="1" si="165"/>
        <v>9</v>
      </c>
      <c r="CC62" s="16"/>
      <c r="CD62" s="16">
        <f t="shared" ca="1" si="166"/>
        <v>9</v>
      </c>
      <c r="CE62" s="16">
        <f t="shared" ca="1" si="167"/>
        <v>8</v>
      </c>
      <c r="CF62" s="16">
        <f t="shared" ca="1" si="168"/>
        <v>9</v>
      </c>
      <c r="DJ62" s="16">
        <f t="shared" ca="1" si="169"/>
        <v>4</v>
      </c>
      <c r="DK62" s="16"/>
      <c r="DL62" s="16">
        <f t="shared" ca="1" si="170"/>
        <v>1</v>
      </c>
      <c r="DM62" s="16" t="str">
        <f t="shared" ca="1" si="171"/>
        <v>4.1</v>
      </c>
      <c r="DN62" s="16">
        <f t="array" aca="1" ref="DN62" ca="1">OFFSET(Horarios!$P$3,DJ62-1,0,DL62,1)</f>
        <v>4</v>
      </c>
      <c r="DO62" s="16"/>
      <c r="DP62" s="16">
        <v>5</v>
      </c>
      <c r="DQ62" s="16" t="str">
        <f t="shared" ca="1" si="172"/>
        <v>RD Congo</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5"/>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3</v>
      </c>
      <c r="BN63" s="16">
        <f t="shared" ca="1" si="153"/>
        <v>3</v>
      </c>
      <c r="BO63" s="16" t="str">
        <f t="shared" si="154"/>
        <v>4F</v>
      </c>
      <c r="BP63" s="16"/>
      <c r="BQ63" s="16"/>
      <c r="BR63" s="16">
        <f t="shared" ca="1" si="155"/>
        <v>1</v>
      </c>
      <c r="BS63" s="16">
        <f t="shared" ca="1" si="156"/>
        <v>3</v>
      </c>
      <c r="BT63" s="16" t="str">
        <f t="shared" ca="1" si="157"/>
        <v>Pos. 3 (6)</v>
      </c>
      <c r="BU63" s="16">
        <f t="shared" ca="1" si="158"/>
        <v>0</v>
      </c>
      <c r="BV63" s="16">
        <f t="shared" ca="1" si="159"/>
        <v>3</v>
      </c>
      <c r="BW63" s="16" t="str">
        <f t="shared" ca="1" si="160"/>
        <v>Pos. 3 (4)</v>
      </c>
      <c r="BX63" s="16">
        <f t="shared" ca="1" si="161"/>
        <v>2</v>
      </c>
      <c r="BY63" s="16">
        <f t="shared" ca="1" si="162"/>
        <v>3</v>
      </c>
      <c r="BZ63" s="16" t="str">
        <f t="shared" ca="1" si="163"/>
        <v>-</v>
      </c>
      <c r="CA63" s="16" t="str">
        <f t="shared" ca="1" si="164"/>
        <v>-</v>
      </c>
      <c r="CB63" s="16">
        <f t="shared" ca="1" si="165"/>
        <v>3</v>
      </c>
      <c r="CC63" s="16"/>
      <c r="CD63" s="16">
        <f t="shared" ca="1" si="166"/>
        <v>3</v>
      </c>
      <c r="CE63" s="16" t="str">
        <f t="shared" ca="1" si="167"/>
        <v>-</v>
      </c>
      <c r="CF63" s="16">
        <f t="shared" ca="1" si="168"/>
        <v>3</v>
      </c>
      <c r="DJ63" s="16">
        <f t="shared" ca="1" si="169"/>
        <v>6</v>
      </c>
      <c r="DK63" s="16"/>
      <c r="DL63" s="16">
        <f t="shared" ca="1" si="170"/>
        <v>1</v>
      </c>
      <c r="DM63" s="16" t="str">
        <f t="shared" ca="1" si="171"/>
        <v>6.1</v>
      </c>
      <c r="DN63" s="16">
        <f t="array" aca="1" ref="DN63" ca="1">OFFSET(Horarios!$P$3,DJ63-1,0,DL63,1)</f>
        <v>6</v>
      </c>
      <c r="DO63" s="16"/>
      <c r="DP63" s="16">
        <v>6</v>
      </c>
      <c r="DQ63" s="16" t="str">
        <f t="shared" ca="1" si="172"/>
        <v>España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5"/>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4</v>
      </c>
      <c r="BN64" s="16">
        <f t="shared" ca="1" si="153"/>
        <v>4</v>
      </c>
      <c r="BO64" s="16" t="str">
        <f t="shared" si="154"/>
        <v>4G</v>
      </c>
      <c r="BP64" s="16"/>
      <c r="BQ64" s="16"/>
      <c r="BR64" s="16">
        <f t="shared" ca="1" si="155"/>
        <v>1</v>
      </c>
      <c r="BS64" s="16">
        <f t="shared" ca="1" si="156"/>
        <v>3</v>
      </c>
      <c r="BT64" s="16" t="str">
        <f t="shared" ca="1" si="157"/>
        <v>Pos. 3 (6)</v>
      </c>
      <c r="BU64" s="16">
        <f t="shared" ca="1" si="158"/>
        <v>0</v>
      </c>
      <c r="BV64" s="16">
        <f t="shared" ca="1" si="159"/>
        <v>3</v>
      </c>
      <c r="BW64" s="16" t="str">
        <f t="shared" ca="1" si="160"/>
        <v>Pos. 3 (4)</v>
      </c>
      <c r="BX64" s="16">
        <f t="shared" ca="1" si="161"/>
        <v>1</v>
      </c>
      <c r="BY64" s="16">
        <f t="shared" ca="1" si="162"/>
        <v>4</v>
      </c>
      <c r="BZ64" s="16" t="str">
        <f t="shared" ca="1" si="163"/>
        <v>Pos. 4 (2)</v>
      </c>
      <c r="CA64" s="16">
        <f t="shared" ca="1" si="164"/>
        <v>11</v>
      </c>
      <c r="CB64" s="16">
        <f t="shared" ca="1" si="165"/>
        <v>4</v>
      </c>
      <c r="CC64" s="16"/>
      <c r="CD64" s="16">
        <f t="shared" ca="1" si="166"/>
        <v>4</v>
      </c>
      <c r="CE64" s="16">
        <f t="shared" ca="1" si="167"/>
        <v>3</v>
      </c>
      <c r="CF64" s="16">
        <f t="shared" ca="1" si="168"/>
        <v>4</v>
      </c>
      <c r="DJ64" s="16">
        <f t="shared" ca="1" si="169"/>
        <v>7</v>
      </c>
      <c r="DK64" s="16"/>
      <c r="DL64" s="16">
        <f t="shared" ca="1" si="170"/>
        <v>1</v>
      </c>
      <c r="DM64" s="16" t="str">
        <f t="shared" ca="1" si="171"/>
        <v>7.1</v>
      </c>
      <c r="DN64" s="16">
        <f t="array" aca="1" ref="DN64" ca="1">OFFSET(Horarios!$P$3,DJ64-1,0,DL64,1)</f>
        <v>7</v>
      </c>
      <c r="DO64" s="16"/>
      <c r="DP64" s="16">
        <v>7</v>
      </c>
      <c r="DQ64" s="16" t="str">
        <f t="shared" ca="1" si="172"/>
        <v>República Checa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6"/>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6</v>
      </c>
      <c r="BN65" s="16">
        <f t="shared" ca="1" si="153"/>
        <v>6</v>
      </c>
      <c r="BO65" s="16" t="str">
        <f t="shared" si="154"/>
        <v>4H</v>
      </c>
      <c r="BP65" s="16"/>
      <c r="BQ65" s="16"/>
      <c r="BR65" s="16">
        <f t="shared" ca="1" si="155"/>
        <v>1</v>
      </c>
      <c r="BS65" s="16">
        <f t="shared" ca="1" si="156"/>
        <v>3</v>
      </c>
      <c r="BT65" s="16" t="str">
        <f t="shared" ca="1" si="157"/>
        <v>Pos. 3 (6)</v>
      </c>
      <c r="BU65" s="16">
        <f t="shared" ca="1" si="158"/>
        <v>0</v>
      </c>
      <c r="BV65" s="16">
        <f t="shared" ca="1" si="159"/>
        <v>3</v>
      </c>
      <c r="BW65" s="16" t="str">
        <f t="shared" ca="1" si="160"/>
        <v>Pos. 3 (4)</v>
      </c>
      <c r="BX65" s="16">
        <f t="shared" ca="1" si="161"/>
        <v>0</v>
      </c>
      <c r="BY65" s="16">
        <f t="shared" ca="1" si="162"/>
        <v>6</v>
      </c>
      <c r="BZ65" s="16" t="str">
        <f t="shared" ca="1" si="163"/>
        <v>-</v>
      </c>
      <c r="CA65" s="16" t="str">
        <f t="shared" ca="1" si="164"/>
        <v>-</v>
      </c>
      <c r="CB65" s="16">
        <f t="shared" ca="1" si="165"/>
        <v>6</v>
      </c>
      <c r="CC65" s="16"/>
      <c r="CD65" s="16">
        <f t="shared" ca="1" si="166"/>
        <v>6</v>
      </c>
      <c r="CE65" s="16" t="str">
        <f t="shared" ca="1" si="167"/>
        <v>-</v>
      </c>
      <c r="CF65" s="16">
        <f t="shared" ca="1" si="168"/>
        <v>6</v>
      </c>
      <c r="DJ65" s="16">
        <f t="shared" ca="1" si="169"/>
        <v>8</v>
      </c>
      <c r="DK65" s="16"/>
      <c r="DL65" s="16">
        <f t="shared" ca="1" si="170"/>
        <v>1</v>
      </c>
      <c r="DM65" s="16" t="str">
        <f t="shared" ca="1" si="171"/>
        <v>8.1</v>
      </c>
      <c r="DN65" s="16">
        <f t="array" aca="1" ref="DN65" ca="1">OFFSET(Horarios!$P$3,DJ65-1,0,DL65,1)</f>
        <v>8</v>
      </c>
      <c r="DO65" s="16"/>
      <c r="DP65" s="16">
        <v>8</v>
      </c>
      <c r="DQ65" s="16" t="str">
        <f t="shared" ca="1" si="172"/>
        <v>Bosnia y Herzegovina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12</v>
      </c>
      <c r="BN66" s="16">
        <f t="shared" ca="1" si="153"/>
        <v>12</v>
      </c>
      <c r="BO66" s="16" t="str">
        <f t="shared" si="154"/>
        <v>4I</v>
      </c>
      <c r="BP66" s="16"/>
      <c r="BQ66" s="16"/>
      <c r="BR66" s="16">
        <f t="shared" ca="1" si="155"/>
        <v>0</v>
      </c>
      <c r="BS66" s="16">
        <f t="shared" ca="1" si="156"/>
        <v>9</v>
      </c>
      <c r="BT66" s="16" t="str">
        <f t="shared" ca="1" si="157"/>
        <v>Pos. 9 (4)</v>
      </c>
      <c r="BU66" s="16">
        <f t="shared" ca="1" si="158"/>
        <v>-2</v>
      </c>
      <c r="BV66" s="16">
        <f t="shared" ca="1" si="159"/>
        <v>11</v>
      </c>
      <c r="BW66" s="16" t="str">
        <f t="shared" ca="1" si="160"/>
        <v>Pos. 11 (2)</v>
      </c>
      <c r="BX66" s="16">
        <f t="shared" ca="1" si="161"/>
        <v>1</v>
      </c>
      <c r="BY66" s="16">
        <f t="shared" ca="1" si="162"/>
        <v>11</v>
      </c>
      <c r="BZ66" s="16" t="str">
        <f t="shared" ca="1" si="163"/>
        <v>Pos. 11 (2)</v>
      </c>
      <c r="CA66" s="16">
        <f t="shared" ca="1" si="164"/>
        <v>0</v>
      </c>
      <c r="CB66" s="16">
        <f t="shared" ca="1" si="165"/>
        <v>12</v>
      </c>
      <c r="CC66" s="16"/>
      <c r="CD66" s="16">
        <f t="shared" ca="1" si="166"/>
        <v>12</v>
      </c>
      <c r="CE66" s="16">
        <f t="shared" ca="1" si="167"/>
        <v>11</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Ecuador</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11</v>
      </c>
      <c r="BN67" s="16">
        <f t="shared" ca="1" si="153"/>
        <v>11</v>
      </c>
      <c r="BO67" s="16" t="str">
        <f t="shared" si="154"/>
        <v>4J</v>
      </c>
      <c r="BP67" s="16"/>
      <c r="BQ67" s="16"/>
      <c r="BR67" s="16">
        <f t="shared" ca="1" si="155"/>
        <v>0</v>
      </c>
      <c r="BS67" s="16">
        <f t="shared" ca="1" si="156"/>
        <v>9</v>
      </c>
      <c r="BT67" s="16" t="str">
        <f t="shared" ca="1" si="157"/>
        <v>Pos. 9 (4)</v>
      </c>
      <c r="BU67" s="16">
        <f t="shared" ca="1" si="158"/>
        <v>-2</v>
      </c>
      <c r="BV67" s="16">
        <f t="shared" ca="1" si="159"/>
        <v>11</v>
      </c>
      <c r="BW67" s="16" t="str">
        <f t="shared" ca="1" si="160"/>
        <v>Pos. 11 (2)</v>
      </c>
      <c r="BX67" s="16">
        <f t="shared" ca="1" si="161"/>
        <v>1</v>
      </c>
      <c r="BY67" s="16">
        <f t="shared" ca="1" si="162"/>
        <v>11</v>
      </c>
      <c r="BZ67" s="16" t="str">
        <f t="shared" ca="1" si="163"/>
        <v>Pos. 11 (2)</v>
      </c>
      <c r="CA67" s="16">
        <f t="shared" ca="1" si="164"/>
        <v>5</v>
      </c>
      <c r="CB67" s="16">
        <f t="shared" ca="1" si="165"/>
        <v>11</v>
      </c>
      <c r="CC67" s="16"/>
      <c r="CD67" s="16">
        <f t="shared" ca="1" si="166"/>
        <v>11</v>
      </c>
      <c r="CE67" s="16">
        <f t="shared" ca="1" si="167"/>
        <v>10</v>
      </c>
      <c r="CF67" s="16">
        <f t="shared" ca="1" si="168"/>
        <v>11</v>
      </c>
      <c r="DJ67" s="16">
        <f t="shared" ca="1" si="169"/>
        <v>9</v>
      </c>
      <c r="DK67" s="16"/>
      <c r="DL67" s="16">
        <f t="shared" ca="1" si="170"/>
        <v>1</v>
      </c>
      <c r="DM67" s="16" t="str">
        <f t="shared" ca="1" si="171"/>
        <v>9.1</v>
      </c>
      <c r="DN67" s="16">
        <f t="array" aca="1" ref="DN67" ca="1">OFFSET(Horarios!$P$3,DJ67-1,0,DL67,1)</f>
        <v>9</v>
      </c>
      <c r="DO67" s="16"/>
      <c r="DP67" s="16">
        <v>10</v>
      </c>
      <c r="DQ67" s="16" t="str">
        <f t="shared" ca="1" si="172"/>
        <v>Panamá</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5"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5</v>
      </c>
      <c r="BN68" s="16">
        <f t="shared" ca="1" si="153"/>
        <v>5</v>
      </c>
      <c r="BO68" s="16" t="str">
        <f t="shared" si="154"/>
        <v>4K</v>
      </c>
      <c r="BP68" s="16"/>
      <c r="BQ68" s="16"/>
      <c r="BR68" s="16">
        <f t="shared" ca="1" si="155"/>
        <v>1</v>
      </c>
      <c r="BS68" s="16">
        <f t="shared" ca="1" si="156"/>
        <v>3</v>
      </c>
      <c r="BT68" s="16" t="str">
        <f t="shared" ca="1" si="157"/>
        <v>Pos. 3 (6)</v>
      </c>
      <c r="BU68" s="16">
        <f t="shared" ca="1" si="158"/>
        <v>0</v>
      </c>
      <c r="BV68" s="16">
        <f t="shared" ca="1" si="159"/>
        <v>3</v>
      </c>
      <c r="BW68" s="16" t="str">
        <f t="shared" ca="1" si="160"/>
        <v>Pos. 3 (4)</v>
      </c>
      <c r="BX68" s="16">
        <f t="shared" ca="1" si="161"/>
        <v>1</v>
      </c>
      <c r="BY68" s="16">
        <f t="shared" ca="1" si="162"/>
        <v>4</v>
      </c>
      <c r="BZ68" s="16" t="str">
        <f t="shared" ca="1" si="163"/>
        <v>Pos. 4 (2)</v>
      </c>
      <c r="CA68" s="16">
        <f t="shared" ca="1" si="164"/>
        <v>2</v>
      </c>
      <c r="CB68" s="16">
        <f t="shared" ca="1" si="165"/>
        <v>5</v>
      </c>
      <c r="CC68" s="16"/>
      <c r="CD68" s="16">
        <f t="shared" ca="1" si="166"/>
        <v>5</v>
      </c>
      <c r="CE68" s="16">
        <f t="shared" ca="1" si="167"/>
        <v>4</v>
      </c>
      <c r="CF68" s="16">
        <f t="shared" ca="1" si="168"/>
        <v>5</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Jordania</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5"/>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10</v>
      </c>
      <c r="BN69" s="16">
        <f t="shared" ca="1" si="153"/>
        <v>10</v>
      </c>
      <c r="BO69" s="16" t="str">
        <f t="shared" si="154"/>
        <v>4L</v>
      </c>
      <c r="BP69" s="16"/>
      <c r="BQ69" s="16"/>
      <c r="BR69" s="16">
        <f t="shared" ca="1" si="155"/>
        <v>0</v>
      </c>
      <c r="BS69" s="16">
        <f t="shared" ca="1" si="156"/>
        <v>9</v>
      </c>
      <c r="BT69" s="16" t="str">
        <f t="shared" ca="1" si="157"/>
        <v>Pos. 9 (4)</v>
      </c>
      <c r="BU69" s="16">
        <f t="shared" ca="1" si="158"/>
        <v>-1</v>
      </c>
      <c r="BV69" s="16">
        <f t="shared" ca="1" si="159"/>
        <v>9</v>
      </c>
      <c r="BW69" s="16" t="str">
        <f t="shared" ca="1" si="160"/>
        <v>Pos. 9 (2)</v>
      </c>
      <c r="BX69" s="16">
        <f t="shared" ca="1" si="161"/>
        <v>0</v>
      </c>
      <c r="BY69" s="16">
        <f t="shared" ca="1" si="162"/>
        <v>9</v>
      </c>
      <c r="BZ69" s="16" t="str">
        <f t="shared" ca="1" si="163"/>
        <v>Pos. 9 (2)</v>
      </c>
      <c r="CA69" s="16">
        <f t="shared" ca="1" si="164"/>
        <v>4</v>
      </c>
      <c r="CB69" s="16">
        <f t="shared" ca="1" si="165"/>
        <v>10</v>
      </c>
      <c r="CC69" s="16"/>
      <c r="CD69" s="16">
        <f t="shared" ca="1" si="166"/>
        <v>10</v>
      </c>
      <c r="CE69" s="16">
        <f t="shared" ca="1" si="167"/>
        <v>9</v>
      </c>
      <c r="CF69" s="16">
        <f t="shared" ca="1" si="168"/>
        <v>10</v>
      </c>
      <c r="DJ69" s="16">
        <f t="shared" ca="1" si="169"/>
        <v>11</v>
      </c>
      <c r="DK69" s="16"/>
      <c r="DL69" s="16">
        <f t="shared" ca="1" si="170"/>
        <v>1</v>
      </c>
      <c r="DM69" s="16" t="str">
        <f t="shared" ca="1" si="171"/>
        <v>11.1</v>
      </c>
      <c r="DN69" s="16">
        <f t="array" aca="1" ref="DN69" ca="1">OFFSET(Horarios!$P$3,DJ69-1,0,DL69,1)</f>
        <v>11</v>
      </c>
      <c r="DO69" s="16"/>
      <c r="DP69" s="16">
        <v>12</v>
      </c>
      <c r="DQ69" s="16" t="str">
        <f t="shared" ca="1" si="172"/>
        <v>Senegal</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5"/>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5"/>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5"/>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6"/>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P.3 (2)</v>
      </c>
      <c r="G76" s="16"/>
      <c r="H76" s="16" t="str">
        <f t="shared" ref="H76:H81" ca="1" si="215">IF(D76="Pendiente","-",INDEX($BZ$6:$BZ$53,MATCH($AA76,$BD$6:$BD$53,0)))</f>
        <v>P.1 (2)</v>
      </c>
      <c r="I76" s="16" t="str">
        <f t="shared" ref="I76:I81" ca="1" si="216">IF(D76="Pendiente","-",INDEX($BZ$6:$BZ$53,MATCH($AF76,$BD$6:$BD$53,0)))</f>
        <v>P.3 (2)</v>
      </c>
      <c r="J76" s="16"/>
      <c r="K76" s="16" t="str">
        <f t="shared" ref="K76:K81" ca="1" si="217">IF(D76="Pendiente","-",INDEX($CE$6:$CE$53,MATCH($AA76,$BD$6:$BD$53,0)))</f>
        <v>P.1 (2)</v>
      </c>
      <c r="L76" s="16" t="str">
        <f t="shared" ref="L76:L81" ca="1" si="218">IF(D76="Pendiente","-",INDEX($CE$6:$CE$53,MATCH($AF76,$BD$6:$BD$53,0)))</f>
        <v>P.3 (2)</v>
      </c>
      <c r="M76" s="16"/>
      <c r="N76" s="16" t="str">
        <f t="shared" ref="N76:N81" ca="1" si="219">IF(D76="Pendiente","-",INDEX($CH$6:$CH$53,MATCH($AA76,$BD$6:$BD$53,0)))</f>
        <v>P.1 (2)</v>
      </c>
      <c r="O76" s="16" t="str">
        <f t="shared" ref="O76:O81" ca="1" si="220">IF(D76="Pendiente","-",INDEX($CH$6:$CH$53,MATCH($AF76,$BD$6:$BD$53,0)))</f>
        <v>P.3 (2)</v>
      </c>
      <c r="P76" s="16"/>
      <c r="Q76" s="16" t="str">
        <f t="shared" ref="Q76:Q81" ca="1" si="221">IF(D76="Pendiente","-",INDEX($CN$6:$CN$53,MATCH($AA76,$BD$6:$BD$53,0)))</f>
        <v>P.1 (2)</v>
      </c>
      <c r="R76" s="16" t="str">
        <f t="shared" ref="R76:R81" ca="1" si="222">IF(D76="Pendiente","-",INDEX($CN$6:$CN$53,MATCH($AF76,$BD$6:$BD$53,0)))</f>
        <v>P.3 (2)</v>
      </c>
      <c r="S76" s="16"/>
      <c r="T76" s="16" t="str">
        <f t="shared" ref="T76:T81" ca="1" si="223">IF(D76="Pendiente","-",INDEX($CS$6:$CS$53,MATCH($AA76,$BD$6:$BD$53,0)))</f>
        <v>P.1 (2)</v>
      </c>
      <c r="U76" s="16" t="str">
        <f t="shared" ref="U76:U81" ca="1" si="224">IF(D76="Pendiente","-",INDEX($CS$6:$CS$53,MATCH($AF76,$BD$6:$BD$53,0)))</f>
        <v>P.3 (2)</v>
      </c>
      <c r="V76" s="17"/>
      <c r="W76" s="63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P.3 (2)</v>
      </c>
      <c r="G77" s="16"/>
      <c r="H77" s="16" t="str">
        <f t="shared" ca="1" si="215"/>
        <v>P.1 (2)</v>
      </c>
      <c r="I77" s="16" t="str">
        <f t="shared" ca="1" si="216"/>
        <v>P.3 (2)</v>
      </c>
      <c r="J77" s="16"/>
      <c r="K77" s="16" t="str">
        <f t="shared" ca="1" si="217"/>
        <v>P.1 (2)</v>
      </c>
      <c r="L77" s="16" t="str">
        <f t="shared" ca="1" si="218"/>
        <v>P.3 (2)</v>
      </c>
      <c r="M77" s="16"/>
      <c r="N77" s="16" t="str">
        <f t="shared" ca="1" si="219"/>
        <v>P.1 (2)</v>
      </c>
      <c r="O77" s="16" t="str">
        <f t="shared" ca="1" si="220"/>
        <v>P.3 (2)</v>
      </c>
      <c r="P77" s="16"/>
      <c r="Q77" s="16" t="str">
        <f t="shared" ca="1" si="221"/>
        <v>P.1 (2)</v>
      </c>
      <c r="R77" s="16" t="str">
        <f t="shared" ca="1" si="222"/>
        <v>P.3 (2)</v>
      </c>
      <c r="S77" s="16"/>
      <c r="T77" s="16" t="str">
        <f t="shared" ca="1" si="223"/>
        <v>P.1 (2)</v>
      </c>
      <c r="U77" s="16" t="str">
        <f t="shared" ca="1" si="224"/>
        <v>P.3 (2)</v>
      </c>
      <c r="V77" s="17"/>
      <c r="W77" s="625"/>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5"/>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5"/>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1</v>
      </c>
      <c r="AO79" s="39">
        <f t="shared" ca="1" si="227"/>
        <v>1</v>
      </c>
      <c r="AP79" s="39">
        <f t="shared" ca="1" si="227"/>
        <v>0</v>
      </c>
      <c r="AQ79" s="39">
        <f t="shared" ca="1" si="227"/>
        <v>0</v>
      </c>
      <c r="AR79" s="39">
        <f t="shared" ca="1" si="227"/>
        <v>3</v>
      </c>
      <c r="AS79" s="39">
        <f t="shared" ca="1" si="227"/>
        <v>1</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5"/>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6"/>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P.2 (2)</v>
      </c>
      <c r="F84" s="16" t="str">
        <f t="shared" ref="F84:F89" ca="1" si="230">IF(D84="Pendiente","-",INDEX($BT$6:$BT$53,MATCH($AF84,$BD$6:$BD$53,0)))</f>
        <v>P.2 (2)</v>
      </c>
      <c r="G84" s="16"/>
      <c r="H84" s="16" t="str">
        <f t="shared" ref="H84:H89" ca="1" si="231">IF(D84="Pendiente","-",INDEX($BZ$6:$BZ$53,MATCH($AA84,$BD$6:$BD$53,0)))</f>
        <v>P.2 (2)</v>
      </c>
      <c r="I84" s="16" t="str">
        <f t="shared" ref="I84:I89" ca="1" si="232">IF(D84="Pendiente","-",INDEX($BZ$6:$BZ$53,MATCH($AF84,$BD$6:$BD$53,0)))</f>
        <v>P.2 (2)</v>
      </c>
      <c r="J84" s="16"/>
      <c r="K84" s="16" t="str">
        <f t="shared" ref="K84:K89" ca="1" si="233">IF(D84="Pendiente","-",INDEX($CE$6:$CE$53,MATCH($AA84,$BD$6:$BD$53,0)))</f>
        <v>P.2 (2)</v>
      </c>
      <c r="L84" s="16" t="str">
        <f t="shared" ref="L84:L89" ca="1" si="234">IF(D84="Pendiente","-",INDEX($CE$6:$CE$53,MATCH($AF84,$BD$6:$BD$53,0)))</f>
        <v>P.2 (2)</v>
      </c>
      <c r="M84" s="16"/>
      <c r="N84" s="16" t="str">
        <f t="shared" ref="N84:N89" ca="1" si="235">IF(D84="Pendiente","-",INDEX($CH$6:$CH$53,MATCH($AA84,$BD$6:$BD$53,0)))</f>
        <v>P.2 (2)</v>
      </c>
      <c r="O84" s="16" t="str">
        <f t="shared" ref="O84:O89" ca="1" si="236">IF(D84="Pendiente","-",INDEX($CH$6:$CH$53,MATCH($AF84,$BD$6:$BD$53,0)))</f>
        <v>P.2 (2)</v>
      </c>
      <c r="P84" s="16"/>
      <c r="Q84" s="16" t="str">
        <f t="shared" ref="Q84:Q89" ca="1" si="237">IF(D84="Pendiente","-",INDEX($CN$6:$CN$53,MATCH($AA84,$BD$6:$BD$53,0)))</f>
        <v>P.2 (2)</v>
      </c>
      <c r="R84" s="16" t="str">
        <f t="shared" ref="R84:R89" ca="1" si="238">IF(D84="Pendiente","-",INDEX($CN$6:$CN$53,MATCH($AF84,$BD$6:$BD$53,0)))</f>
        <v>P.2 (2)</v>
      </c>
      <c r="S84" s="16"/>
      <c r="T84" s="16" t="str">
        <f t="shared" ref="T84:T89" ca="1" si="239">IF(D84="Pendiente","-",INDEX($CS$6:$CS$53,MATCH($AA84,$BD$6:$BD$53,0)))</f>
        <v>P.2 (2)</v>
      </c>
      <c r="U84" s="16" t="str">
        <f t="shared" ref="U84:U89" ca="1" si="240">IF(D84="Pendiente","-",INDEX($CS$6:$CS$53,MATCH($AF84,$BD$6:$BD$53,0)))</f>
        <v>P.2 (2)</v>
      </c>
      <c r="V84" s="17"/>
      <c r="W84" s="630"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5"/>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5"/>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3</v>
      </c>
      <c r="AN86" s="36">
        <f t="shared" ca="1" si="243"/>
        <v>1</v>
      </c>
      <c r="AO86" s="36">
        <f t="shared" ca="1" si="243"/>
        <v>1</v>
      </c>
      <c r="AP86" s="36">
        <f t="shared" ca="1" si="243"/>
        <v>0</v>
      </c>
      <c r="AQ86" s="36">
        <f t="shared" ca="1" si="243"/>
        <v>0</v>
      </c>
      <c r="AR86" s="36">
        <f t="shared" ca="1" si="243"/>
        <v>3</v>
      </c>
      <c r="AS86" s="36">
        <f t="shared" ca="1" si="243"/>
        <v>1</v>
      </c>
      <c r="AT86" s="41">
        <f t="shared" ca="1" si="243"/>
        <v>2</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5"/>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Portugal</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5"/>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6"/>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1</v>
      </c>
      <c r="AO89" s="47">
        <f t="shared" ca="1" si="243"/>
        <v>0</v>
      </c>
      <c r="AP89" s="47">
        <f t="shared" ca="1" si="243"/>
        <v>0</v>
      </c>
      <c r="AQ89" s="47">
        <f t="shared" ca="1" si="243"/>
        <v>1</v>
      </c>
      <c r="AR89" s="47">
        <f t="shared" ca="1" si="243"/>
        <v>1</v>
      </c>
      <c r="AS89" s="47">
        <f t="shared" ca="1" si="243"/>
        <v>3</v>
      </c>
      <c r="AT89" s="48">
        <f t="shared" ca="1" si="243"/>
        <v>-2</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3"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5"/>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5"/>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5"/>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5"/>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6"/>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4"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ABCDFGHK</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5"/>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Escocia</v>
      </c>
      <c r="AM102" s="575">
        <f t="shared" ref="AM102:AT113" ca="1" si="269">+IF($H$113&gt;=48,INDEX($BE$58:$BN$69,MATCH($AL102,$BD$58:$BD$69,0),MATCH(AM$5,$BE$57:$BN$57,0)),$BB58)</f>
        <v>3</v>
      </c>
      <c r="AN102" s="82">
        <f t="shared" ca="1" si="269"/>
        <v>2</v>
      </c>
      <c r="AO102" s="82">
        <f t="shared" ca="1" si="269"/>
        <v>1</v>
      </c>
      <c r="AP102" s="82">
        <f t="shared" ca="1" si="269"/>
        <v>0</v>
      </c>
      <c r="AQ102" s="83">
        <f t="shared" ca="1" si="269"/>
        <v>1</v>
      </c>
      <c r="AR102" s="83">
        <f t="shared" ca="1" si="269"/>
        <v>1</v>
      </c>
      <c r="AS102" s="83">
        <f t="shared" ca="1" si="269"/>
        <v>1</v>
      </c>
      <c r="AT102" s="84">
        <f t="shared" ca="1" si="269"/>
        <v>0</v>
      </c>
      <c r="AU102" s="323" t="str">
        <f t="shared" ref="AU102:AU113" ca="1" si="270">IF($H$113=144,INDEX($DL$58:$DL$69,MATCH(AI102,$DP$58:$DP$69,0)),"")</f>
        <v/>
      </c>
      <c r="AV102" s="182" t="str">
        <f t="shared" ref="AV102:AV113" ca="1" si="271">INDEX($BD$58:$BD$69,MATCH(AI102,$BM$58:$BM$69,0))</f>
        <v>Escocia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8</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5"/>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Paraguay</v>
      </c>
      <c r="AM103" s="576">
        <f t="shared" ca="1" si="269"/>
        <v>3</v>
      </c>
      <c r="AN103" s="86">
        <f t="shared" ca="1" si="269"/>
        <v>2</v>
      </c>
      <c r="AO103" s="86">
        <f t="shared" ca="1" si="269"/>
        <v>1</v>
      </c>
      <c r="AP103" s="86">
        <f t="shared" ca="1" si="269"/>
        <v>0</v>
      </c>
      <c r="AQ103" s="86">
        <f t="shared" ca="1" si="269"/>
        <v>1</v>
      </c>
      <c r="AR103" s="86">
        <f t="shared" ca="1" si="269"/>
        <v>2</v>
      </c>
      <c r="AS103" s="86">
        <f t="shared" ca="1" si="269"/>
        <v>4</v>
      </c>
      <c r="AT103" s="87">
        <f t="shared" ca="1" si="269"/>
        <v>-2</v>
      </c>
      <c r="AU103" s="323" t="str">
        <f t="shared" ca="1" si="270"/>
        <v/>
      </c>
      <c r="AV103" s="182" t="str">
        <f t="shared" ca="1" si="271"/>
        <v>Paraguay</v>
      </c>
      <c r="AW103" s="215"/>
      <c r="AX103" s="170"/>
      <c r="AY103" s="270"/>
      <c r="AZ103" s="273" t="str">
        <f t="shared" ref="AZ103:AZ110" ca="1" si="272">+IF(OR($H$113&gt;=48,$AJ$99=144),BF117&amp;" - "&amp;BG117,"")</f>
        <v>1A - 3H</v>
      </c>
      <c r="BA103" s="176"/>
      <c r="BF103" t="str">
        <f t="shared" ref="BF103:BF110" ca="1" si="273">IFERROR(INDEX($BC$6:$BC$53,MATCH(AL102,$BD$6:$BD$53,0)),"")</f>
        <v>C</v>
      </c>
      <c r="BG103">
        <f t="shared" ref="BG103:BG110" ca="1" si="274">COUNTIF($BF$103:$BF$110,"&lt;="&amp;BF103)</f>
        <v>3</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8</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5"/>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Japón</v>
      </c>
      <c r="AM104" s="576">
        <f t="shared" ca="1" si="269"/>
        <v>1</v>
      </c>
      <c r="AN104" s="86">
        <f t="shared" ca="1" si="269"/>
        <v>1</v>
      </c>
      <c r="AO104" s="86">
        <f t="shared" ca="1" si="269"/>
        <v>0</v>
      </c>
      <c r="AP104" s="86">
        <f t="shared" ca="1" si="269"/>
        <v>1</v>
      </c>
      <c r="AQ104" s="86">
        <f t="shared" ca="1" si="269"/>
        <v>0</v>
      </c>
      <c r="AR104" s="86">
        <f t="shared" ca="1" si="269"/>
        <v>2</v>
      </c>
      <c r="AS104" s="86">
        <f t="shared" ca="1" si="269"/>
        <v>2</v>
      </c>
      <c r="AT104" s="87">
        <f t="shared" ca="1" si="269"/>
        <v>0</v>
      </c>
      <c r="AU104" s="323" t="str">
        <f t="shared" ca="1" si="270"/>
        <v/>
      </c>
      <c r="AV104" s="182" t="str">
        <f t="shared" ca="1" si="271"/>
        <v>Japón</v>
      </c>
      <c r="AW104" s="215"/>
      <c r="AX104" s="170"/>
      <c r="AY104" s="270"/>
      <c r="AZ104" s="273" t="str">
        <f t="shared" ca="1" si="272"/>
        <v>1B - 3G</v>
      </c>
      <c r="BA104" s="176"/>
      <c r="BF104" t="str">
        <f t="shared" ca="1" si="273"/>
        <v>D</v>
      </c>
      <c r="BG104">
        <f t="shared" ca="1" si="274"/>
        <v>4</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5"/>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Bélgica</v>
      </c>
      <c r="AM105" s="576">
        <f t="shared" ca="1" si="269"/>
        <v>1</v>
      </c>
      <c r="AN105" s="86">
        <f t="shared" ca="1" si="269"/>
        <v>1</v>
      </c>
      <c r="AO105" s="86">
        <f t="shared" ca="1" si="269"/>
        <v>0</v>
      </c>
      <c r="AP105" s="86">
        <f t="shared" ca="1" si="269"/>
        <v>1</v>
      </c>
      <c r="AQ105" s="86">
        <f t="shared" ca="1" si="269"/>
        <v>0</v>
      </c>
      <c r="AR105" s="86">
        <f t="shared" ca="1" si="269"/>
        <v>1</v>
      </c>
      <c r="AS105" s="86">
        <f t="shared" ca="1" si="269"/>
        <v>1</v>
      </c>
      <c r="AT105" s="87">
        <f t="shared" ca="1" si="269"/>
        <v>0</v>
      </c>
      <c r="AU105" s="323" t="str">
        <f t="shared" ca="1" si="270"/>
        <v/>
      </c>
      <c r="AV105" s="182" t="str">
        <f t="shared" ca="1" si="271"/>
        <v>Bélgica</v>
      </c>
      <c r="AW105" s="215"/>
      <c r="AX105" s="170"/>
      <c r="AY105" s="270"/>
      <c r="AZ105" s="273" t="str">
        <f t="shared" ca="1" si="272"/>
        <v>1D - 3B</v>
      </c>
      <c r="BA105" s="176"/>
      <c r="BF105" t="str">
        <f t="shared" ca="1" si="273"/>
        <v>F</v>
      </c>
      <c r="BG105">
        <f t="shared" ca="1" si="274"/>
        <v>5</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6</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5"/>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RD Congo</v>
      </c>
      <c r="AM106" s="576">
        <f t="shared" ca="1" si="269"/>
        <v>1</v>
      </c>
      <c r="AN106" s="86">
        <f t="shared" ca="1" si="269"/>
        <v>1</v>
      </c>
      <c r="AO106" s="86">
        <f t="shared" ca="1" si="269"/>
        <v>0</v>
      </c>
      <c r="AP106" s="86">
        <f t="shared" ca="1" si="269"/>
        <v>1</v>
      </c>
      <c r="AQ106" s="86">
        <f t="shared" ca="1" si="269"/>
        <v>0</v>
      </c>
      <c r="AR106" s="86">
        <f t="shared" ca="1" si="269"/>
        <v>1</v>
      </c>
      <c r="AS106" s="86">
        <f t="shared" ca="1" si="269"/>
        <v>1</v>
      </c>
      <c r="AT106" s="87">
        <f t="shared" ca="1" si="269"/>
        <v>0</v>
      </c>
      <c r="AU106" s="323" t="str">
        <f t="shared" ca="1" si="270"/>
        <v/>
      </c>
      <c r="AV106" s="182" t="str">
        <f t="shared" ca="1" si="271"/>
        <v>RD Congo</v>
      </c>
      <c r="AW106" s="215"/>
      <c r="AX106" s="170"/>
      <c r="AY106" s="270"/>
      <c r="AZ106" s="273" t="str">
        <f t="shared" ca="1" si="272"/>
        <v>1E - 3C</v>
      </c>
      <c r="BA106" s="176"/>
      <c r="BF106" t="str">
        <f t="shared" ca="1" si="273"/>
        <v>G</v>
      </c>
      <c r="BG106">
        <f t="shared" ca="1" si="274"/>
        <v>6</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5"/>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España</v>
      </c>
      <c r="AM107" s="576">
        <f t="shared" ca="1" si="269"/>
        <v>1</v>
      </c>
      <c r="AN107" s="86">
        <f t="shared" ca="1" si="269"/>
        <v>1</v>
      </c>
      <c r="AO107" s="86">
        <f t="shared" ca="1" si="269"/>
        <v>0</v>
      </c>
      <c r="AP107" s="86">
        <f t="shared" ca="1" si="269"/>
        <v>1</v>
      </c>
      <c r="AQ107" s="86">
        <f t="shared" ca="1" si="269"/>
        <v>0</v>
      </c>
      <c r="AR107" s="86">
        <f t="shared" ca="1" si="269"/>
        <v>0</v>
      </c>
      <c r="AS107" s="86">
        <f t="shared" ca="1" si="269"/>
        <v>0</v>
      </c>
      <c r="AT107" s="87">
        <f t="shared" ca="1" si="269"/>
        <v>0</v>
      </c>
      <c r="AU107" s="323" t="str">
        <f t="shared" ca="1" si="270"/>
        <v/>
      </c>
      <c r="AV107" s="182" t="str">
        <f t="shared" ca="1" si="271"/>
        <v>España</v>
      </c>
      <c r="AW107" s="215"/>
      <c r="AX107" s="170"/>
      <c r="AY107" s="270"/>
      <c r="AZ107" s="273" t="str">
        <f t="shared" ca="1" si="272"/>
        <v>1G - 3A</v>
      </c>
      <c r="BA107" s="176"/>
      <c r="BF107" t="str">
        <f t="shared" ca="1" si="273"/>
        <v>K</v>
      </c>
      <c r="BG107">
        <f t="shared" ca="1" si="274"/>
        <v>8</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5"/>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República Checa</v>
      </c>
      <c r="AM108" s="576">
        <f t="shared" ca="1" si="269"/>
        <v>1</v>
      </c>
      <c r="AN108" s="86">
        <f t="shared" ca="1" si="269"/>
        <v>2</v>
      </c>
      <c r="AO108" s="86">
        <f t="shared" ca="1" si="269"/>
        <v>0</v>
      </c>
      <c r="AP108" s="86">
        <f t="shared" ca="1" si="269"/>
        <v>1</v>
      </c>
      <c r="AQ108" s="86">
        <f t="shared" ca="1" si="269"/>
        <v>1</v>
      </c>
      <c r="AR108" s="86">
        <f t="shared" ca="1" si="269"/>
        <v>2</v>
      </c>
      <c r="AS108" s="86">
        <f t="shared" ca="1" si="269"/>
        <v>3</v>
      </c>
      <c r="AT108" s="87">
        <f t="shared" ca="1" si="269"/>
        <v>-1</v>
      </c>
      <c r="AU108" s="323" t="str">
        <f t="shared" ca="1" si="270"/>
        <v/>
      </c>
      <c r="AV108" s="182" t="str">
        <f t="shared" ca="1" si="271"/>
        <v>República Checa</v>
      </c>
      <c r="AW108" s="215"/>
      <c r="AX108" s="170"/>
      <c r="AY108" s="270"/>
      <c r="AZ108" s="273" t="str">
        <f t="shared" ca="1" si="272"/>
        <v>1I - 3F</v>
      </c>
      <c r="BA108" s="176"/>
      <c r="BF108" t="str">
        <f t="shared" ca="1" si="273"/>
        <v>H</v>
      </c>
      <c r="BG108">
        <f t="shared" ca="1" si="274"/>
        <v>7</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5"/>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Bosnia y Herzegovina</v>
      </c>
      <c r="AM109" s="576">
        <f t="shared" ca="1" si="269"/>
        <v>1</v>
      </c>
      <c r="AN109" s="86">
        <f t="shared" ca="1" si="269"/>
        <v>2</v>
      </c>
      <c r="AO109" s="86">
        <f t="shared" ca="1" si="269"/>
        <v>0</v>
      </c>
      <c r="AP109" s="86">
        <f t="shared" ca="1" si="269"/>
        <v>1</v>
      </c>
      <c r="AQ109" s="86">
        <f t="shared" ca="1" si="269"/>
        <v>1</v>
      </c>
      <c r="AR109" s="86">
        <f t="shared" ca="1" si="269"/>
        <v>2</v>
      </c>
      <c r="AS109" s="86">
        <f t="shared" ca="1" si="269"/>
        <v>5</v>
      </c>
      <c r="AT109" s="87">
        <f t="shared" ca="1" si="269"/>
        <v>-3</v>
      </c>
      <c r="AU109" s="323" t="str">
        <f t="shared" ca="1" si="270"/>
        <v/>
      </c>
      <c r="AV109" s="182" t="str">
        <f t="shared" ca="1" si="271"/>
        <v>Bosnia y Herzegovina</v>
      </c>
      <c r="AW109" s="215"/>
      <c r="AX109" s="170"/>
      <c r="AY109" s="270"/>
      <c r="AZ109" s="273" t="str">
        <f t="shared" ca="1" si="272"/>
        <v>1K - 3D</v>
      </c>
      <c r="BA109" s="176"/>
      <c r="BF109" t="str">
        <f t="shared" ca="1" si="273"/>
        <v>A</v>
      </c>
      <c r="BG109">
        <f t="shared" ca="1" si="274"/>
        <v>1</v>
      </c>
      <c r="BI109">
        <v>7</v>
      </c>
      <c r="BJ109" t="str">
        <f t="shared" ca="1" si="275"/>
        <v>H</v>
      </c>
    </row>
    <row r="110" spans="1:62" ht="16" customHeight="1" x14ac:dyDescent="0.2">
      <c r="A110" s="16" t="s">
        <v>97</v>
      </c>
      <c r="B110" s="16" t="s">
        <v>159</v>
      </c>
      <c r="C110" s="16"/>
      <c r="D110" s="16" t="str">
        <f t="shared" si="260"/>
        <v>W81</v>
      </c>
      <c r="E110" s="16" t="s">
        <v>121</v>
      </c>
      <c r="F110" s="16" t="s">
        <v>142</v>
      </c>
      <c r="G110" s="16" t="s">
        <v>128</v>
      </c>
      <c r="H110" s="16">
        <f t="shared" ca="1" si="261"/>
        <v>4</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5"/>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Ecuador</v>
      </c>
      <c r="AM110" s="576">
        <f t="shared" ca="1" si="269"/>
        <v>0</v>
      </c>
      <c r="AN110" s="86">
        <f t="shared" ca="1" si="269"/>
        <v>1</v>
      </c>
      <c r="AO110" s="86">
        <f t="shared" ca="1" si="269"/>
        <v>0</v>
      </c>
      <c r="AP110" s="86">
        <f t="shared" ca="1" si="269"/>
        <v>0</v>
      </c>
      <c r="AQ110" s="86">
        <f t="shared" ca="1" si="269"/>
        <v>1</v>
      </c>
      <c r="AR110" s="86">
        <f t="shared" ca="1" si="269"/>
        <v>0</v>
      </c>
      <c r="AS110" s="86">
        <f t="shared" ca="1" si="269"/>
        <v>1</v>
      </c>
      <c r="AT110" s="87">
        <f t="shared" ca="1" si="269"/>
        <v>-1</v>
      </c>
      <c r="AU110" s="323" t="str">
        <f t="shared" ca="1" si="270"/>
        <v/>
      </c>
      <c r="AV110" s="182" t="str">
        <f t="shared" ca="1" si="271"/>
        <v>Ecuador</v>
      </c>
      <c r="AW110" s="215"/>
      <c r="AX110" s="170"/>
      <c r="AY110" s="270"/>
      <c r="AZ110" s="273" t="str">
        <f t="shared" ca="1" si="272"/>
        <v>1L - 3K</v>
      </c>
      <c r="BA110" s="176"/>
      <c r="BF110" t="str">
        <f t="shared" ca="1" si="273"/>
        <v>B</v>
      </c>
      <c r="BG110">
        <f t="shared" ca="1" si="274"/>
        <v>2</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4</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5"/>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Panamá</v>
      </c>
      <c r="AM111" s="576">
        <f t="shared" ca="1" si="269"/>
        <v>0</v>
      </c>
      <c r="AN111" s="86">
        <f t="shared" ca="1" si="269"/>
        <v>1</v>
      </c>
      <c r="AO111" s="86">
        <f t="shared" ca="1" si="269"/>
        <v>0</v>
      </c>
      <c r="AP111" s="86">
        <f t="shared" ca="1" si="269"/>
        <v>0</v>
      </c>
      <c r="AQ111" s="86">
        <f t="shared" ca="1" si="269"/>
        <v>1</v>
      </c>
      <c r="AR111" s="86">
        <f t="shared" ca="1" si="269"/>
        <v>0</v>
      </c>
      <c r="AS111" s="86">
        <f t="shared" ca="1" si="269"/>
        <v>1</v>
      </c>
      <c r="AT111" s="87">
        <f t="shared" ca="1" si="269"/>
        <v>-1</v>
      </c>
      <c r="AU111" s="323" t="str">
        <f t="shared" ca="1" si="270"/>
        <v/>
      </c>
      <c r="AV111" s="182" t="str">
        <f t="shared" ca="1" si="271"/>
        <v>Panamá</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5"/>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Jordania</v>
      </c>
      <c r="AM112" s="576">
        <f t="shared" ca="1" si="269"/>
        <v>0</v>
      </c>
      <c r="AN112" s="86">
        <f t="shared" ca="1" si="269"/>
        <v>1</v>
      </c>
      <c r="AO112" s="86">
        <f t="shared" ca="1" si="269"/>
        <v>0</v>
      </c>
      <c r="AP112" s="86">
        <f t="shared" ca="1" si="269"/>
        <v>0</v>
      </c>
      <c r="AQ112" s="86">
        <f t="shared" ca="1" si="269"/>
        <v>1</v>
      </c>
      <c r="AR112" s="86">
        <f t="shared" ca="1" si="269"/>
        <v>1</v>
      </c>
      <c r="AS112" s="86">
        <f t="shared" ca="1" si="269"/>
        <v>3</v>
      </c>
      <c r="AT112" s="87">
        <f t="shared" ca="1" si="269"/>
        <v>-2</v>
      </c>
      <c r="AU112" s="323" t="str">
        <f t="shared" ca="1" si="270"/>
        <v/>
      </c>
      <c r="AV112" s="182" t="str">
        <f t="shared" ca="1" si="271"/>
        <v>Jordania</v>
      </c>
      <c r="AW112" s="215"/>
      <c r="AX112" s="170"/>
      <c r="AY112" s="269"/>
      <c r="AZ112" s="269"/>
      <c r="BA112" s="176"/>
      <c r="BI112" t="str">
        <f ca="1">IFERROR(CONCATENATE(BJ103,BJ104,BJ105,BJ106,BJ107,BJ108,BJ109,BJ110),"¿A/B/C/D/E/F/G/H/I/J/K/L?")</f>
        <v>ABCDFGHK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66</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5"/>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1</v>
      </c>
      <c r="AO113" s="47">
        <f t="shared" ca="1" si="269"/>
        <v>0</v>
      </c>
      <c r="AP113" s="47">
        <f t="shared" ca="1" si="269"/>
        <v>0</v>
      </c>
      <c r="AQ113" s="47">
        <f t="shared" ca="1" si="269"/>
        <v>1</v>
      </c>
      <c r="AR113" s="47">
        <f t="shared" ca="1" si="269"/>
        <v>1</v>
      </c>
      <c r="AS113" s="47">
        <f t="shared" ca="1" si="269"/>
        <v>3</v>
      </c>
      <c r="AT113" s="48">
        <f t="shared" ca="1" si="269"/>
        <v>-2</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5"/>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5"/>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6"/>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8"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3D</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0"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1"/>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4</v>
      </c>
      <c r="J20" s="438">
        <f ca="1">+INDEX(WORLDCUP!$AT$6:$AT$97,MATCH(L20,WORLDCUP!$AI$6:$AI$97,0))</f>
        <v>3</v>
      </c>
      <c r="K20" s="439" t="str">
        <f ca="1">+INDEX(WORLDCUP!$AR$6:$AR$97,MATCH(L20,WORLDCUP!$AI$6:$AI$97,0))&amp;"-"&amp;INDEX(WORLDCUP!$AS$6:$AS$97,MATCH(L20,WORLDCUP!$AI$6:$AI$97,0))</f>
        <v>4-1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-4</v>
      </c>
      <c r="K23" s="467" t="str">
        <f ca="1">+INDEX(WORLDCUP!$AR$6:$AR$97,MATCH(L23,WORLDCUP!$AI$6:$AI$97,0))&amp;"-"&amp;INDEX(WORLDCUP!$AS$6:$AS$97,MATCH(L23,WORLDCUP!$AI$6:$AI$97,0))</f>
        <v>0-4</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-3</v>
      </c>
      <c r="K31" s="467" t="str">
        <f ca="1">+INDEX(WORLDCUP!$AR$6:$AR$97,MATCH(L31,WORLDCUP!$AI$6:$AI$97,0))&amp;"-"&amp;INDEX(WORLDCUP!$AS$6:$AS$97,MATCH(L31,WORLDCUP!$AI$6:$AI$97,0))</f>
        <v>0-3</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3</v>
      </c>
      <c r="V36" s="438">
        <f ca="1">+INDEX(WORLDCUP!$AT$6:$AT$97,MATCH(X36,WORLDCUP!$AI$6:$AI$97,0))</f>
        <v>2</v>
      </c>
      <c r="W36" s="439" t="str">
        <f ca="1">+INDEX(WORLDCUP!$AR$6:$AR$97,MATCH(X36,WORLDCUP!$AI$6:$AI$97,0))&amp;"-"&amp;INDEX(WORLDCUP!$AS$6:$AS$97,MATCH(X36,WORLDCUP!$AI$6:$AI$97,0))</f>
        <v>3-1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-2</v>
      </c>
      <c r="W39" s="467" t="str">
        <f ca="1">+INDEX(WORLDCUP!$AR$6:$AR$97,MATCH(X39,WORLDCUP!$AI$6:$AI$97,0))&amp;"-"&amp;INDEX(WORLDCUP!$AS$6:$AS$97,MATCH(X39,WORLDCUP!$AI$6:$AI$97,0))</f>
        <v>1-3</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4</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Sue</v>
      </c>
      <c r="I45" s="38">
        <f ca="1">+INDEX(WORLDCUP!$AM$6:$AM$97,MATCH(L45,WORLDCUP!$AI$6:$AI$97,0))</f>
        <v>3</v>
      </c>
      <c r="J45" s="39">
        <f ca="1">+INDEX(WORLDCUP!$AT$6:$AT$97,MATCH(L45,WORLDCUP!$AI$6:$AI$97,0))</f>
        <v>0</v>
      </c>
      <c r="K45" s="43" t="str">
        <f ca="1">+INDEX(WORLDCUP!$AR$6:$AR$97,MATCH(L45,WORLDCUP!$AI$6:$AI$97,0))&amp;"-"&amp;INDEX(WORLDCUP!$AS$6:$AS$97,MATCH(L45,WORLDCUP!$AI$6:$AI$97,0))</f>
        <v>6-6</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España</v>
      </c>
      <c r="D3" s="9" t="str">
        <f ca="1">+WORLDCUP!BD64</f>
        <v>Bélgica</v>
      </c>
      <c r="E3" s="9" t="str">
        <f ca="1">+WORLDCUP!BD66</f>
        <v>Senegal</v>
      </c>
      <c r="F3" s="9" t="str">
        <f ca="1">+WORLDCUP!BD61</f>
        <v>Paraguay</v>
      </c>
      <c r="G3" s="9" t="str">
        <f ca="1">+WORLDCUP!BD67</f>
        <v>Jordania</v>
      </c>
      <c r="H3" s="9" t="str">
        <f ca="1">+WORLDCUP!BD63</f>
        <v>Japón</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Paraguay</v>
      </c>
      <c r="G4" s="9" t="str">
        <f ca="1">+WORLDCUP!BD65</f>
        <v>España</v>
      </c>
      <c r="H4" s="9" t="str">
        <f ca="1">+WORLDCUP!BD64</f>
        <v>Bélgica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Paraguay</v>
      </c>
      <c r="G5" s="9" t="str">
        <f ca="1">+WORLDCUP!BD65</f>
        <v>España</v>
      </c>
      <c r="H5" s="9" t="str">
        <f ca="1">+WORLDCUP!BD63</f>
        <v>Japón</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Paraguay</v>
      </c>
      <c r="G6" s="9" t="str">
        <f ca="1">+WORLDCUP!BD67</f>
        <v>Jordania</v>
      </c>
      <c r="H6" s="9" t="str">
        <f ca="1">+WORLDCUP!BD63</f>
        <v>Japón</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Paraguay</v>
      </c>
      <c r="G7" s="9" t="str">
        <f ca="1">+WORLDCUP!BD65</f>
        <v>España</v>
      </c>
      <c r="H7" s="9" t="str">
        <f ca="1">+WORLDCUP!BD63</f>
        <v>Japón</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Paraguay</v>
      </c>
      <c r="G8" s="9" t="str">
        <f ca="1">+WORLDCUP!BD65</f>
        <v>España</v>
      </c>
      <c r="H8" s="9" t="str">
        <f ca="1">+WORLDCUP!BD63</f>
        <v>Japón</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Paraguay</v>
      </c>
      <c r="G9" s="9" t="str">
        <f ca="1">+WORLDCUP!BD65</f>
        <v>España</v>
      </c>
      <c r="H9" s="9" t="str">
        <f ca="1">+WORLDCUP!BD63</f>
        <v>Japón</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Paraguay</v>
      </c>
      <c r="G10" s="9" t="str">
        <f ca="1">+WORLDCUP!BD65</f>
        <v>España</v>
      </c>
      <c r="H10" s="9" t="str">
        <f ca="1">+WORLDCUP!BD63</f>
        <v>Japón</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España</v>
      </c>
      <c r="D11" s="9" t="str">
        <f ca="1">+WORLDCUP!BD64</f>
        <v>Bélgica</v>
      </c>
      <c r="E11" s="9" t="str">
        <f ca="1">+WORLDCUP!BD66</f>
        <v>Senegal</v>
      </c>
      <c r="F11" s="9" t="str">
        <f ca="1">+WORLDCUP!BD60</f>
        <v>Escocia</v>
      </c>
      <c r="G11" s="9" t="str">
        <f ca="1">+WORLDCUP!BD67</f>
        <v>Jordania</v>
      </c>
      <c r="H11" s="9" t="str">
        <f ca="1">+WORLDCUP!BD63</f>
        <v>Japón</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Escocia</v>
      </c>
      <c r="G12" s="9" t="str">
        <f ca="1">+WORLDCUP!BD65</f>
        <v>España</v>
      </c>
      <c r="H12" s="9" t="str">
        <f ca="1">+WORLDCUP!BD64</f>
        <v>Bélgica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Escocia</v>
      </c>
      <c r="G13" s="9" t="str">
        <f ca="1">+WORLDCUP!BD65</f>
        <v>España</v>
      </c>
      <c r="H13" s="9" t="str">
        <f ca="1">+WORLDCUP!BD63</f>
        <v>Japón</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Escocia</v>
      </c>
      <c r="G14" s="9" t="str">
        <f ca="1">+WORLDCUP!BD67</f>
        <v>Jordania</v>
      </c>
      <c r="H14" s="9" t="str">
        <f ca="1">+WORLDCUP!BD63</f>
        <v>Japón</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Escocia</v>
      </c>
      <c r="G15" s="9" t="str">
        <f ca="1">+WORLDCUP!BD65</f>
        <v>España</v>
      </c>
      <c r="H15" s="9" t="str">
        <f ca="1">+WORLDCUP!BD63</f>
        <v>Japón</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Escocia</v>
      </c>
      <c r="G16" s="9" t="str">
        <f ca="1">+WORLDCUP!BD65</f>
        <v>España</v>
      </c>
      <c r="H16" s="9" t="str">
        <f ca="1">+WORLDCUP!BD63</f>
        <v>Japón</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Escocia</v>
      </c>
      <c r="G17" s="9" t="str">
        <f ca="1">+WORLDCUP!BD65</f>
        <v>España</v>
      </c>
      <c r="H17" s="9" t="str">
        <f ca="1">+WORLDCUP!BD63</f>
        <v>Japón</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Escocia</v>
      </c>
      <c r="G18" s="9" t="str">
        <f ca="1">+WORLDCUP!BD65</f>
        <v>España</v>
      </c>
      <c r="H18" s="9" t="str">
        <f ca="1">+WORLDCUP!BD63</f>
        <v>Japón</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España</v>
      </c>
      <c r="D19" s="9" t="str">
        <f ca="1">+WORLDCUP!BD64</f>
        <v>Bélgica</v>
      </c>
      <c r="E19" s="9" t="str">
        <f ca="1">+WORLDCUP!BD66</f>
        <v>Senegal</v>
      </c>
      <c r="F19" s="9" t="str">
        <f ca="1">+WORLDCUP!BD60</f>
        <v>Escocia</v>
      </c>
      <c r="G19" s="9" t="str">
        <f ca="1">+WORLDCUP!BD67</f>
        <v>Jordania</v>
      </c>
      <c r="H19" s="9" t="str">
        <f ca="1">+WORLDCUP!BD61</f>
        <v>Paraguay</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Paraguay</v>
      </c>
      <c r="G20" s="9" t="str">
        <f ca="1">+WORLDCUP!BD65</f>
        <v>España</v>
      </c>
      <c r="H20" s="9" t="str">
        <f ca="1">+WORLDCUP!BD63</f>
        <v>Japón</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Bélgica</v>
      </c>
      <c r="E21" s="9" t="str">
        <f ca="1">+WORLDCUP!BD66</f>
        <v>Senegal</v>
      </c>
      <c r="F21" s="9" t="str">
        <f ca="1">+WORLDCUP!BD61</f>
        <v>Paraguay</v>
      </c>
      <c r="G21" s="9" t="str">
        <f ca="1">+WORLDCUP!BD67</f>
        <v>Jordania</v>
      </c>
      <c r="H21" s="9" t="str">
        <f ca="1">+WORLDCUP!BD63</f>
        <v>Japón</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Bélgica</v>
      </c>
      <c r="E22" s="9" t="str">
        <f ca="1">+WORLDCUP!BD67</f>
        <v>Jordania</v>
      </c>
      <c r="F22" s="9" t="str">
        <f ca="1">+WORLDCUP!BD61</f>
        <v>Paraguay</v>
      </c>
      <c r="G22" s="9" t="str">
        <f ca="1">+WORLDCUP!BD65</f>
        <v>España</v>
      </c>
      <c r="H22" s="9" t="str">
        <f ca="1">+WORLDCUP!BD63</f>
        <v>Japón</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Bélgica</v>
      </c>
      <c r="E23" s="9" t="str">
        <f ca="1">+WORLDCUP!BD66</f>
        <v>Senegal</v>
      </c>
      <c r="F23" s="9" t="str">
        <f ca="1">+WORLDCUP!BD61</f>
        <v>Paraguay</v>
      </c>
      <c r="G23" s="9" t="str">
        <f ca="1">+WORLDCUP!BD65</f>
        <v>España</v>
      </c>
      <c r="H23" s="9" t="str">
        <f ca="1">+WORLDCUP!BD63</f>
        <v>Japón</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Bélgica</v>
      </c>
      <c r="E24" s="9" t="str">
        <f ca="1">+WORLDCUP!BD67</f>
        <v>Jordania</v>
      </c>
      <c r="F24" s="9" t="str">
        <f ca="1">+WORLDCUP!BD61</f>
        <v>Paraguay</v>
      </c>
      <c r="G24" s="9" t="str">
        <f ca="1">+WORLDCUP!BD65</f>
        <v>España</v>
      </c>
      <c r="H24" s="9" t="str">
        <f ca="1">+WORLDCUP!BD63</f>
        <v>Japón</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Bélgica</v>
      </c>
      <c r="E25" s="9" t="str">
        <f ca="1">+WORLDCUP!BD67</f>
        <v>Jordania</v>
      </c>
      <c r="F25" s="9" t="str">
        <f ca="1">+WORLDCUP!BD61</f>
        <v>Paraguay</v>
      </c>
      <c r="G25" s="9" t="str">
        <f ca="1">+WORLDCUP!BD65</f>
        <v>España</v>
      </c>
      <c r="H25" s="9" t="str">
        <f ca="1">+WORLDCUP!BD63</f>
        <v>Japón</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Escocia</v>
      </c>
      <c r="G26" s="9" t="str">
        <f ca="1">+WORLDCUP!BD65</f>
        <v>España</v>
      </c>
      <c r="H26" s="9" t="str">
        <f ca="1">+WORLDCUP!BD61</f>
        <v>Paraguay</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Escocia</v>
      </c>
      <c r="G27" s="9" t="str">
        <f ca="1">+WORLDCUP!BD67</f>
        <v>Jordania</v>
      </c>
      <c r="H27" s="9" t="str">
        <f ca="1">+WORLDCUP!BD61</f>
        <v>Paraguay</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Escocia</v>
      </c>
      <c r="G28" s="9" t="str">
        <f ca="1">+WORLDCUP!BD65</f>
        <v>España</v>
      </c>
      <c r="H28" s="9" t="str">
        <f ca="1">+WORLDCUP!BD61</f>
        <v>Paraguay</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Escocia</v>
      </c>
      <c r="G29" s="9" t="str">
        <f ca="1">+WORLDCUP!BD65</f>
        <v>España</v>
      </c>
      <c r="H29" s="9" t="str">
        <f ca="1">+WORLDCUP!BD61</f>
        <v>Paraguay</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Escocia</v>
      </c>
      <c r="G30" s="9" t="str">
        <f ca="1">+WORLDCUP!BD65</f>
        <v>España</v>
      </c>
      <c r="H30" s="9" t="str">
        <f ca="1">+WORLDCUP!BD61</f>
        <v>Paraguay</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Escocia</v>
      </c>
      <c r="G31" s="9" t="str">
        <f ca="1">+WORLDCUP!BD65</f>
        <v>España</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Ecuador</v>
      </c>
      <c r="F32" s="9" t="str">
        <f ca="1">+WORLDCUP!BD61</f>
        <v>Paraguay</v>
      </c>
      <c r="G32" s="9" t="str">
        <f ca="1">+WORLDCUP!BD66</f>
        <v>Senegal</v>
      </c>
      <c r="H32" s="9" t="str">
        <f ca="1">+WORLDCUP!BD63</f>
        <v>Japón</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Ecuador</v>
      </c>
      <c r="F33" s="9" t="str">
        <f ca="1">+WORLDCUP!BD61</f>
        <v>Paraguay</v>
      </c>
      <c r="G33" s="9" t="str">
        <f ca="1">+WORLDCUP!BD65</f>
        <v>España</v>
      </c>
      <c r="H33" s="9" t="str">
        <f ca="1">+WORLDCUP!BD63</f>
        <v>Japón</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España</v>
      </c>
      <c r="H34" s="9" t="str">
        <f ca="1">+WORLDCUP!BD63</f>
        <v>Japón</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Ecuador</v>
      </c>
      <c r="F35" s="9" t="str">
        <f ca="1">+WORLDCUP!BD61</f>
        <v>Paraguay</v>
      </c>
      <c r="G35" s="9" t="str">
        <f ca="1">+WORLDCUP!BD65</f>
        <v>España</v>
      </c>
      <c r="H35" s="9" t="str">
        <f ca="1">+WORLDCUP!BD63</f>
        <v>Japón</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Ecuador</v>
      </c>
      <c r="F36" s="9" t="str">
        <f ca="1">+WORLDCUP!BD61</f>
        <v>Paraguay</v>
      </c>
      <c r="G36" s="9" t="str">
        <f ca="1">+WORLDCUP!BD65</f>
        <v>España</v>
      </c>
      <c r="H36" s="9" t="str">
        <f ca="1">+WORLDCUP!BD63</f>
        <v>Japón</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Bélgica</v>
      </c>
      <c r="E37" s="9" t="str">
        <f ca="1">+WORLDCUP!BD62</f>
        <v>Ecuador</v>
      </c>
      <c r="F37" s="9" t="str">
        <f ca="1">+WORLDCUP!BD61</f>
        <v>Paraguay</v>
      </c>
      <c r="G37" s="9" t="str">
        <f ca="1">+WORLDCUP!BD67</f>
        <v>Jordania</v>
      </c>
      <c r="H37" s="9" t="str">
        <f ca="1">+WORLDCUP!BD63</f>
        <v>Japón</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Japón</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Bélgica</v>
      </c>
      <c r="E39" s="9" t="str">
        <f ca="1">+WORLDCUP!BD62</f>
        <v>Ecuador</v>
      </c>
      <c r="F39" s="9" t="str">
        <f ca="1">+WORLDCUP!BD61</f>
        <v>Paraguay</v>
      </c>
      <c r="G39" s="9" t="str">
        <f ca="1">+WORLDCUP!BD67</f>
        <v>Jordania</v>
      </c>
      <c r="H39" s="9" t="str">
        <f ca="1">+WORLDCUP!BD63</f>
        <v>Japón</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Bélgica</v>
      </c>
      <c r="E40" s="9" t="str">
        <f ca="1">+WORLDCUP!BD62</f>
        <v>Ecuador</v>
      </c>
      <c r="F40" s="9" t="str">
        <f ca="1">+WORLDCUP!BD61</f>
        <v>Paraguay</v>
      </c>
      <c r="G40" s="9" t="str">
        <f ca="1">+WORLDCUP!BD67</f>
        <v>Jordania</v>
      </c>
      <c r="H40" s="9" t="str">
        <f ca="1">+WORLDCUP!BD63</f>
        <v>Japón</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Bélgica</v>
      </c>
      <c r="E41" s="9" t="str">
        <f ca="1">+WORLDCUP!BD62</f>
        <v>Ecuador</v>
      </c>
      <c r="F41" s="9" t="str">
        <f ca="1">+WORLDCUP!BD61</f>
        <v>Paraguay</v>
      </c>
      <c r="G41" s="9" t="str">
        <f ca="1">+WORLDCUP!BD65</f>
        <v>España</v>
      </c>
      <c r="H41" s="9" t="str">
        <f ca="1">+WORLDCUP!BD63</f>
        <v>Japón</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Bélgica</v>
      </c>
      <c r="E42" s="9" t="str">
        <f ca="1">+WORLDCUP!BD67</f>
        <v>Jordania</v>
      </c>
      <c r="F42" s="9" t="str">
        <f ca="1">+WORLDCUP!BD61</f>
        <v>Paraguay</v>
      </c>
      <c r="G42" s="9" t="str">
        <f ca="1">+WORLDCUP!BD65</f>
        <v>España</v>
      </c>
      <c r="H42" s="9" t="str">
        <f ca="1">+WORLDCUP!BD63</f>
        <v>Japón</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Bélgica</v>
      </c>
      <c r="E43" s="9" t="str">
        <f ca="1">+WORLDCUP!BD67</f>
        <v>Jordania</v>
      </c>
      <c r="F43" s="9" t="str">
        <f ca="1">+WORLDCUP!BD61</f>
        <v>Paraguay</v>
      </c>
      <c r="G43" s="9" t="str">
        <f ca="1">+WORLDCUP!BD65</f>
        <v>España</v>
      </c>
      <c r="H43" s="9" t="str">
        <f ca="1">+WORLDCUP!BD63</f>
        <v>Japón</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Bélgica</v>
      </c>
      <c r="E44" s="9" t="str">
        <f ca="1">+WORLDCUP!BD62</f>
        <v>Ecuador</v>
      </c>
      <c r="F44" s="9" t="str">
        <f ca="1">+WORLDCUP!BD61</f>
        <v>Paraguay</v>
      </c>
      <c r="G44" s="9" t="str">
        <f ca="1">+WORLDCUP!BD65</f>
        <v>España</v>
      </c>
      <c r="H44" s="9" t="str">
        <f ca="1">+WORLDCUP!BD63</f>
        <v>Japón</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Bélgica</v>
      </c>
      <c r="E45" s="9" t="str">
        <f ca="1">+WORLDCUP!BD62</f>
        <v>Ecuador</v>
      </c>
      <c r="F45" s="9" t="str">
        <f ca="1">+WORLDCUP!BD61</f>
        <v>Paraguay</v>
      </c>
      <c r="G45" s="9" t="str">
        <f ca="1">+WORLDCUP!BD65</f>
        <v>España</v>
      </c>
      <c r="H45" s="9" t="str">
        <f ca="1">+WORLDCUP!BD63</f>
        <v>Japón</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Bélgica</v>
      </c>
      <c r="E46" s="9" t="str">
        <f ca="1">+WORLDCUP!BD67</f>
        <v>Jordania</v>
      </c>
      <c r="F46" s="9" t="str">
        <f ca="1">+WORLDCUP!BD61</f>
        <v>Paraguay</v>
      </c>
      <c r="G46" s="9" t="str">
        <f ca="1">+WORLDCUP!BD65</f>
        <v>España</v>
      </c>
      <c r="H46" s="9" t="str">
        <f ca="1">+WORLDCUP!BD63</f>
        <v>Japón</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España</v>
      </c>
      <c r="D47" s="9" t="str">
        <f ca="1">+WORLDCUP!BD67</f>
        <v>Jordania</v>
      </c>
      <c r="E47" s="9" t="str">
        <f ca="1">+WORLDCUP!BD59</f>
        <v>Bosnia y Herzegovina</v>
      </c>
      <c r="F47" s="9" t="str">
        <f ca="1">+WORLDCUP!BD63</f>
        <v>Japón</v>
      </c>
      <c r="G47" s="9" t="str">
        <f ca="1">+WORLDCUP!BD66</f>
        <v>Senegal</v>
      </c>
      <c r="H47" s="9" t="str">
        <f ca="1">+WORLDCUP!BD64</f>
        <v>Bélgica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España</v>
      </c>
      <c r="H48" s="9" t="str">
        <f ca="1">+WORLDCUP!BD64</f>
        <v>Bélgica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Bosnia y Herzegovina</v>
      </c>
      <c r="F49" s="9" t="str">
        <f ca="1">+WORLDCUP!BD63</f>
        <v>Japón</v>
      </c>
      <c r="G49" s="9" t="str">
        <f ca="1">+WORLDCUP!BD66</f>
        <v>Senegal</v>
      </c>
      <c r="H49" s="9" t="str">
        <f ca="1">+WORLDCUP!BD65</f>
        <v>España</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Bosnia y Herzegovina</v>
      </c>
      <c r="F50" s="9" t="str">
        <f ca="1">+WORLDCUP!BD63</f>
        <v>Japón</v>
      </c>
      <c r="G50" s="9" t="str">
        <f ca="1">+WORLDCUP!BD66</f>
        <v>Senegal</v>
      </c>
      <c r="H50" s="9" t="str">
        <f ca="1">+WORLDCUP!BD64</f>
        <v>Bélgica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Bosnia y Herzegovina</v>
      </c>
      <c r="F51" s="9" t="str">
        <f ca="1">+WORLDCUP!BD63</f>
        <v>Japón</v>
      </c>
      <c r="G51" s="9" t="str">
        <f ca="1">+WORLDCUP!BD65</f>
        <v>España</v>
      </c>
      <c r="H51" s="9" t="str">
        <f ca="1">+WORLDCUP!BD64</f>
        <v>Bélgica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Japón</v>
      </c>
      <c r="G52" s="9" t="str">
        <f ca="1">+WORLDCUP!BD66</f>
        <v>Senegal</v>
      </c>
      <c r="H52" s="9" t="str">
        <f ca="1">+WORLDCUP!BD65</f>
        <v>España</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Bosnia y Herzegovina</v>
      </c>
      <c r="F53" s="9" t="str">
        <f ca="1">+WORLDCUP!BD63</f>
        <v>Japón</v>
      </c>
      <c r="G53" s="9" t="str">
        <f ca="1">+WORLDCUP!BD65</f>
        <v>España</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Bosnia y Herzegovina</v>
      </c>
      <c r="F54" s="9" t="str">
        <f ca="1">+WORLDCUP!BD63</f>
        <v>Japón</v>
      </c>
      <c r="G54" s="9" t="str">
        <f ca="1">+WORLDCUP!BD65</f>
        <v>España</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España</v>
      </c>
      <c r="D55" s="9" t="str">
        <f ca="1">+WORLDCUP!BD67</f>
        <v>Jordania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España</v>
      </c>
      <c r="D56" s="9" t="str">
        <f ca="1">+WORLDCUP!BD67</f>
        <v>Jordania</v>
      </c>
      <c r="E56" s="9" t="str">
        <f ca="1">+WORLDCUP!BD59</f>
        <v>Bosnia y Herzegovina</v>
      </c>
      <c r="F56" s="9" t="str">
        <f ca="1">+WORLDCUP!BD61</f>
        <v>Paraguay</v>
      </c>
      <c r="G56" s="9" t="str">
        <f ca="1">+WORLDCUP!BD66</f>
        <v>Senegal</v>
      </c>
      <c r="H56" s="9" t="str">
        <f ca="1">+WORLDCUP!BD63</f>
        <v>Japón</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Jordania</v>
      </c>
      <c r="H57" s="9" t="str">
        <f ca="1">+WORLDCUP!BD63</f>
        <v>Japón</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España</v>
      </c>
      <c r="D58" s="9" t="str">
        <f ca="1">+WORLDCUP!BD64</f>
        <v>Bélgica</v>
      </c>
      <c r="E58" s="9" t="str">
        <f ca="1">+WORLDCUP!BD59</f>
        <v>Bosnia y Herzegovina</v>
      </c>
      <c r="F58" s="9" t="str">
        <f ca="1">+WORLDCUP!BD61</f>
        <v>Paraguay</v>
      </c>
      <c r="G58" s="9" t="str">
        <f ca="1">+WORLDCUP!BD67</f>
        <v>Jordania</v>
      </c>
      <c r="H58" s="9" t="str">
        <f ca="1">+WORLDCUP!BD63</f>
        <v>Japón</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España</v>
      </c>
      <c r="D59" s="9" t="str">
        <f ca="1">+WORLDCUP!BD64</f>
        <v>Bélgica</v>
      </c>
      <c r="E59" s="9" t="str">
        <f ca="1">+WORLDCUP!BD59</f>
        <v>Bosnia y Herzegovina</v>
      </c>
      <c r="F59" s="9" t="str">
        <f ca="1">+WORLDCUP!BD61</f>
        <v>Paraguay</v>
      </c>
      <c r="G59" s="9" t="str">
        <f ca="1">+WORLDCUP!BD66</f>
        <v>Senegal</v>
      </c>
      <c r="H59" s="9" t="str">
        <f ca="1">+WORLDCUP!BD63</f>
        <v>Japón</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España</v>
      </c>
      <c r="D60" s="9" t="str">
        <f ca="1">+WORLDCUP!BD64</f>
        <v>Bélgica</v>
      </c>
      <c r="E60" s="9" t="str">
        <f ca="1">+WORLDCUP!BD59</f>
        <v>Bosnia y Herzegovina</v>
      </c>
      <c r="F60" s="9" t="str">
        <f ca="1">+WORLDCUP!BD61</f>
        <v>Paraguay</v>
      </c>
      <c r="G60" s="9" t="str">
        <f ca="1">+WORLDCUP!BD67</f>
        <v>Jordania</v>
      </c>
      <c r="H60" s="9" t="str">
        <f ca="1">+WORLDCUP!BD63</f>
        <v>Japón</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España</v>
      </c>
      <c r="D61" s="9" t="str">
        <f ca="1">+WORLDCUP!BD64</f>
        <v>Bélgica</v>
      </c>
      <c r="E61" s="9" t="str">
        <f ca="1">+WORLDCUP!BD59</f>
        <v>Bosnia y Herzegovina</v>
      </c>
      <c r="F61" s="9" t="str">
        <f ca="1">+WORLDCUP!BD61</f>
        <v>Paraguay</v>
      </c>
      <c r="G61" s="9" t="str">
        <f ca="1">+WORLDCUP!BD67</f>
        <v>Jordania</v>
      </c>
      <c r="H61" s="9" t="str">
        <f ca="1">+WORLDCUP!BD63</f>
        <v>Japón</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Bosnia y Herzegovina</v>
      </c>
      <c r="F62" s="9" t="str">
        <f ca="1">+WORLDCUP!BD61</f>
        <v>Paraguay</v>
      </c>
      <c r="G62" s="9" t="str">
        <f ca="1">+WORLDCUP!BD66</f>
        <v>Senegal</v>
      </c>
      <c r="H62" s="9" t="str">
        <f ca="1">+WORLDCUP!BD65</f>
        <v>España</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Bosnia y Herzegovina</v>
      </c>
      <c r="F64" s="9" t="str">
        <f ca="1">+WORLDCUP!BD61</f>
        <v>Paraguay</v>
      </c>
      <c r="G64" s="9" t="str">
        <f ca="1">+WORLDCUP!BD65</f>
        <v>España</v>
      </c>
      <c r="H64" s="9" t="str">
        <f ca="1">+WORLDCUP!BD64</f>
        <v>Bélgica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España</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Bosnia y Herzegovina</v>
      </c>
      <c r="F66" s="9" t="str">
        <f ca="1">+WORLDCUP!BD61</f>
        <v>Paraguay</v>
      </c>
      <c r="G66" s="9" t="str">
        <f ca="1">+WORLDCUP!BD65</f>
        <v>España</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Bosnia y Herzegovina</v>
      </c>
      <c r="F67" s="9" t="str">
        <f ca="1">+WORLDCUP!BD61</f>
        <v>Paraguay</v>
      </c>
      <c r="G67" s="9" t="str">
        <f ca="1">+WORLDCUP!BD65</f>
        <v>España</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Bosnia y Herzegovina</v>
      </c>
      <c r="F68" s="9" t="str">
        <f ca="1">+WORLDCUP!BD61</f>
        <v>Paraguay</v>
      </c>
      <c r="G68" s="9" t="str">
        <f ca="1">+WORLDCUP!BD66</f>
        <v>Senegal</v>
      </c>
      <c r="H68" s="9" t="str">
        <f ca="1">+WORLDCUP!BD63</f>
        <v>Japón</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Bosnia y Herzegovina</v>
      </c>
      <c r="F69" s="9" t="str">
        <f ca="1">+WORLDCUP!BD61</f>
        <v>Paraguay</v>
      </c>
      <c r="G69" s="9" t="str">
        <f ca="1">+WORLDCUP!BD65</f>
        <v>España</v>
      </c>
      <c r="H69" s="9" t="str">
        <f ca="1">+WORLDCUP!BD63</f>
        <v>Japón</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España</v>
      </c>
      <c r="H70" s="9" t="str">
        <f ca="1">+WORLDCUP!BD63</f>
        <v>Japón</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Bosnia y Herzegovina</v>
      </c>
      <c r="F71" s="9" t="str">
        <f ca="1">+WORLDCUP!BD61</f>
        <v>Paraguay</v>
      </c>
      <c r="G71" s="9" t="str">
        <f ca="1">+WORLDCUP!BD65</f>
        <v>España</v>
      </c>
      <c r="H71" s="9" t="str">
        <f ca="1">+WORLDCUP!BD63</f>
        <v>Japón</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Bosnia y Herzegovina</v>
      </c>
      <c r="F72" s="9" t="str">
        <f ca="1">+WORLDCUP!BD61</f>
        <v>Paraguay</v>
      </c>
      <c r="G72" s="9" t="str">
        <f ca="1">+WORLDCUP!BD65</f>
        <v>España</v>
      </c>
      <c r="H72" s="9" t="str">
        <f ca="1">+WORLDCUP!BD63</f>
        <v>Japón</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Jordania</v>
      </c>
      <c r="H73" s="9" t="str">
        <f ca="1">+WORLDCUP!BD63</f>
        <v>Japón</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Japón</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Jordania</v>
      </c>
      <c r="H75" s="9" t="str">
        <f ca="1">+WORLDCUP!BD63</f>
        <v>Japón</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Jordania</v>
      </c>
      <c r="H76" s="9" t="str">
        <f ca="1">+WORLDCUP!BD63</f>
        <v>Japón</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España</v>
      </c>
      <c r="H77" s="9" t="str">
        <f ca="1">+WORLDCUP!BD63</f>
        <v>Japón</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España</v>
      </c>
      <c r="D78" s="9" t="str">
        <f ca="1">+WORLDCUP!BD64</f>
        <v>Bélgica</v>
      </c>
      <c r="E78" s="9" t="str">
        <f ca="1">+WORLDCUP!BD59</f>
        <v>Bosnia y Herzegovina</v>
      </c>
      <c r="F78" s="9" t="str">
        <f ca="1">+WORLDCUP!BD61</f>
        <v>Paraguay</v>
      </c>
      <c r="G78" s="9" t="str">
        <f ca="1">+WORLDCUP!BD67</f>
        <v>Jordania</v>
      </c>
      <c r="H78" s="9" t="str">
        <f ca="1">+WORLDCUP!BD63</f>
        <v>Japón</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España</v>
      </c>
      <c r="D79" s="9" t="str">
        <f ca="1">+WORLDCUP!BD64</f>
        <v>Bélgica</v>
      </c>
      <c r="E79" s="9" t="str">
        <f ca="1">+WORLDCUP!BD59</f>
        <v>Bosnia y Herzegovina</v>
      </c>
      <c r="F79" s="9" t="str">
        <f ca="1">+WORLDCUP!BD61</f>
        <v>Paraguay</v>
      </c>
      <c r="G79" s="9" t="str">
        <f ca="1">+WORLDCUP!BD67</f>
        <v>Jordania</v>
      </c>
      <c r="H79" s="9" t="str">
        <f ca="1">+WORLDCUP!BD63</f>
        <v>Japón</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España</v>
      </c>
      <c r="H80" s="9" t="str">
        <f ca="1">+WORLDCUP!BD63</f>
        <v>Japón</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España</v>
      </c>
      <c r="H81" s="9" t="str">
        <f ca="1">+WORLDCUP!BD63</f>
        <v>Japón</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España</v>
      </c>
      <c r="D82" s="9" t="str">
        <f ca="1">+WORLDCUP!BD64</f>
        <v>Bélgica</v>
      </c>
      <c r="E82" s="9" t="str">
        <f ca="1">+WORLDCUP!BD59</f>
        <v>Bosnia y Herzegovina</v>
      </c>
      <c r="F82" s="9" t="str">
        <f ca="1">+WORLDCUP!BD61</f>
        <v>Paraguay</v>
      </c>
      <c r="G82" s="9" t="str">
        <f ca="1">+WORLDCUP!BD67</f>
        <v>Jordania</v>
      </c>
      <c r="H82" s="9" t="str">
        <f ca="1">+WORLDCUP!BD63</f>
        <v>Japón</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España</v>
      </c>
      <c r="D83" s="9" t="str">
        <f ca="1">+WORLDCUP!BD67</f>
        <v>Jordania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España</v>
      </c>
      <c r="D84" s="9" t="str">
        <f ca="1">+WORLDCUP!BD67</f>
        <v>Jordania</v>
      </c>
      <c r="E84" s="9" t="str">
        <f ca="1">+WORLDCUP!BD59</f>
        <v>Bosnia y Herzegovina</v>
      </c>
      <c r="F84" s="9" t="str">
        <f ca="1">+WORLDCUP!BD60</f>
        <v>Escocia</v>
      </c>
      <c r="G84" s="9" t="str">
        <f ca="1">+WORLDCUP!BD66</f>
        <v>Senegal</v>
      </c>
      <c r="H84" s="9" t="str">
        <f ca="1">+WORLDCUP!BD63</f>
        <v>Japón</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Jordania</v>
      </c>
      <c r="H85" s="9" t="str">
        <f ca="1">+WORLDCUP!BD63</f>
        <v>Japón</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España</v>
      </c>
      <c r="D86" s="9" t="str">
        <f ca="1">+WORLDCUP!BD64</f>
        <v>Bélgica</v>
      </c>
      <c r="E86" s="9" t="str">
        <f ca="1">+WORLDCUP!BD59</f>
        <v>Bosnia y Herzegovina</v>
      </c>
      <c r="F86" s="9" t="str">
        <f ca="1">+WORLDCUP!BD60</f>
        <v>Escocia</v>
      </c>
      <c r="G86" s="9" t="str">
        <f ca="1">+WORLDCUP!BD67</f>
        <v>Jordania</v>
      </c>
      <c r="H86" s="9" t="str">
        <f ca="1">+WORLDCUP!BD63</f>
        <v>Japón</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España</v>
      </c>
      <c r="D87" s="9" t="str">
        <f ca="1">+WORLDCUP!BD64</f>
        <v>Bélgica</v>
      </c>
      <c r="E87" s="9" t="str">
        <f ca="1">+WORLDCUP!BD59</f>
        <v>Bosnia y Herzegovina</v>
      </c>
      <c r="F87" s="9" t="str">
        <f ca="1">+WORLDCUP!BD60</f>
        <v>Escocia</v>
      </c>
      <c r="G87" s="9" t="str">
        <f ca="1">+WORLDCUP!BD66</f>
        <v>Senegal</v>
      </c>
      <c r="H87" s="9" t="str">
        <f ca="1">+WORLDCUP!BD63</f>
        <v>Japón</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España</v>
      </c>
      <c r="D88" s="9" t="str">
        <f ca="1">+WORLDCUP!BD64</f>
        <v>Bélgica</v>
      </c>
      <c r="E88" s="9" t="str">
        <f ca="1">+WORLDCUP!BD59</f>
        <v>Bosnia y Herzegovina</v>
      </c>
      <c r="F88" s="9" t="str">
        <f ca="1">+WORLDCUP!BD60</f>
        <v>Escocia</v>
      </c>
      <c r="G88" s="9" t="str">
        <f ca="1">+WORLDCUP!BD67</f>
        <v>Jordania</v>
      </c>
      <c r="H88" s="9" t="str">
        <f ca="1">+WORLDCUP!BD63</f>
        <v>Japón</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España</v>
      </c>
      <c r="D89" s="9" t="str">
        <f ca="1">+WORLDCUP!BD64</f>
        <v>Bélgica</v>
      </c>
      <c r="E89" s="9" t="str">
        <f ca="1">+WORLDCUP!BD59</f>
        <v>Bosnia y Herzegovina</v>
      </c>
      <c r="F89" s="9" t="str">
        <f ca="1">+WORLDCUP!BD60</f>
        <v>Escocia</v>
      </c>
      <c r="G89" s="9" t="str">
        <f ca="1">+WORLDCUP!BD67</f>
        <v>Jordania</v>
      </c>
      <c r="H89" s="9" t="str">
        <f ca="1">+WORLDCUP!BD63</f>
        <v>Japón</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España</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España</v>
      </c>
      <c r="H92" s="9" t="str">
        <f ca="1">+WORLDCUP!BD64</f>
        <v>Bélgica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España</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España</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España</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Japón</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España</v>
      </c>
      <c r="H97" s="9" t="str">
        <f ca="1">+WORLDCUP!BD63</f>
        <v>Japón</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España</v>
      </c>
      <c r="H98" s="9" t="str">
        <f ca="1">+WORLDCUP!BD63</f>
        <v>Japón</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España</v>
      </c>
      <c r="H99" s="9" t="str">
        <f ca="1">+WORLDCUP!BD63</f>
        <v>Japón</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España</v>
      </c>
      <c r="H100" s="9" t="str">
        <f ca="1">+WORLDCUP!BD63</f>
        <v>Japón</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Jordania</v>
      </c>
      <c r="H101" s="9" t="str">
        <f ca="1">+WORLDCUP!BD63</f>
        <v>Japón</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Japón</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Jordania</v>
      </c>
      <c r="H103" s="9" t="str">
        <f ca="1">+WORLDCUP!BD63</f>
        <v>Japón</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Jordania</v>
      </c>
      <c r="H104" s="9" t="str">
        <f ca="1">+WORLDCUP!BD63</f>
        <v>Japón</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España</v>
      </c>
      <c r="H105" s="9" t="str">
        <f ca="1">+WORLDCUP!BD63</f>
        <v>Japón</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España</v>
      </c>
      <c r="D106" s="9" t="str">
        <f ca="1">+WORLDCUP!BD64</f>
        <v>Bélgica</v>
      </c>
      <c r="E106" s="9" t="str">
        <f ca="1">+WORLDCUP!BD59</f>
        <v>Bosnia y Herzegovina</v>
      </c>
      <c r="F106" s="9" t="str">
        <f ca="1">+WORLDCUP!BD60</f>
        <v>Escocia</v>
      </c>
      <c r="G106" s="9" t="str">
        <f ca="1">+WORLDCUP!BD67</f>
        <v>Jordania</v>
      </c>
      <c r="H106" s="9" t="str">
        <f ca="1">+WORLDCUP!BD63</f>
        <v>Japón</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España</v>
      </c>
      <c r="D107" s="9" t="str">
        <f ca="1">+WORLDCUP!BD64</f>
        <v>Bélgica</v>
      </c>
      <c r="E107" s="9" t="str">
        <f ca="1">+WORLDCUP!BD59</f>
        <v>Bosnia y Herzegovina</v>
      </c>
      <c r="F107" s="9" t="str">
        <f ca="1">+WORLDCUP!BD60</f>
        <v>Escocia</v>
      </c>
      <c r="G107" s="9" t="str">
        <f ca="1">+WORLDCUP!BD67</f>
        <v>Jordania</v>
      </c>
      <c r="H107" s="9" t="str">
        <f ca="1">+WORLDCUP!BD63</f>
        <v>Japón</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España</v>
      </c>
      <c r="H108" s="9" t="str">
        <f ca="1">+WORLDCUP!BD63</f>
        <v>Japón</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España</v>
      </c>
      <c r="H109" s="9" t="str">
        <f ca="1">+WORLDCUP!BD63</f>
        <v>Japón</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España</v>
      </c>
      <c r="D110" s="9" t="str">
        <f ca="1">+WORLDCUP!BD64</f>
        <v>Bélgica</v>
      </c>
      <c r="E110" s="9" t="str">
        <f ca="1">+WORLDCUP!BD59</f>
        <v>Bosnia y Herzegovina</v>
      </c>
      <c r="F110" s="9" t="str">
        <f ca="1">+WORLDCUP!BD60</f>
        <v>Escocia</v>
      </c>
      <c r="G110" s="9" t="str">
        <f ca="1">+WORLDCUP!BD67</f>
        <v>Jordania</v>
      </c>
      <c r="H110" s="9" t="str">
        <f ca="1">+WORLDCUP!BD63</f>
        <v>Japón</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España</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Jordania</v>
      </c>
      <c r="H112" s="9" t="str">
        <f ca="1">+WORLDCUP!BD61</f>
        <v>Paraguay</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España</v>
      </c>
      <c r="D113" s="9" t="str">
        <f ca="1">+WORLDCUP!BD64</f>
        <v>Bélgica</v>
      </c>
      <c r="E113" s="9" t="str">
        <f ca="1">+WORLDCUP!BD59</f>
        <v>Bosnia y Herzegovina</v>
      </c>
      <c r="F113" s="9" t="str">
        <f ca="1">+WORLDCUP!BD60</f>
        <v>Escocia</v>
      </c>
      <c r="G113" s="9" t="str">
        <f ca="1">+WORLDCUP!BD67</f>
        <v>Jordania</v>
      </c>
      <c r="H113" s="9" t="str">
        <f ca="1">+WORLDCUP!BD61</f>
        <v>Paraguay</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España</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España</v>
      </c>
      <c r="D115" s="9" t="str">
        <f ca="1">+WORLDCUP!BD64</f>
        <v>Bélgica</v>
      </c>
      <c r="E115" s="9" t="str">
        <f ca="1">+WORLDCUP!BD59</f>
        <v>Bosnia y Herzegovina</v>
      </c>
      <c r="F115" s="9" t="str">
        <f ca="1">+WORLDCUP!BD60</f>
        <v>Escocia</v>
      </c>
      <c r="G115" s="9" t="str">
        <f ca="1">+WORLDCUP!BD67</f>
        <v>Jordania</v>
      </c>
      <c r="H115" s="9" t="str">
        <f ca="1">+WORLDCUP!BD61</f>
        <v>Paraguay</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España</v>
      </c>
      <c r="D116" s="9" t="str">
        <f ca="1">+WORLDCUP!BD64</f>
        <v>Bélgica</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Japón</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España</v>
      </c>
      <c r="H118" s="9" t="str">
        <f ca="1">+WORLDCUP!BD63</f>
        <v>Japón</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España</v>
      </c>
      <c r="H119" s="9" t="str">
        <f ca="1">+WORLDCUP!BD63</f>
        <v>Japón</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España</v>
      </c>
      <c r="H120" s="9" t="str">
        <f ca="1">+WORLDCUP!BD63</f>
        <v>Japón</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España</v>
      </c>
      <c r="H121" s="9" t="str">
        <f ca="1">+WORLDCUP!BD63</f>
        <v>Japón</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Jordania</v>
      </c>
      <c r="H122" s="9" t="str">
        <f ca="1">+WORLDCUP!BD63</f>
        <v>Japón</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Japón</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Jordania</v>
      </c>
      <c r="H124" s="9" t="str">
        <f ca="1">+WORLDCUP!BD63</f>
        <v>Japón</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Jordania</v>
      </c>
      <c r="H125" s="9" t="str">
        <f ca="1">+WORLDCUP!BD63</f>
        <v>Japón</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España</v>
      </c>
      <c r="H126" s="9" t="str">
        <f ca="1">+WORLDCUP!BD63</f>
        <v>Japón</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España</v>
      </c>
      <c r="H127" s="9" t="str">
        <f ca="1">+WORLDCUP!BD63</f>
        <v>Japón</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España</v>
      </c>
      <c r="D128" s="9" t="str">
        <f ca="1">+WORLDCUP!BD64</f>
        <v>Bélgica</v>
      </c>
      <c r="E128" s="9" t="str">
        <f ca="1">+WORLDCUP!BD59</f>
        <v>Bosnia y Herzegovina</v>
      </c>
      <c r="F128" s="9" t="str">
        <f ca="1">+WORLDCUP!BD60</f>
        <v>Escocia</v>
      </c>
      <c r="G128" s="9" t="str">
        <f ca="1">+WORLDCUP!BD67</f>
        <v>Jordania</v>
      </c>
      <c r="H128" s="9" t="str">
        <f ca="1">+WORLDCUP!BD63</f>
        <v>Japón</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España</v>
      </c>
      <c r="H129" s="9" t="str">
        <f ca="1">+WORLDCUP!BD63</f>
        <v>Japón</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España</v>
      </c>
      <c r="H130" s="9" t="str">
        <f ca="1">+WORLDCUP!BD63</f>
        <v>Japón</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España</v>
      </c>
      <c r="D131" s="9" t="str">
        <f ca="1">+WORLDCUP!BD64</f>
        <v>Bélgica</v>
      </c>
      <c r="E131" s="9" t="str">
        <f ca="1">+WORLDCUP!BD59</f>
        <v>Bosnia y Herzegovina</v>
      </c>
      <c r="F131" s="9" t="str">
        <f ca="1">+WORLDCUP!BD60</f>
        <v>Escocia</v>
      </c>
      <c r="G131" s="9" t="str">
        <f ca="1">+WORLDCUP!BD67</f>
        <v>Jordania</v>
      </c>
      <c r="H131" s="9" t="str">
        <f ca="1">+WORLDCUP!BD63</f>
        <v>Japón</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España</v>
      </c>
      <c r="H133" s="9" t="str">
        <f ca="1">+WORLDCUP!BD61</f>
        <v>Paraguay</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España</v>
      </c>
      <c r="H134" s="9" t="str">
        <f ca="1">+WORLDCUP!BD61</f>
        <v>Paraguay</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España</v>
      </c>
      <c r="H135" s="9" t="str">
        <f ca="1">+WORLDCUP!BD61</f>
        <v>Paraguay</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España</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Jordania</v>
      </c>
      <c r="H137" s="9" t="str">
        <f ca="1">+WORLDCUP!BD61</f>
        <v>Paraguay</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Jordania</v>
      </c>
      <c r="H139" s="9" t="str">
        <f ca="1">+WORLDCUP!BD61</f>
        <v>Paraguay</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España</v>
      </c>
      <c r="H141" s="9" t="str">
        <f ca="1">+WORLDCUP!BD61</f>
        <v>Paraguay</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España</v>
      </c>
      <c r="D142" s="9" t="str">
        <f ca="1">+WORLDCUP!BD64</f>
        <v>Bélgica</v>
      </c>
      <c r="E142" s="9" t="str">
        <f ca="1">+WORLDCUP!BD59</f>
        <v>Bosnia y Herzegovina</v>
      </c>
      <c r="F142" s="9" t="str">
        <f ca="1">+WORLDCUP!BD60</f>
        <v>Escocia</v>
      </c>
      <c r="G142" s="9" t="str">
        <f ca="1">+WORLDCUP!BD67</f>
        <v>Jordania</v>
      </c>
      <c r="H142" s="9" t="str">
        <f ca="1">+WORLDCUP!BD61</f>
        <v>Paraguay</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España</v>
      </c>
      <c r="D143" s="9" t="str">
        <f ca="1">+WORLDCUP!BD64</f>
        <v>Bélgica</v>
      </c>
      <c r="E143" s="9" t="str">
        <f ca="1">+WORLDCUP!BD59</f>
        <v>Bosnia y Herzegovina</v>
      </c>
      <c r="F143" s="9" t="str">
        <f ca="1">+WORLDCUP!BD60</f>
        <v>Escocia</v>
      </c>
      <c r="G143" s="9" t="str">
        <f ca="1">+WORLDCUP!BD67</f>
        <v>Jordania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España</v>
      </c>
      <c r="H144" s="9" t="str">
        <f ca="1">+WORLDCUP!BD61</f>
        <v>Paraguay</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España</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España</v>
      </c>
      <c r="D146" s="9" t="str">
        <f ca="1">+WORLDCUP!BD64</f>
        <v>Bélgica</v>
      </c>
      <c r="E146" s="9" t="str">
        <f ca="1">+WORLDCUP!BD59</f>
        <v>Bosnia y Herzegovina</v>
      </c>
      <c r="F146" s="9" t="str">
        <f ca="1">+WORLDCUP!BD60</f>
        <v>Escocia</v>
      </c>
      <c r="G146" s="9" t="str">
        <f ca="1">+WORLDCUP!BD67</f>
        <v>Jordania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Ecuador</v>
      </c>
      <c r="H147" s="9" t="str">
        <f ca="1">+WORLDCUP!BD63</f>
        <v>Japón</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Japón</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Ecuador</v>
      </c>
      <c r="H149" s="9" t="str">
        <f ca="1">+WORLDCUP!BD63</f>
        <v>Japón</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Ecuador</v>
      </c>
      <c r="H150" s="9" t="str">
        <f ca="1">+WORLDCUP!BD63</f>
        <v>Japón</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España</v>
      </c>
      <c r="H151" s="9" t="str">
        <f ca="1">+WORLDCUP!BD63</f>
        <v>Japón</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España</v>
      </c>
      <c r="H152" s="9" t="str">
        <f ca="1">+WORLDCUP!BD63</f>
        <v>Japón</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España</v>
      </c>
      <c r="H153" s="9" t="str">
        <f ca="1">+WORLDCUP!BD63</f>
        <v>Japón</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España</v>
      </c>
      <c r="H154" s="9" t="str">
        <f ca="1">+WORLDCUP!BD63</f>
        <v>Japón</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España</v>
      </c>
      <c r="H155" s="9" t="str">
        <f ca="1">+WORLDCUP!BD63</f>
        <v>Japón</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España</v>
      </c>
      <c r="H156" s="9" t="str">
        <f ca="1">+WORLDCUP!BD63</f>
        <v>Japón</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Japón</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Jordania</v>
      </c>
      <c r="H158" s="9" t="str">
        <f ca="1">+WORLDCUP!BD63</f>
        <v>Japón</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Jordania</v>
      </c>
      <c r="H159" s="9" t="str">
        <f ca="1">+WORLDCUP!BD63</f>
        <v>Japón</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Japón</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Japón</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Jordania</v>
      </c>
      <c r="H162" s="9" t="str">
        <f ca="1">+WORLDCUP!BD63</f>
        <v>Japón</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España</v>
      </c>
      <c r="H163" s="9" t="str">
        <f ca="1">+WORLDCUP!BD63</f>
        <v>Japón</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España</v>
      </c>
      <c r="H164" s="9" t="str">
        <f ca="1">+WORLDCUP!BD63</f>
        <v>Japón</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España</v>
      </c>
      <c r="D165" s="9" t="str">
        <f ca="1">+WORLDCUP!BD64</f>
        <v>Bélgica</v>
      </c>
      <c r="E165" s="9" t="str">
        <f ca="1">+WORLDCUP!BD59</f>
        <v>Bosnia y Herzegovina</v>
      </c>
      <c r="F165" s="9" t="str">
        <f ca="1">+WORLDCUP!BD60</f>
        <v>Escocia</v>
      </c>
      <c r="G165" s="9" t="str">
        <f ca="1">+WORLDCUP!BD67</f>
        <v>Jordania</v>
      </c>
      <c r="H165" s="9" t="str">
        <f ca="1">+WORLDCUP!BD63</f>
        <v>Japón</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España</v>
      </c>
      <c r="H166" s="9" t="str">
        <f ca="1">+WORLDCUP!BD63</f>
        <v>Japón</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España</v>
      </c>
      <c r="D175" s="9" t="str">
        <f ca="1">+WORLDCUP!BD67</f>
        <v>Jordania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España</v>
      </c>
      <c r="D176" s="9" t="str">
        <f ca="1">+WORLDCUP!BD67</f>
        <v>Jordania</v>
      </c>
      <c r="E176" s="9" t="str">
        <f ca="1">+WORLDCUP!BD66</f>
        <v>Senegal</v>
      </c>
      <c r="F176" s="9" t="str">
        <f ca="1">+WORLDCUP!BD61</f>
        <v>Paraguay</v>
      </c>
      <c r="G176" s="9" t="str">
        <f ca="1">+WORLDCUP!BD58</f>
        <v>República Checa</v>
      </c>
      <c r="H176" s="9" t="str">
        <f ca="1">+WORLDCUP!BD63</f>
        <v>Japón</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Paraguay</v>
      </c>
      <c r="G177" s="9" t="str">
        <f ca="1">+WORLDCUP!BD58</f>
        <v>República Checa</v>
      </c>
      <c r="H177" s="9" t="str">
        <f ca="1">+WORLDCUP!BD63</f>
        <v>Japón</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España</v>
      </c>
      <c r="D178" s="9" t="str">
        <f ca="1">+WORLDCUP!BD64</f>
        <v>Bélgica</v>
      </c>
      <c r="E178" s="9" t="str">
        <f ca="1">+WORLDCUP!BD67</f>
        <v>Jordania</v>
      </c>
      <c r="F178" s="9" t="str">
        <f ca="1">+WORLDCUP!BD61</f>
        <v>Paraguay</v>
      </c>
      <c r="G178" s="9" t="str">
        <f ca="1">+WORLDCUP!BD58</f>
        <v>República Checa</v>
      </c>
      <c r="H178" s="9" t="str">
        <f ca="1">+WORLDCUP!BD63</f>
        <v>Japón</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España</v>
      </c>
      <c r="D179" s="9" t="str">
        <f ca="1">+WORLDCUP!BD64</f>
        <v>Bélgica</v>
      </c>
      <c r="E179" s="9" t="str">
        <f ca="1">+WORLDCUP!BD66</f>
        <v>Senegal</v>
      </c>
      <c r="F179" s="9" t="str">
        <f ca="1">+WORLDCUP!BD61</f>
        <v>Paraguay</v>
      </c>
      <c r="G179" s="9" t="str">
        <f ca="1">+WORLDCUP!BD58</f>
        <v>República Checa</v>
      </c>
      <c r="H179" s="9" t="str">
        <f ca="1">+WORLDCUP!BD63</f>
        <v>Japón</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España</v>
      </c>
      <c r="D180" s="9" t="str">
        <f ca="1">+WORLDCUP!BD64</f>
        <v>Bélgica</v>
      </c>
      <c r="E180" s="9" t="str">
        <f ca="1">+WORLDCUP!BD67</f>
        <v>Jordania</v>
      </c>
      <c r="F180" s="9" t="str">
        <f ca="1">+WORLDCUP!BD61</f>
        <v>Paraguay</v>
      </c>
      <c r="G180" s="9" t="str">
        <f ca="1">+WORLDCUP!BD58</f>
        <v>República Checa</v>
      </c>
      <c r="H180" s="9" t="str">
        <f ca="1">+WORLDCUP!BD63</f>
        <v>Japón</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España</v>
      </c>
      <c r="D181" s="9" t="str">
        <f ca="1">+WORLDCUP!BD64</f>
        <v>Bélgica</v>
      </c>
      <c r="E181" s="9" t="str">
        <f ca="1">+WORLDCUP!BD67</f>
        <v>Jordania</v>
      </c>
      <c r="F181" s="9" t="str">
        <f ca="1">+WORLDCUP!BD61</f>
        <v>Paraguay</v>
      </c>
      <c r="G181" s="9" t="str">
        <f ca="1">+WORLDCUP!BD58</f>
        <v>República Checa</v>
      </c>
      <c r="H181" s="9" t="str">
        <f ca="1">+WORLDCUP!BD63</f>
        <v>Japón</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Paraguay</v>
      </c>
      <c r="G182" s="9" t="str">
        <f ca="1">+WORLDCUP!BD58</f>
        <v>República Checa</v>
      </c>
      <c r="H182" s="9" t="str">
        <f ca="1">+WORLDCUP!BD65</f>
        <v>España</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Paraguay</v>
      </c>
      <c r="G184" s="9" t="str">
        <f ca="1">+WORLDCUP!BD58</f>
        <v>República Checa</v>
      </c>
      <c r="H184" s="9" t="str">
        <f ca="1">+WORLDCUP!BD65</f>
        <v>España</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España</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Paraguay</v>
      </c>
      <c r="G186" s="9" t="str">
        <f ca="1">+WORLDCUP!BD58</f>
        <v>República Checa</v>
      </c>
      <c r="H186" s="9" t="str">
        <f ca="1">+WORLDCUP!BD65</f>
        <v>España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Paraguay</v>
      </c>
      <c r="G187" s="9" t="str">
        <f ca="1">+WORLDCUP!BD58</f>
        <v>República Checa</v>
      </c>
      <c r="H187" s="9" t="str">
        <f ca="1">+WORLDCUP!BD65</f>
        <v>España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Paraguay</v>
      </c>
      <c r="G188" s="9" t="str">
        <f ca="1">+WORLDCUP!BD58</f>
        <v>República Checa</v>
      </c>
      <c r="H188" s="9" t="str">
        <f ca="1">+WORLDCUP!BD63</f>
        <v>Japón</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España</v>
      </c>
      <c r="D189" s="9" t="str">
        <f ca="1">+WORLDCUP!BD67</f>
        <v>Jordania</v>
      </c>
      <c r="E189" s="9" t="str">
        <f ca="1">+WORLDCUP!BD62</f>
        <v>Ecuador</v>
      </c>
      <c r="F189" s="9" t="str">
        <f ca="1">+WORLDCUP!BD61</f>
        <v>Paraguay</v>
      </c>
      <c r="G189" s="9" t="str">
        <f ca="1">+WORLDCUP!BD58</f>
        <v>República Checa</v>
      </c>
      <c r="H189" s="9" t="str">
        <f ca="1">+WORLDCUP!BD63</f>
        <v>Japón</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España</v>
      </c>
      <c r="D190" s="9" t="str">
        <f ca="1">+WORLDCUP!BD62</f>
        <v>Ecuador</v>
      </c>
      <c r="E190" s="9" t="str">
        <f ca="1">+WORLDCUP!BD66</f>
        <v>Senegal</v>
      </c>
      <c r="F190" s="9" t="str">
        <f ca="1">+WORLDCUP!BD61</f>
        <v>Paraguay</v>
      </c>
      <c r="G190" s="9" t="str">
        <f ca="1">+WORLDCUP!BD58</f>
        <v>República Checa</v>
      </c>
      <c r="H190" s="9" t="str">
        <f ca="1">+WORLDCUP!BD63</f>
        <v>Japón</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España</v>
      </c>
      <c r="D191" s="9" t="str">
        <f ca="1">+WORLDCUP!BD67</f>
        <v>Jordania</v>
      </c>
      <c r="E191" s="9" t="str">
        <f ca="1">+WORLDCUP!BD62</f>
        <v>Ecuador</v>
      </c>
      <c r="F191" s="9" t="str">
        <f ca="1">+WORLDCUP!BD61</f>
        <v>Paraguay</v>
      </c>
      <c r="G191" s="9" t="str">
        <f ca="1">+WORLDCUP!BD58</f>
        <v>República Checa</v>
      </c>
      <c r="H191" s="9" t="str">
        <f ca="1">+WORLDCUP!BD63</f>
        <v>Japón</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España</v>
      </c>
      <c r="D192" s="9" t="str">
        <f ca="1">+WORLDCUP!BD67</f>
        <v>Jordania</v>
      </c>
      <c r="E192" s="9" t="str">
        <f ca="1">+WORLDCUP!BD62</f>
        <v>Ecuador</v>
      </c>
      <c r="F192" s="9" t="str">
        <f ca="1">+WORLDCUP!BD61</f>
        <v>Paraguay</v>
      </c>
      <c r="G192" s="9" t="str">
        <f ca="1">+WORLDCUP!BD58</f>
        <v>República Checa</v>
      </c>
      <c r="H192" s="9" t="str">
        <f ca="1">+WORLDCUP!BD63</f>
        <v>Japón</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Paraguay</v>
      </c>
      <c r="G193" s="9" t="str">
        <f ca="1">+WORLDCUP!BD58</f>
        <v>República Checa</v>
      </c>
      <c r="H193" s="9" t="str">
        <f ca="1">+WORLDCUP!BD63</f>
        <v>Japón</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Japón</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Paraguay</v>
      </c>
      <c r="G195" s="9" t="str">
        <f ca="1">+WORLDCUP!BD58</f>
        <v>República Checa</v>
      </c>
      <c r="H195" s="9" t="str">
        <f ca="1">+WORLDCUP!BD63</f>
        <v>Japón</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Paraguay</v>
      </c>
      <c r="G196" s="9" t="str">
        <f ca="1">+WORLDCUP!BD58</f>
        <v>República Checa</v>
      </c>
      <c r="H196" s="9" t="str">
        <f ca="1">+WORLDCUP!BD63</f>
        <v>Japón</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España</v>
      </c>
      <c r="D197" s="9" t="str">
        <f ca="1">+WORLDCUP!BD64</f>
        <v>Bélgica</v>
      </c>
      <c r="E197" s="9" t="str">
        <f ca="1">+WORLDCUP!BD62</f>
        <v>Ecuador</v>
      </c>
      <c r="F197" s="9" t="str">
        <f ca="1">+WORLDCUP!BD61</f>
        <v>Paraguay</v>
      </c>
      <c r="G197" s="9" t="str">
        <f ca="1">+WORLDCUP!BD58</f>
        <v>República Checa</v>
      </c>
      <c r="H197" s="9" t="str">
        <f ca="1">+WORLDCUP!BD63</f>
        <v>Japón</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España</v>
      </c>
      <c r="D198" s="9" t="str">
        <f ca="1">+WORLDCUP!BD64</f>
        <v>Bélgica</v>
      </c>
      <c r="E198" s="9" t="str">
        <f ca="1">+WORLDCUP!BD67</f>
        <v>Jordania</v>
      </c>
      <c r="F198" s="9" t="str">
        <f ca="1">+WORLDCUP!BD61</f>
        <v>Paraguay</v>
      </c>
      <c r="G198" s="9" t="str">
        <f ca="1">+WORLDCUP!BD58</f>
        <v>República Checa</v>
      </c>
      <c r="H198" s="9" t="str">
        <f ca="1">+WORLDCUP!BD63</f>
        <v>Japón</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España</v>
      </c>
      <c r="D199" s="9" t="str">
        <f ca="1">+WORLDCUP!BD64</f>
        <v>Bélgica</v>
      </c>
      <c r="E199" s="9" t="str">
        <f ca="1">+WORLDCUP!BD67</f>
        <v>Jordania</v>
      </c>
      <c r="F199" s="9" t="str">
        <f ca="1">+WORLDCUP!BD61</f>
        <v>Paraguay</v>
      </c>
      <c r="G199" s="9" t="str">
        <f ca="1">+WORLDCUP!BD58</f>
        <v>República Checa</v>
      </c>
      <c r="H199" s="9" t="str">
        <f ca="1">+WORLDCUP!BD63</f>
        <v>Japón</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España</v>
      </c>
      <c r="D200" s="9" t="str">
        <f ca="1">+WORLDCUP!BD64</f>
        <v>Bélgica</v>
      </c>
      <c r="E200" s="9" t="str">
        <f ca="1">+WORLDCUP!BD62</f>
        <v>Ecuador</v>
      </c>
      <c r="F200" s="9" t="str">
        <f ca="1">+WORLDCUP!BD61</f>
        <v>Paraguay</v>
      </c>
      <c r="G200" s="9" t="str">
        <f ca="1">+WORLDCUP!BD58</f>
        <v>República Checa</v>
      </c>
      <c r="H200" s="9" t="str">
        <f ca="1">+WORLDCUP!BD63</f>
        <v>Japón</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España</v>
      </c>
      <c r="D201" s="9" t="str">
        <f ca="1">+WORLDCUP!BD64</f>
        <v>Bélgica</v>
      </c>
      <c r="E201" s="9" t="str">
        <f ca="1">+WORLDCUP!BD62</f>
        <v>Ecuador</v>
      </c>
      <c r="F201" s="9" t="str">
        <f ca="1">+WORLDCUP!BD61</f>
        <v>Paraguay</v>
      </c>
      <c r="G201" s="9" t="str">
        <f ca="1">+WORLDCUP!BD58</f>
        <v>República Checa</v>
      </c>
      <c r="H201" s="9" t="str">
        <f ca="1">+WORLDCUP!BD63</f>
        <v>Japón</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España</v>
      </c>
      <c r="D202" s="9" t="str">
        <f ca="1">+WORLDCUP!BD64</f>
        <v>Bélgica</v>
      </c>
      <c r="E202" s="9" t="str">
        <f ca="1">+WORLDCUP!BD67</f>
        <v>Jordania</v>
      </c>
      <c r="F202" s="9" t="str">
        <f ca="1">+WORLDCUP!BD61</f>
        <v>Paraguay</v>
      </c>
      <c r="G202" s="9" t="str">
        <f ca="1">+WORLDCUP!BD58</f>
        <v>República Checa</v>
      </c>
      <c r="H202" s="9" t="str">
        <f ca="1">+WORLDCUP!BD63</f>
        <v>Japón</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España</v>
      </c>
      <c r="D203" s="9" t="str">
        <f ca="1">+WORLDCUP!BD67</f>
        <v>Jordania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España</v>
      </c>
      <c r="D204" s="9" t="str">
        <f ca="1">+WORLDCUP!BD67</f>
        <v>Jordania</v>
      </c>
      <c r="E204" s="9" t="str">
        <f ca="1">+WORLDCUP!BD66</f>
        <v>Senegal</v>
      </c>
      <c r="F204" s="9" t="str">
        <f ca="1">+WORLDCUP!BD60</f>
        <v>Escocia</v>
      </c>
      <c r="G204" s="9" t="str">
        <f ca="1">+WORLDCUP!BD58</f>
        <v>República Checa</v>
      </c>
      <c r="H204" s="9" t="str">
        <f ca="1">+WORLDCUP!BD63</f>
        <v>Japón</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Escocia</v>
      </c>
      <c r="G205" s="9" t="str">
        <f ca="1">+WORLDCUP!BD58</f>
        <v>República Checa</v>
      </c>
      <c r="H205" s="9" t="str">
        <f ca="1">+WORLDCUP!BD63</f>
        <v>Japón</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España</v>
      </c>
      <c r="D206" s="9" t="str">
        <f ca="1">+WORLDCUP!BD64</f>
        <v>Bélgica</v>
      </c>
      <c r="E206" s="9" t="str">
        <f ca="1">+WORLDCUP!BD67</f>
        <v>Jordania</v>
      </c>
      <c r="F206" s="9" t="str">
        <f ca="1">+WORLDCUP!BD60</f>
        <v>Escocia</v>
      </c>
      <c r="G206" s="9" t="str">
        <f ca="1">+WORLDCUP!BD58</f>
        <v>República Checa</v>
      </c>
      <c r="H206" s="9" t="str">
        <f ca="1">+WORLDCUP!BD63</f>
        <v>Japón</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España</v>
      </c>
      <c r="D207" s="9" t="str">
        <f ca="1">+WORLDCUP!BD64</f>
        <v>Bélgica</v>
      </c>
      <c r="E207" s="9" t="str">
        <f ca="1">+WORLDCUP!BD66</f>
        <v>Senegal</v>
      </c>
      <c r="F207" s="9" t="str">
        <f ca="1">+WORLDCUP!BD60</f>
        <v>Escocia</v>
      </c>
      <c r="G207" s="9" t="str">
        <f ca="1">+WORLDCUP!BD58</f>
        <v>República Checa</v>
      </c>
      <c r="H207" s="9" t="str">
        <f ca="1">+WORLDCUP!BD63</f>
        <v>Japón</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España</v>
      </c>
      <c r="D208" s="9" t="str">
        <f ca="1">+WORLDCUP!BD64</f>
        <v>Bélgica</v>
      </c>
      <c r="E208" s="9" t="str">
        <f ca="1">+WORLDCUP!BD67</f>
        <v>Jordania</v>
      </c>
      <c r="F208" s="9" t="str">
        <f ca="1">+WORLDCUP!BD60</f>
        <v>Escocia</v>
      </c>
      <c r="G208" s="9" t="str">
        <f ca="1">+WORLDCUP!BD58</f>
        <v>República Checa</v>
      </c>
      <c r="H208" s="9" t="str">
        <f ca="1">+WORLDCUP!BD63</f>
        <v>Japón</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España</v>
      </c>
      <c r="D209" s="9" t="str">
        <f ca="1">+WORLDCUP!BD64</f>
        <v>Bélgica</v>
      </c>
      <c r="E209" s="9" t="str">
        <f ca="1">+WORLDCUP!BD67</f>
        <v>Jordania</v>
      </c>
      <c r="F209" s="9" t="str">
        <f ca="1">+WORLDCUP!BD60</f>
        <v>Escocia</v>
      </c>
      <c r="G209" s="9" t="str">
        <f ca="1">+WORLDCUP!BD58</f>
        <v>República Checa</v>
      </c>
      <c r="H209" s="9" t="str">
        <f ca="1">+WORLDCUP!BD63</f>
        <v>Japón</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España</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Escocia</v>
      </c>
      <c r="G212" s="9" t="str">
        <f ca="1">+WORLDCUP!BD58</f>
        <v>República Checa</v>
      </c>
      <c r="H212" s="9" t="str">
        <f ca="1">+WORLDCUP!BD65</f>
        <v>España</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España</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Escocia</v>
      </c>
      <c r="G214" s="9" t="str">
        <f ca="1">+WORLDCUP!BD58</f>
        <v>República Checa</v>
      </c>
      <c r="H214" s="9" t="str">
        <f ca="1">+WORLDCUP!BD65</f>
        <v>España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Escocia</v>
      </c>
      <c r="G215" s="9" t="str">
        <f ca="1">+WORLDCUP!BD58</f>
        <v>República Checa</v>
      </c>
      <c r="H215" s="9" t="str">
        <f ca="1">+WORLDCUP!BD65</f>
        <v>España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Japón</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España</v>
      </c>
      <c r="D217" s="9" t="str">
        <f ca="1">+WORLDCUP!BD67</f>
        <v>Jordania</v>
      </c>
      <c r="E217" s="9" t="str">
        <f ca="1">+WORLDCUP!BD62</f>
        <v>Ecuador</v>
      </c>
      <c r="F217" s="9" t="str">
        <f ca="1">+WORLDCUP!BD60</f>
        <v>Escocia</v>
      </c>
      <c r="G217" s="9" t="str">
        <f ca="1">+WORLDCUP!BD58</f>
        <v>República Checa</v>
      </c>
      <c r="H217" s="9" t="str">
        <f ca="1">+WORLDCUP!BD63</f>
        <v>Japón</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España</v>
      </c>
      <c r="D218" s="9" t="str">
        <f ca="1">+WORLDCUP!BD62</f>
        <v>Ecuador</v>
      </c>
      <c r="E218" s="9" t="str">
        <f ca="1">+WORLDCUP!BD66</f>
        <v>Senegal</v>
      </c>
      <c r="F218" s="9" t="str">
        <f ca="1">+WORLDCUP!BD60</f>
        <v>Escocia</v>
      </c>
      <c r="G218" s="9" t="str">
        <f ca="1">+WORLDCUP!BD58</f>
        <v>República Checa</v>
      </c>
      <c r="H218" s="9" t="str">
        <f ca="1">+WORLDCUP!BD63</f>
        <v>Japón</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España</v>
      </c>
      <c r="D219" s="9" t="str">
        <f ca="1">+WORLDCUP!BD67</f>
        <v>Jordania</v>
      </c>
      <c r="E219" s="9" t="str">
        <f ca="1">+WORLDCUP!BD62</f>
        <v>Ecuador</v>
      </c>
      <c r="F219" s="9" t="str">
        <f ca="1">+WORLDCUP!BD60</f>
        <v>Escocia</v>
      </c>
      <c r="G219" s="9" t="str">
        <f ca="1">+WORLDCUP!BD58</f>
        <v>República Checa</v>
      </c>
      <c r="H219" s="9" t="str">
        <f ca="1">+WORLDCUP!BD63</f>
        <v>Japón</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España</v>
      </c>
      <c r="D220" s="9" t="str">
        <f ca="1">+WORLDCUP!BD67</f>
        <v>Jordania</v>
      </c>
      <c r="E220" s="9" t="str">
        <f ca="1">+WORLDCUP!BD62</f>
        <v>Ecuador</v>
      </c>
      <c r="F220" s="9" t="str">
        <f ca="1">+WORLDCUP!BD60</f>
        <v>Escocia</v>
      </c>
      <c r="G220" s="9" t="str">
        <f ca="1">+WORLDCUP!BD58</f>
        <v>República Checa</v>
      </c>
      <c r="H220" s="9" t="str">
        <f ca="1">+WORLDCUP!BD63</f>
        <v>Japón</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Escocia</v>
      </c>
      <c r="G221" s="9" t="str">
        <f ca="1">+WORLDCUP!BD58</f>
        <v>República Checa</v>
      </c>
      <c r="H221" s="9" t="str">
        <f ca="1">+WORLDCUP!BD63</f>
        <v>Japón</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Japón</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Escocia</v>
      </c>
      <c r="G223" s="9" t="str">
        <f ca="1">+WORLDCUP!BD58</f>
        <v>República Checa</v>
      </c>
      <c r="H223" s="9" t="str">
        <f ca="1">+WORLDCUP!BD63</f>
        <v>Japón</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Escocia</v>
      </c>
      <c r="G224" s="9" t="str">
        <f ca="1">+WORLDCUP!BD58</f>
        <v>República Checa</v>
      </c>
      <c r="H224" s="9" t="str">
        <f ca="1">+WORLDCUP!BD63</f>
        <v>Japón</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España</v>
      </c>
      <c r="D225" s="9" t="str">
        <f ca="1">+WORLDCUP!BD64</f>
        <v>Bélgica</v>
      </c>
      <c r="E225" s="9" t="str">
        <f ca="1">+WORLDCUP!BD62</f>
        <v>Ecuador</v>
      </c>
      <c r="F225" s="9" t="str">
        <f ca="1">+WORLDCUP!BD60</f>
        <v>Escocia</v>
      </c>
      <c r="G225" s="9" t="str">
        <f ca="1">+WORLDCUP!BD58</f>
        <v>República Checa</v>
      </c>
      <c r="H225" s="9" t="str">
        <f ca="1">+WORLDCUP!BD63</f>
        <v>Japón</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España</v>
      </c>
      <c r="D226" s="9" t="str">
        <f ca="1">+WORLDCUP!BD64</f>
        <v>Bélgica</v>
      </c>
      <c r="E226" s="9" t="str">
        <f ca="1">+WORLDCUP!BD67</f>
        <v>Jordania</v>
      </c>
      <c r="F226" s="9" t="str">
        <f ca="1">+WORLDCUP!BD60</f>
        <v>Escocia</v>
      </c>
      <c r="G226" s="9" t="str">
        <f ca="1">+WORLDCUP!BD58</f>
        <v>República Checa</v>
      </c>
      <c r="H226" s="9" t="str">
        <f ca="1">+WORLDCUP!BD63</f>
        <v>Japón</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España</v>
      </c>
      <c r="D227" s="9" t="str">
        <f ca="1">+WORLDCUP!BD64</f>
        <v>Bélgica</v>
      </c>
      <c r="E227" s="9" t="str">
        <f ca="1">+WORLDCUP!BD67</f>
        <v>Jordania</v>
      </c>
      <c r="F227" s="9" t="str">
        <f ca="1">+WORLDCUP!BD60</f>
        <v>Escocia</v>
      </c>
      <c r="G227" s="9" t="str">
        <f ca="1">+WORLDCUP!BD58</f>
        <v>República Checa</v>
      </c>
      <c r="H227" s="9" t="str">
        <f ca="1">+WORLDCUP!BD63</f>
        <v>Japón</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España</v>
      </c>
      <c r="D228" s="9" t="str">
        <f ca="1">+WORLDCUP!BD64</f>
        <v>Bélgica</v>
      </c>
      <c r="E228" s="9" t="str">
        <f ca="1">+WORLDCUP!BD62</f>
        <v>Ecuador</v>
      </c>
      <c r="F228" s="9" t="str">
        <f ca="1">+WORLDCUP!BD60</f>
        <v>Escocia</v>
      </c>
      <c r="G228" s="9" t="str">
        <f ca="1">+WORLDCUP!BD58</f>
        <v>República Checa</v>
      </c>
      <c r="H228" s="9" t="str">
        <f ca="1">+WORLDCUP!BD63</f>
        <v>Japón</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España</v>
      </c>
      <c r="D229" s="9" t="str">
        <f ca="1">+WORLDCUP!BD64</f>
        <v>Bélgica</v>
      </c>
      <c r="E229" s="9" t="str">
        <f ca="1">+WORLDCUP!BD62</f>
        <v>Ecuador</v>
      </c>
      <c r="F229" s="9" t="str">
        <f ca="1">+WORLDCUP!BD60</f>
        <v>Escocia</v>
      </c>
      <c r="G229" s="9" t="str">
        <f ca="1">+WORLDCUP!BD58</f>
        <v>República Checa</v>
      </c>
      <c r="H229" s="9" t="str">
        <f ca="1">+WORLDCUP!BD63</f>
        <v>Japón</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España</v>
      </c>
      <c r="D230" s="9" t="str">
        <f ca="1">+WORLDCUP!BD64</f>
        <v>Bélgica</v>
      </c>
      <c r="E230" s="9" t="str">
        <f ca="1">+WORLDCUP!BD67</f>
        <v>Jordania</v>
      </c>
      <c r="F230" s="9" t="str">
        <f ca="1">+WORLDCUP!BD60</f>
        <v>Escocia</v>
      </c>
      <c r="G230" s="9" t="str">
        <f ca="1">+WORLDCUP!BD58</f>
        <v>República Checa</v>
      </c>
      <c r="H230" s="9" t="str">
        <f ca="1">+WORLDCUP!BD63</f>
        <v>Japón</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España</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España</v>
      </c>
      <c r="D233" s="9" t="str">
        <f ca="1">+WORLDCUP!BD64</f>
        <v>Bélgica</v>
      </c>
      <c r="E233" s="9" t="str">
        <f ca="1">+WORLDCUP!BD67</f>
        <v>Jordania</v>
      </c>
      <c r="F233" s="9" t="str">
        <f ca="1">+WORLDCUP!BD60</f>
        <v>Escocia</v>
      </c>
      <c r="G233" s="9" t="str">
        <f ca="1">+WORLDCUP!BD58</f>
        <v>República Checa</v>
      </c>
      <c r="H233" s="9" t="str">
        <f ca="1">+WORLDCUP!BD61</f>
        <v>Paraguay</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España</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España</v>
      </c>
      <c r="D235" s="9" t="str">
        <f ca="1">+WORLDCUP!BD64</f>
        <v>Bélgica</v>
      </c>
      <c r="E235" s="9" t="str">
        <f ca="1">+WORLDCUP!BD67</f>
        <v>Jordania</v>
      </c>
      <c r="F235" s="9" t="str">
        <f ca="1">+WORLDCUP!BD60</f>
        <v>Escocia</v>
      </c>
      <c r="G235" s="9" t="str">
        <f ca="1">+WORLDCUP!BD58</f>
        <v>República Checa</v>
      </c>
      <c r="H235" s="9" t="str">
        <f ca="1">+WORLDCUP!BD61</f>
        <v>Paraguay</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España</v>
      </c>
      <c r="D236" s="9" t="str">
        <f ca="1">+WORLDCUP!BD64</f>
        <v>Bélgica</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Japón</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España</v>
      </c>
      <c r="D238" s="9" t="str">
        <f ca="1">+WORLDCUP!BD67</f>
        <v>Jordania</v>
      </c>
      <c r="E238" s="9" t="str">
        <f ca="1">+WORLDCUP!BD63</f>
        <v>Japón</v>
      </c>
      <c r="F238" s="9" t="str">
        <f ca="1">+WORLDCUP!BD60</f>
        <v>Escocia</v>
      </c>
      <c r="G238" s="9" t="str">
        <f ca="1">+WORLDCUP!BD58</f>
        <v>República Checa</v>
      </c>
      <c r="H238" s="9" t="str">
        <f ca="1">+WORLDCUP!BD61</f>
        <v>Paraguay</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España</v>
      </c>
      <c r="D239" s="9" t="str">
        <f ca="1">+WORLDCUP!BD63</f>
        <v>Japón</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España</v>
      </c>
      <c r="D240" s="9" t="str">
        <f ca="1">+WORLDCUP!BD67</f>
        <v>Jordania</v>
      </c>
      <c r="E240" s="9" t="str">
        <f ca="1">+WORLDCUP!BD63</f>
        <v>Japón</v>
      </c>
      <c r="F240" s="9" t="str">
        <f ca="1">+WORLDCUP!BD60</f>
        <v>Escocia</v>
      </c>
      <c r="G240" s="9" t="str">
        <f ca="1">+WORLDCUP!BD58</f>
        <v>República Checa</v>
      </c>
      <c r="H240" s="9" t="str">
        <f ca="1">+WORLDCUP!BD61</f>
        <v>Paraguay</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España</v>
      </c>
      <c r="D241" s="9" t="str">
        <f ca="1">+WORLDCUP!BD67</f>
        <v>Jordania</v>
      </c>
      <c r="E241" s="9" t="str">
        <f ca="1">+WORLDCUP!BD63</f>
        <v>Japón</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Bélgica</v>
      </c>
      <c r="E242" s="9" t="str">
        <f ca="1">+WORLDCUP!BD67</f>
        <v>Jordania</v>
      </c>
      <c r="F242" s="9" t="str">
        <f ca="1">+WORLDCUP!BD61</f>
        <v>Paraguay</v>
      </c>
      <c r="G242" s="9" t="str">
        <f ca="1">+WORLDCUP!BD58</f>
        <v>República Checa</v>
      </c>
      <c r="H242" s="9" t="str">
        <f ca="1">+WORLDCUP!BD63</f>
        <v>Japón</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Japón</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Bélgica</v>
      </c>
      <c r="E244" s="9" t="str">
        <f ca="1">+WORLDCUP!BD67</f>
        <v>Jordania</v>
      </c>
      <c r="F244" s="9" t="str">
        <f ca="1">+WORLDCUP!BD61</f>
        <v>Paraguay</v>
      </c>
      <c r="G244" s="9" t="str">
        <f ca="1">+WORLDCUP!BD58</f>
        <v>República Checa</v>
      </c>
      <c r="H244" s="9" t="str">
        <f ca="1">+WORLDCUP!BD63</f>
        <v>Japón</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Bélgica</v>
      </c>
      <c r="E245" s="9" t="str">
        <f ca="1">+WORLDCUP!BD67</f>
        <v>Jordania</v>
      </c>
      <c r="F245" s="9" t="str">
        <f ca="1">+WORLDCUP!BD61</f>
        <v>Paraguay</v>
      </c>
      <c r="G245" s="9" t="str">
        <f ca="1">+WORLDCUP!BD58</f>
        <v>República Checa</v>
      </c>
      <c r="H245" s="9" t="str">
        <f ca="1">+WORLDCUP!BD63</f>
        <v>Japón</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España</v>
      </c>
      <c r="D246" s="9" t="str">
        <f ca="1">+WORLDCUP!BD64</f>
        <v>Bélgica</v>
      </c>
      <c r="E246" s="9" t="str">
        <f ca="1">+WORLDCUP!BD63</f>
        <v>Japón</v>
      </c>
      <c r="F246" s="9" t="str">
        <f ca="1">+WORLDCUP!BD60</f>
        <v>Escocia</v>
      </c>
      <c r="G246" s="9" t="str">
        <f ca="1">+WORLDCUP!BD58</f>
        <v>República Checa</v>
      </c>
      <c r="H246" s="9" t="str">
        <f ca="1">+WORLDCUP!BD61</f>
        <v>Paraguay</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Bélgica</v>
      </c>
      <c r="E247" s="9" t="str">
        <f ca="1">+WORLDCUP!BD67</f>
        <v>Jordania</v>
      </c>
      <c r="F247" s="9" t="str">
        <f ca="1">+WORLDCUP!BD61</f>
        <v>Paraguay</v>
      </c>
      <c r="G247" s="9" t="str">
        <f ca="1">+WORLDCUP!BD58</f>
        <v>República Checa</v>
      </c>
      <c r="H247" s="9" t="str">
        <f ca="1">+WORLDCUP!BD63</f>
        <v>Japón</v>
      </c>
      <c r="I247" s="9" t="str">
        <f ca="1">+WORLDCUP!BD69</f>
        <v>Panamá</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España</v>
      </c>
      <c r="D248" s="9" t="str">
        <f ca="1">+WORLDCUP!BD64</f>
        <v>Bélgica</v>
      </c>
      <c r="E248" s="9" t="str">
        <f ca="1">+WORLDCUP!BD67</f>
        <v>Jordania</v>
      </c>
      <c r="F248" s="9" t="str">
        <f ca="1">+WORLDCUP!BD60</f>
        <v>Escocia</v>
      </c>
      <c r="G248" s="9" t="str">
        <f ca="1">+WORLDCUP!BD58</f>
        <v>República Checa</v>
      </c>
      <c r="H248" s="9" t="str">
        <f ca="1">+WORLDCUP!BD63</f>
        <v>Japón</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España</v>
      </c>
      <c r="D249" s="9" t="str">
        <f ca="1">+WORLDCUP!BD64</f>
        <v>Bélgica</v>
      </c>
      <c r="E249" s="9" t="str">
        <f ca="1">+WORLDCUP!BD63</f>
        <v>Japón</v>
      </c>
      <c r="F249" s="9" t="str">
        <f ca="1">+WORLDCUP!BD60</f>
        <v>Escocia</v>
      </c>
      <c r="G249" s="9" t="str">
        <f ca="1">+WORLDCUP!BD58</f>
        <v>República Checa</v>
      </c>
      <c r="H249" s="9" t="str">
        <f ca="1">+WORLDCUP!BD61</f>
        <v>Paraguay</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España</v>
      </c>
      <c r="D250" s="9" t="str">
        <f ca="1">+WORLDCUP!BD64</f>
        <v>Bélgica</v>
      </c>
      <c r="E250" s="9" t="str">
        <f ca="1">+WORLDCUP!BD63</f>
        <v>Japón</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España</v>
      </c>
      <c r="D251" s="9" t="str">
        <f ca="1">+WORLDCUP!BD64</f>
        <v>Bélgica</v>
      </c>
      <c r="E251" s="9" t="str">
        <f ca="1">+WORLDCUP!BD67</f>
        <v>Jordania</v>
      </c>
      <c r="F251" s="9" t="str">
        <f ca="1">+WORLDCUP!BD60</f>
        <v>Escocia</v>
      </c>
      <c r="G251" s="9" t="str">
        <f ca="1">+WORLDCUP!BD58</f>
        <v>República Checa</v>
      </c>
      <c r="H251" s="9" t="str">
        <f ca="1">+WORLDCUP!BD63</f>
        <v>Japón</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España</v>
      </c>
      <c r="D253" s="9" t="str">
        <f ca="1">+WORLDCUP!BD67</f>
        <v>Jordania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España</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España</v>
      </c>
      <c r="D255" s="9" t="str">
        <f ca="1">+WORLDCUP!BD67</f>
        <v>Jordania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España</v>
      </c>
      <c r="D256" s="9" t="str">
        <f ca="1">+WORLDCUP!BD67</f>
        <v>Jordania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Escocia</v>
      </c>
      <c r="G257" s="9" t="str">
        <f ca="1">+WORLDCUP!BD58</f>
        <v>República Checa</v>
      </c>
      <c r="H257" s="9" t="str">
        <f ca="1">+WORLDCUP!BD61</f>
        <v>Paraguay</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Escocia</v>
      </c>
      <c r="G259" s="9" t="str">
        <f ca="1">+WORLDCUP!BD58</f>
        <v>República Checa</v>
      </c>
      <c r="H259" s="9" t="str">
        <f ca="1">+WORLDCUP!BD61</f>
        <v>Paraguay</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España</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España</v>
      </c>
      <c r="D262" s="9" t="str">
        <f ca="1">+WORLDCUP!BD64</f>
        <v>Bélgica</v>
      </c>
      <c r="E262" s="9" t="str">
        <f ca="1">+WORLDCUP!BD67</f>
        <v>Jordania</v>
      </c>
      <c r="F262" s="9" t="str">
        <f ca="1">+WORLDCUP!BD60</f>
        <v>Escocia</v>
      </c>
      <c r="G262" s="9" t="str">
        <f ca="1">+WORLDCUP!BD58</f>
        <v>República Checa</v>
      </c>
      <c r="H262" s="9" t="str">
        <f ca="1">+WORLDCUP!BD61</f>
        <v>Paraguay</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España</v>
      </c>
      <c r="D263" s="9" t="str">
        <f ca="1">+WORLDCUP!BD64</f>
        <v>Bélgica</v>
      </c>
      <c r="E263" s="9" t="str">
        <f ca="1">+WORLDCUP!BD67</f>
        <v>Jordania</v>
      </c>
      <c r="F263" s="9" t="str">
        <f ca="1">+WORLDCUP!BD60</f>
        <v>Escocia</v>
      </c>
      <c r="G263" s="9" t="str">
        <f ca="1">+WORLDCUP!BD58</f>
        <v>República Checa</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España</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España</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España</v>
      </c>
      <c r="D266" s="9" t="str">
        <f ca="1">+WORLDCUP!BD64</f>
        <v>Bélgica</v>
      </c>
      <c r="E266" s="9" t="str">
        <f ca="1">+WORLDCUP!BD67</f>
        <v>Jordania</v>
      </c>
      <c r="F266" s="9" t="str">
        <f ca="1">+WORLDCUP!BD60</f>
        <v>Escocia</v>
      </c>
      <c r="G266" s="9" t="str">
        <f ca="1">+WORLDCUP!BD58</f>
        <v>República Checa</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Ecuador</v>
      </c>
      <c r="F267" s="9" t="str">
        <f ca="1">+WORLDCUP!BD61</f>
        <v>Paraguay</v>
      </c>
      <c r="G267" s="9" t="str">
        <f ca="1">+WORLDCUP!BD58</f>
        <v>República Checa</v>
      </c>
      <c r="H267" s="9" t="str">
        <f ca="1">+WORLDCUP!BD63</f>
        <v>Japón</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Japón</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Ecuador</v>
      </c>
      <c r="F269" s="9" t="str">
        <f ca="1">+WORLDCUP!BD61</f>
        <v>Paraguay</v>
      </c>
      <c r="G269" s="9" t="str">
        <f ca="1">+WORLDCUP!BD58</f>
        <v>República Checa</v>
      </c>
      <c r="H269" s="9" t="str">
        <f ca="1">+WORLDCUP!BD63</f>
        <v>Japón</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Ecuador</v>
      </c>
      <c r="F270" s="9" t="str">
        <f ca="1">+WORLDCUP!BD61</f>
        <v>Paraguay</v>
      </c>
      <c r="G270" s="9" t="str">
        <f ca="1">+WORLDCUP!BD58</f>
        <v>República Checa</v>
      </c>
      <c r="H270" s="9" t="str">
        <f ca="1">+WORLDCUP!BD63</f>
        <v>Japón</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España</v>
      </c>
      <c r="D271" s="9" t="str">
        <f ca="1">+WORLDCUP!BD62</f>
        <v>Ecuador</v>
      </c>
      <c r="E271" s="9" t="str">
        <f ca="1">+WORLDCUP!BD63</f>
        <v>Japón</v>
      </c>
      <c r="F271" s="9" t="str">
        <f ca="1">+WORLDCUP!BD60</f>
        <v>Escocia</v>
      </c>
      <c r="G271" s="9" t="str">
        <f ca="1">+WORLDCUP!BD58</f>
        <v>República Checa</v>
      </c>
      <c r="H271" s="9" t="str">
        <f ca="1">+WORLDCUP!BD61</f>
        <v>Paraguay</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España</v>
      </c>
      <c r="D272" s="9" t="str">
        <f ca="1">+WORLDCUP!BD67</f>
        <v>Jordania</v>
      </c>
      <c r="E272" s="9" t="str">
        <f ca="1">+WORLDCUP!BD63</f>
        <v>Japón</v>
      </c>
      <c r="F272" s="9" t="str">
        <f ca="1">+WORLDCUP!BD60</f>
        <v>Escocia</v>
      </c>
      <c r="G272" s="9" t="str">
        <f ca="1">+WORLDCUP!BD58</f>
        <v>República Checa</v>
      </c>
      <c r="H272" s="9" t="str">
        <f ca="1">+WORLDCUP!BD61</f>
        <v>Paraguay</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España</v>
      </c>
      <c r="D273" s="9" t="str">
        <f ca="1">+WORLDCUP!BD67</f>
        <v>Jordania</v>
      </c>
      <c r="E273" s="9" t="str">
        <f ca="1">+WORLDCUP!BD62</f>
        <v>Ecuador</v>
      </c>
      <c r="F273" s="9" t="str">
        <f ca="1">+WORLDCUP!BD60</f>
        <v>Escocia</v>
      </c>
      <c r="G273" s="9" t="str">
        <f ca="1">+WORLDCUP!BD58</f>
        <v>República Checa</v>
      </c>
      <c r="H273" s="9" t="str">
        <f ca="1">+WORLDCUP!BD63</f>
        <v>Japón</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España</v>
      </c>
      <c r="D274" s="9" t="str">
        <f ca="1">+WORLDCUP!BD62</f>
        <v>Ecuador</v>
      </c>
      <c r="E274" s="9" t="str">
        <f ca="1">+WORLDCUP!BD63</f>
        <v>Japón</v>
      </c>
      <c r="F274" s="9" t="str">
        <f ca="1">+WORLDCUP!BD60</f>
        <v>Escocia</v>
      </c>
      <c r="G274" s="9" t="str">
        <f ca="1">+WORLDCUP!BD58</f>
        <v>República Checa</v>
      </c>
      <c r="H274" s="9" t="str">
        <f ca="1">+WORLDCUP!BD61</f>
        <v>Paraguay</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España</v>
      </c>
      <c r="D275" s="9" t="str">
        <f ca="1">+WORLDCUP!BD62</f>
        <v>Ecuador</v>
      </c>
      <c r="E275" s="9" t="str">
        <f ca="1">+WORLDCUP!BD63</f>
        <v>Japón</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España</v>
      </c>
      <c r="D276" s="9" t="str">
        <f ca="1">+WORLDCUP!BD67</f>
        <v>Jordania</v>
      </c>
      <c r="E276" s="9" t="str">
        <f ca="1">+WORLDCUP!BD62</f>
        <v>Ecuador</v>
      </c>
      <c r="F276" s="9" t="str">
        <f ca="1">+WORLDCUP!BD60</f>
        <v>Escocia</v>
      </c>
      <c r="G276" s="9" t="str">
        <f ca="1">+WORLDCUP!BD58</f>
        <v>República Checa</v>
      </c>
      <c r="H276" s="9" t="str">
        <f ca="1">+WORLDCUP!BD63</f>
        <v>Japón</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Japón</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Bélgica</v>
      </c>
      <c r="E278" s="9" t="str">
        <f ca="1">+WORLDCUP!BD67</f>
        <v>Jordania</v>
      </c>
      <c r="F278" s="9" t="str">
        <f ca="1">+WORLDCUP!BD61</f>
        <v>Paraguay</v>
      </c>
      <c r="G278" s="9" t="str">
        <f ca="1">+WORLDCUP!BD58</f>
        <v>República Checa</v>
      </c>
      <c r="H278" s="9" t="str">
        <f ca="1">+WORLDCUP!BD63</f>
        <v>Japón</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Bélgica</v>
      </c>
      <c r="E279" s="9" t="str">
        <f ca="1">+WORLDCUP!BD67</f>
        <v>Jordania</v>
      </c>
      <c r="F279" s="9" t="str">
        <f ca="1">+WORLDCUP!BD61</f>
        <v>Paraguay</v>
      </c>
      <c r="G279" s="9" t="str">
        <f ca="1">+WORLDCUP!BD58</f>
        <v>República Checa</v>
      </c>
      <c r="H279" s="9" t="str">
        <f ca="1">+WORLDCUP!BD63</f>
        <v>Japón</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Japón</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Japón</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Bélgica</v>
      </c>
      <c r="E282" s="9" t="str">
        <f ca="1">+WORLDCUP!BD67</f>
        <v>Jordania</v>
      </c>
      <c r="F282" s="9" t="str">
        <f ca="1">+WORLDCUP!BD61</f>
        <v>Paraguay</v>
      </c>
      <c r="G282" s="9" t="str">
        <f ca="1">+WORLDCUP!BD58</f>
        <v>República Checa</v>
      </c>
      <c r="H282" s="9" t="str">
        <f ca="1">+WORLDCUP!BD63</f>
        <v>Japón</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España</v>
      </c>
      <c r="D283" s="9" t="str">
        <f ca="1">+WORLDCUP!BD64</f>
        <v>Bélgica</v>
      </c>
      <c r="E283" s="9" t="str">
        <f ca="1">+WORLDCUP!BD63</f>
        <v>Japón</v>
      </c>
      <c r="F283" s="9" t="str">
        <f ca="1">+WORLDCUP!BD60</f>
        <v>Escocia</v>
      </c>
      <c r="G283" s="9" t="str">
        <f ca="1">+WORLDCUP!BD58</f>
        <v>República Checa</v>
      </c>
      <c r="H283" s="9" t="str">
        <f ca="1">+WORLDCUP!BD61</f>
        <v>Paraguay</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España</v>
      </c>
      <c r="D284" s="9" t="str">
        <f ca="1">+WORLDCUP!BD64</f>
        <v>Bélgica</v>
      </c>
      <c r="E284" s="9" t="str">
        <f ca="1">+WORLDCUP!BD62</f>
        <v>Ecuador</v>
      </c>
      <c r="F284" s="9" t="str">
        <f ca="1">+WORLDCUP!BD60</f>
        <v>Escocia</v>
      </c>
      <c r="G284" s="9" t="str">
        <f ca="1">+WORLDCUP!BD58</f>
        <v>República Checa</v>
      </c>
      <c r="H284" s="9" t="str">
        <f ca="1">+WORLDCUP!BD63</f>
        <v>Japón</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España</v>
      </c>
      <c r="D285" s="9" t="str">
        <f ca="1">+WORLDCUP!BD64</f>
        <v>Bélgica</v>
      </c>
      <c r="E285" s="9" t="str">
        <f ca="1">+WORLDCUP!BD67</f>
        <v>Jordania</v>
      </c>
      <c r="F285" s="9" t="str">
        <f ca="1">+WORLDCUP!BD60</f>
        <v>Escocia</v>
      </c>
      <c r="G285" s="9" t="str">
        <f ca="1">+WORLDCUP!BD58</f>
        <v>República Checa</v>
      </c>
      <c r="H285" s="9" t="str">
        <f ca="1">+WORLDCUP!BD63</f>
        <v>Japón</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España</v>
      </c>
      <c r="D286" s="9" t="str">
        <f ca="1">+WORLDCUP!BD64</f>
        <v>Bélgica</v>
      </c>
      <c r="E286" s="9" t="str">
        <f ca="1">+WORLDCUP!BD62</f>
        <v>Ecuador</v>
      </c>
      <c r="F286" s="9" t="str">
        <f ca="1">+WORLDCUP!BD60</f>
        <v>Escocia</v>
      </c>
      <c r="G286" s="9" t="str">
        <f ca="1">+WORLDCUP!BD58</f>
        <v>República Checa</v>
      </c>
      <c r="H286" s="9" t="str">
        <f ca="1">+WORLDCUP!BD63</f>
        <v>Japón</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España</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España</v>
      </c>
      <c r="D288" s="9" t="str">
        <f ca="1">+WORLDCUP!BD67</f>
        <v>Jordania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Japón</v>
      </c>
      <c r="G289" s="9" t="str">
        <f ca="1">+WORLDCUP!BD58</f>
        <v>República Checa</v>
      </c>
      <c r="H289" s="9" t="str">
        <f ca="1">+WORLDCUP!BD64</f>
        <v>Bélgica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España</v>
      </c>
      <c r="D290" s="9" t="str">
        <f ca="1">+WORLDCUP!BD67</f>
        <v>Jordania</v>
      </c>
      <c r="E290" s="9" t="str">
        <f ca="1">+WORLDCUP!BD59</f>
        <v>Bosnia y Herzegovina</v>
      </c>
      <c r="F290" s="9" t="str">
        <f ca="1">+WORLDCUP!BD63</f>
        <v>Japón</v>
      </c>
      <c r="G290" s="9" t="str">
        <f ca="1">+WORLDCUP!BD58</f>
        <v>República Checa</v>
      </c>
      <c r="H290" s="9" t="str">
        <f ca="1">+WORLDCUP!BD64</f>
        <v>Bélgica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España</v>
      </c>
      <c r="D291" s="9" t="str">
        <f ca="1">+WORLDCUP!BD64</f>
        <v>Bélgica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España</v>
      </c>
      <c r="D292" s="9" t="str">
        <f ca="1">+WORLDCUP!BD67</f>
        <v>Jordania</v>
      </c>
      <c r="E292" s="9" t="str">
        <f ca="1">+WORLDCUP!BD59</f>
        <v>Bosnia y Herzegovina</v>
      </c>
      <c r="F292" s="9" t="str">
        <f ca="1">+WORLDCUP!BD63</f>
        <v>Japón</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España</v>
      </c>
      <c r="D293" s="9" t="str">
        <f ca="1">+WORLDCUP!BD67</f>
        <v>Jordania</v>
      </c>
      <c r="E293" s="9" t="str">
        <f ca="1">+WORLDCUP!BD59</f>
        <v>Bosnia y Herzegovina</v>
      </c>
      <c r="F293" s="9" t="str">
        <f ca="1">+WORLDCUP!BD63</f>
        <v>Japón</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España</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España</v>
      </c>
      <c r="H296" s="9" t="str">
        <f ca="1">+WORLDCUP!BD64</f>
        <v>Bélgica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España</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España</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España</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Bosnia y Herzegovina</v>
      </c>
      <c r="F301" s="9" t="str">
        <f ca="1">+WORLDCUP!BD63</f>
        <v>Japón</v>
      </c>
      <c r="G301" s="9" t="str">
        <f ca="1">+WORLDCUP!BD58</f>
        <v>República Checa</v>
      </c>
      <c r="H301" s="9" t="str">
        <f ca="1">+WORLDCUP!BD65</f>
        <v>España</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Japón</v>
      </c>
      <c r="G302" s="9" t="str">
        <f ca="1">+WORLDCUP!BD58</f>
        <v>República Checa</v>
      </c>
      <c r="H302" s="9" t="str">
        <f ca="1">+WORLDCUP!BD65</f>
        <v>España</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Bosnia y Herzegovina</v>
      </c>
      <c r="F303" s="9" t="str">
        <f ca="1">+WORLDCUP!BD63</f>
        <v>Japón</v>
      </c>
      <c r="G303" s="9" t="str">
        <f ca="1">+WORLDCUP!BD58</f>
        <v>República Checa</v>
      </c>
      <c r="H303" s="9" t="str">
        <f ca="1">+WORLDCUP!BD65</f>
        <v>España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Bosnia y Herzegovina</v>
      </c>
      <c r="F304" s="9" t="str">
        <f ca="1">+WORLDCUP!BD63</f>
        <v>Japón</v>
      </c>
      <c r="G304" s="9" t="str">
        <f ca="1">+WORLDCUP!BD58</f>
        <v>República Checa</v>
      </c>
      <c r="H304" s="9" t="str">
        <f ca="1">+WORLDCUP!BD65</f>
        <v>España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Bosnia y Herzegovina</v>
      </c>
      <c r="F305" s="9" t="str">
        <f ca="1">+WORLDCUP!BD63</f>
        <v>Japón</v>
      </c>
      <c r="G305" s="9" t="str">
        <f ca="1">+WORLDCUP!BD58</f>
        <v>República Checa</v>
      </c>
      <c r="H305" s="9" t="str">
        <f ca="1">+WORLDCUP!BD64</f>
        <v>Bélgica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Bosnia y Herzegovina</v>
      </c>
      <c r="F307" s="9" t="str">
        <f ca="1">+WORLDCUP!BD63</f>
        <v>Japón</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Bosnia y Herzegovina</v>
      </c>
      <c r="F308" s="9" t="str">
        <f ca="1">+WORLDCUP!BD63</f>
        <v>Japón</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Japón</v>
      </c>
      <c r="G309" s="9" t="str">
        <f ca="1">+WORLDCUP!BD58</f>
        <v>República Checa</v>
      </c>
      <c r="H309" s="9" t="str">
        <f ca="1">+WORLDCUP!BD65</f>
        <v>España</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España</v>
      </c>
      <c r="D310" s="9" t="str">
        <f ca="1">+WORLDCUP!BD67</f>
        <v>Jordania</v>
      </c>
      <c r="E310" s="9" t="str">
        <f ca="1">+WORLDCUP!BD59</f>
        <v>Bosnia y Herzegovina</v>
      </c>
      <c r="F310" s="9" t="str">
        <f ca="1">+WORLDCUP!BD63</f>
        <v>Japón</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España</v>
      </c>
      <c r="D311" s="9" t="str">
        <f ca="1">+WORLDCUP!BD67</f>
        <v>Jordania</v>
      </c>
      <c r="E311" s="9" t="str">
        <f ca="1">+WORLDCUP!BD59</f>
        <v>Bosnia y Herzegovina</v>
      </c>
      <c r="F311" s="9" t="str">
        <f ca="1">+WORLDCUP!BD63</f>
        <v>Japón</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Japón</v>
      </c>
      <c r="G312" s="9" t="str">
        <f ca="1">+WORLDCUP!BD58</f>
        <v>República Checa</v>
      </c>
      <c r="H312" s="9" t="str">
        <f ca="1">+WORLDCUP!BD65</f>
        <v>España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Japón</v>
      </c>
      <c r="G313" s="9" t="str">
        <f ca="1">+WORLDCUP!BD58</f>
        <v>República Checa</v>
      </c>
      <c r="H313" s="9" t="str">
        <f ca="1">+WORLDCUP!BD65</f>
        <v>España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España</v>
      </c>
      <c r="D314" s="9" t="str">
        <f ca="1">+WORLDCUP!BD67</f>
        <v>Jordania</v>
      </c>
      <c r="E314" s="9" t="str">
        <f ca="1">+WORLDCUP!BD59</f>
        <v>Bosnia y Herzegovina</v>
      </c>
      <c r="F314" s="9" t="str">
        <f ca="1">+WORLDCUP!BD63</f>
        <v>Japón</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España</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España</v>
      </c>
      <c r="D317" s="9" t="str">
        <f ca="1">+WORLDCUP!BD67</f>
        <v>Jordania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España</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España</v>
      </c>
      <c r="D319" s="9" t="str">
        <f ca="1">+WORLDCUP!BD67</f>
        <v>Jordania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España</v>
      </c>
      <c r="D320" s="9" t="str">
        <f ca="1">+WORLDCUP!BD67</f>
        <v>Jordania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Japón</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España</v>
      </c>
      <c r="D322" s="9" t="str">
        <f ca="1">+WORLDCUP!BD67</f>
        <v>Jordania</v>
      </c>
      <c r="E322" s="9" t="str">
        <f ca="1">+WORLDCUP!BD59</f>
        <v>Bosnia y Herzegovina</v>
      </c>
      <c r="F322" s="9" t="str">
        <f ca="1">+WORLDCUP!BD61</f>
        <v>Paraguay</v>
      </c>
      <c r="G322" s="9" t="str">
        <f ca="1">+WORLDCUP!BD58</f>
        <v>República Checa</v>
      </c>
      <c r="H322" s="9" t="str">
        <f ca="1">+WORLDCUP!BD63</f>
        <v>Japón</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España</v>
      </c>
      <c r="D323" s="9" t="str">
        <f ca="1">+WORLDCUP!BD66</f>
        <v>Senegal</v>
      </c>
      <c r="E323" s="9" t="str">
        <f ca="1">+WORLDCUP!BD59</f>
        <v>Bosnia y Herzegovina</v>
      </c>
      <c r="F323" s="9" t="str">
        <f ca="1">+WORLDCUP!BD61</f>
        <v>Paraguay</v>
      </c>
      <c r="G323" s="9" t="str">
        <f ca="1">+WORLDCUP!BD58</f>
        <v>República Checa</v>
      </c>
      <c r="H323" s="9" t="str">
        <f ca="1">+WORLDCUP!BD63</f>
        <v>Japón</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España</v>
      </c>
      <c r="D324" s="9" t="str">
        <f ca="1">+WORLDCUP!BD67</f>
        <v>Jordania</v>
      </c>
      <c r="E324" s="9" t="str">
        <f ca="1">+WORLDCUP!BD59</f>
        <v>Bosnia y Herzegovina</v>
      </c>
      <c r="F324" s="9" t="str">
        <f ca="1">+WORLDCUP!BD61</f>
        <v>Paraguay</v>
      </c>
      <c r="G324" s="9" t="str">
        <f ca="1">+WORLDCUP!BD58</f>
        <v>República Checa</v>
      </c>
      <c r="H324" s="9" t="str">
        <f ca="1">+WORLDCUP!BD63</f>
        <v>Japón</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España</v>
      </c>
      <c r="D325" s="9" t="str">
        <f ca="1">+WORLDCUP!BD67</f>
        <v>Jordania</v>
      </c>
      <c r="E325" s="9" t="str">
        <f ca="1">+WORLDCUP!BD59</f>
        <v>Bosnia y Herzegovina</v>
      </c>
      <c r="F325" s="9" t="str">
        <f ca="1">+WORLDCUP!BD61</f>
        <v>Paraguay</v>
      </c>
      <c r="G325" s="9" t="str">
        <f ca="1">+WORLDCUP!BD58</f>
        <v>República Checa</v>
      </c>
      <c r="H325" s="9" t="str">
        <f ca="1">+WORLDCUP!BD63</f>
        <v>Japón</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Jordania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Japón</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Jordania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Jordania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España</v>
      </c>
      <c r="D330" s="9" t="str">
        <f ca="1">+WORLDCUP!BD64</f>
        <v>Bélgica</v>
      </c>
      <c r="E330" s="9" t="str">
        <f ca="1">+WORLDCUP!BD59</f>
        <v>Bosnia y Herzegovina</v>
      </c>
      <c r="F330" s="9" t="str">
        <f ca="1">+WORLDCUP!BD61</f>
        <v>Paraguay</v>
      </c>
      <c r="G330" s="9" t="str">
        <f ca="1">+WORLDCUP!BD58</f>
        <v>República Checa</v>
      </c>
      <c r="H330" s="9" t="str">
        <f ca="1">+WORLDCUP!BD63</f>
        <v>Japón</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España</v>
      </c>
      <c r="D331" s="9" t="str">
        <f ca="1">+WORLDCUP!BD64</f>
        <v>Bélgica</v>
      </c>
      <c r="E331" s="9" t="str">
        <f ca="1">+WORLDCUP!BD59</f>
        <v>Bosnia y Herzegovina</v>
      </c>
      <c r="F331" s="9" t="str">
        <f ca="1">+WORLDCUP!BD61</f>
        <v>Paraguay</v>
      </c>
      <c r="G331" s="9" t="str">
        <f ca="1">+WORLDCUP!BD58</f>
        <v>República Checa</v>
      </c>
      <c r="H331" s="9" t="str">
        <f ca="1">+WORLDCUP!BD63</f>
        <v>Japón</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España</v>
      </c>
      <c r="D332" s="9" t="str">
        <f ca="1">+WORLDCUP!BD64</f>
        <v>Bélgica</v>
      </c>
      <c r="E332" s="9" t="str">
        <f ca="1">+WORLDCUP!BD59</f>
        <v>Bosnia y Herzegovina</v>
      </c>
      <c r="F332" s="9" t="str">
        <f ca="1">+WORLDCUP!BD61</f>
        <v>Paraguay</v>
      </c>
      <c r="G332" s="9" t="str">
        <f ca="1">+WORLDCUP!BD58</f>
        <v>República Checa</v>
      </c>
      <c r="H332" s="9" t="str">
        <f ca="1">+WORLDCUP!BD63</f>
        <v>Japón</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España</v>
      </c>
      <c r="D333" s="9" t="str">
        <f ca="1">+WORLDCUP!BD64</f>
        <v>Bélgica</v>
      </c>
      <c r="E333" s="9" t="str">
        <f ca="1">+WORLDCUP!BD59</f>
        <v>Bosnia y Herzegovina</v>
      </c>
      <c r="F333" s="9" t="str">
        <f ca="1">+WORLDCUP!BD61</f>
        <v>Paraguay</v>
      </c>
      <c r="G333" s="9" t="str">
        <f ca="1">+WORLDCUP!BD58</f>
        <v>República Checa</v>
      </c>
      <c r="H333" s="9" t="str">
        <f ca="1">+WORLDCUP!BD63</f>
        <v>Japón</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España</v>
      </c>
      <c r="D334" s="9" t="str">
        <f ca="1">+WORLDCUP!BD64</f>
        <v>Bélgica</v>
      </c>
      <c r="E334" s="9" t="str">
        <f ca="1">+WORLDCUP!BD59</f>
        <v>Bosnia y Herzegovina</v>
      </c>
      <c r="F334" s="9" t="str">
        <f ca="1">+WORLDCUP!BD61</f>
        <v>Paraguay</v>
      </c>
      <c r="G334" s="9" t="str">
        <f ca="1">+WORLDCUP!BD58</f>
        <v>República Checa</v>
      </c>
      <c r="H334" s="9" t="str">
        <f ca="1">+WORLDCUP!BD63</f>
        <v>Japón</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España</v>
      </c>
      <c r="D335" s="9" t="str">
        <f ca="1">+WORLDCUP!BD64</f>
        <v>Bélgica</v>
      </c>
      <c r="E335" s="9" t="str">
        <f ca="1">+WORLDCUP!BD59</f>
        <v>Bosnia y Herzegovina</v>
      </c>
      <c r="F335" s="9" t="str">
        <f ca="1">+WORLDCUP!BD61</f>
        <v>Paraguay</v>
      </c>
      <c r="G335" s="9" t="str">
        <f ca="1">+WORLDCUP!BD58</f>
        <v>República Checa</v>
      </c>
      <c r="H335" s="9" t="str">
        <f ca="1">+WORLDCUP!BD63</f>
        <v>Japón</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Bosnia y Herzegovina</v>
      </c>
      <c r="F337" s="9" t="str">
        <f ca="1">+WORLDCUP!BD61</f>
        <v>Paraguay</v>
      </c>
      <c r="G337" s="9" t="str">
        <f ca="1">+WORLDCUP!BD58</f>
        <v>República Checa</v>
      </c>
      <c r="H337" s="9" t="str">
        <f ca="1">+WORLDCUP!BD65</f>
        <v>España</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España</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Bosnia y Herzegovina</v>
      </c>
      <c r="F339" s="9" t="str">
        <f ca="1">+WORLDCUP!BD61</f>
        <v>Paraguay</v>
      </c>
      <c r="G339" s="9" t="str">
        <f ca="1">+WORLDCUP!BD58</f>
        <v>República Checa</v>
      </c>
      <c r="H339" s="9" t="str">
        <f ca="1">+WORLDCUP!BD65</f>
        <v>España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Bosnia y Herzegovina</v>
      </c>
      <c r="F340" s="9" t="str">
        <f ca="1">+WORLDCUP!BD61</f>
        <v>Paraguay</v>
      </c>
      <c r="G340" s="9" t="str">
        <f ca="1">+WORLDCUP!BD58</f>
        <v>República Checa</v>
      </c>
      <c r="H340" s="9" t="str">
        <f ca="1">+WORLDCUP!BD65</f>
        <v>España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España</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España</v>
      </c>
      <c r="D346" s="9" t="str">
        <f ca="1">+WORLDCUP!BD67</f>
        <v>Jordania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España</v>
      </c>
      <c r="D347" s="9" t="str">
        <f ca="1">+WORLDCUP!BD67</f>
        <v>Jordania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España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España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España</v>
      </c>
      <c r="D350" s="9" t="str">
        <f ca="1">+WORLDCUP!BD67</f>
        <v>Jordania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Bosnia y Herzegovina</v>
      </c>
      <c r="F351" s="9" t="str">
        <f ca="1">+WORLDCUP!BD61</f>
        <v>Paraguay</v>
      </c>
      <c r="G351" s="9" t="str">
        <f ca="1">+WORLDCUP!BD58</f>
        <v>República Checa</v>
      </c>
      <c r="H351" s="9" t="str">
        <f ca="1">+WORLDCUP!BD63</f>
        <v>Japón</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Japón</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Bosnia y Herzegovina</v>
      </c>
      <c r="F353" s="9" t="str">
        <f ca="1">+WORLDCUP!BD61</f>
        <v>Paraguay</v>
      </c>
      <c r="G353" s="9" t="str">
        <f ca="1">+WORLDCUP!BD58</f>
        <v>República Checa</v>
      </c>
      <c r="H353" s="9" t="str">
        <f ca="1">+WORLDCUP!BD63</f>
        <v>Japón</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Bosnia y Herzegovina</v>
      </c>
      <c r="F354" s="9" t="str">
        <f ca="1">+WORLDCUP!BD61</f>
        <v>Paraguay</v>
      </c>
      <c r="G354" s="9" t="str">
        <f ca="1">+WORLDCUP!BD58</f>
        <v>República Checa</v>
      </c>
      <c r="H354" s="9" t="str">
        <f ca="1">+WORLDCUP!BD63</f>
        <v>Japón</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España</v>
      </c>
      <c r="D355" s="9" t="str">
        <f ca="1">+WORLDCUP!BD62</f>
        <v>Ecuador</v>
      </c>
      <c r="E355" s="9" t="str">
        <f ca="1">+WORLDCUP!BD59</f>
        <v>Bosnia y Herzegovina</v>
      </c>
      <c r="F355" s="9" t="str">
        <f ca="1">+WORLDCUP!BD61</f>
        <v>Paraguay</v>
      </c>
      <c r="G355" s="9" t="str">
        <f ca="1">+WORLDCUP!BD58</f>
        <v>República Checa</v>
      </c>
      <c r="H355" s="9" t="str">
        <f ca="1">+WORLDCUP!BD63</f>
        <v>Japón</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España</v>
      </c>
      <c r="D356" s="9" t="str">
        <f ca="1">+WORLDCUP!BD67</f>
        <v>Jordania</v>
      </c>
      <c r="E356" s="9" t="str">
        <f ca="1">+WORLDCUP!BD59</f>
        <v>Bosnia y Herzegovina</v>
      </c>
      <c r="F356" s="9" t="str">
        <f ca="1">+WORLDCUP!BD61</f>
        <v>Paraguay</v>
      </c>
      <c r="G356" s="9" t="str">
        <f ca="1">+WORLDCUP!BD58</f>
        <v>República Checa</v>
      </c>
      <c r="H356" s="9" t="str">
        <f ca="1">+WORLDCUP!BD63</f>
        <v>Japón</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España</v>
      </c>
      <c r="D357" s="9" t="str">
        <f ca="1">+WORLDCUP!BD67</f>
        <v>Jordania</v>
      </c>
      <c r="E357" s="9" t="str">
        <f ca="1">+WORLDCUP!BD59</f>
        <v>Bosnia y Herzegovina</v>
      </c>
      <c r="F357" s="9" t="str">
        <f ca="1">+WORLDCUP!BD61</f>
        <v>Paraguay</v>
      </c>
      <c r="G357" s="9" t="str">
        <f ca="1">+WORLDCUP!BD58</f>
        <v>República Checa</v>
      </c>
      <c r="H357" s="9" t="str">
        <f ca="1">+WORLDCUP!BD63</f>
        <v>Japón</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España</v>
      </c>
      <c r="D358" s="9" t="str">
        <f ca="1">+WORLDCUP!BD62</f>
        <v>Ecuador</v>
      </c>
      <c r="E358" s="9" t="str">
        <f ca="1">+WORLDCUP!BD59</f>
        <v>Bosnia y Herzegovina</v>
      </c>
      <c r="F358" s="9" t="str">
        <f ca="1">+WORLDCUP!BD61</f>
        <v>Paraguay</v>
      </c>
      <c r="G358" s="9" t="str">
        <f ca="1">+WORLDCUP!BD58</f>
        <v>República Checa</v>
      </c>
      <c r="H358" s="9" t="str">
        <f ca="1">+WORLDCUP!BD63</f>
        <v>Japón</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España</v>
      </c>
      <c r="D359" s="9" t="str">
        <f ca="1">+WORLDCUP!BD62</f>
        <v>Ecuador</v>
      </c>
      <c r="E359" s="9" t="str">
        <f ca="1">+WORLDCUP!BD59</f>
        <v>Bosnia y Herzegovina</v>
      </c>
      <c r="F359" s="9" t="str">
        <f ca="1">+WORLDCUP!BD61</f>
        <v>Paraguay</v>
      </c>
      <c r="G359" s="9" t="str">
        <f ca="1">+WORLDCUP!BD58</f>
        <v>República Checa</v>
      </c>
      <c r="H359" s="9" t="str">
        <f ca="1">+WORLDCUP!BD63</f>
        <v>Japón</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España</v>
      </c>
      <c r="D360" s="9" t="str">
        <f ca="1">+WORLDCUP!BD67</f>
        <v>Jordania</v>
      </c>
      <c r="E360" s="9" t="str">
        <f ca="1">+WORLDCUP!BD59</f>
        <v>Bosnia y Herzegovina</v>
      </c>
      <c r="F360" s="9" t="str">
        <f ca="1">+WORLDCUP!BD61</f>
        <v>Paraguay</v>
      </c>
      <c r="G360" s="9" t="str">
        <f ca="1">+WORLDCUP!BD58</f>
        <v>República Checa</v>
      </c>
      <c r="H360" s="9" t="str">
        <f ca="1">+WORLDCUP!BD63</f>
        <v>Japón</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Japón</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Japón</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Japón</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Japón</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Japón</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Japón</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España</v>
      </c>
      <c r="D367" s="9" t="str">
        <f ca="1">+WORLDCUP!BD64</f>
        <v>Bélgica</v>
      </c>
      <c r="E367" s="9" t="str">
        <f ca="1">+WORLDCUP!BD59</f>
        <v>Bosnia y Herzegovina</v>
      </c>
      <c r="F367" s="9" t="str">
        <f ca="1">+WORLDCUP!BD61</f>
        <v>Paraguay</v>
      </c>
      <c r="G367" s="9" t="str">
        <f ca="1">+WORLDCUP!BD58</f>
        <v>República Checa</v>
      </c>
      <c r="H367" s="9" t="str">
        <f ca="1">+WORLDCUP!BD63</f>
        <v>Japón</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España</v>
      </c>
      <c r="D368" s="9" t="str">
        <f ca="1">+WORLDCUP!BD64</f>
        <v>Bélgica</v>
      </c>
      <c r="E368" s="9" t="str">
        <f ca="1">+WORLDCUP!BD59</f>
        <v>Bosnia y Herzegovina</v>
      </c>
      <c r="F368" s="9" t="str">
        <f ca="1">+WORLDCUP!BD61</f>
        <v>Paraguay</v>
      </c>
      <c r="G368" s="9" t="str">
        <f ca="1">+WORLDCUP!BD58</f>
        <v>República Checa</v>
      </c>
      <c r="H368" s="9" t="str">
        <f ca="1">+WORLDCUP!BD63</f>
        <v>Japón</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España</v>
      </c>
      <c r="D369" s="9" t="str">
        <f ca="1">+WORLDCUP!BD64</f>
        <v>Bélgica</v>
      </c>
      <c r="E369" s="9" t="str">
        <f ca="1">+WORLDCUP!BD59</f>
        <v>Bosnia y Herzegovina</v>
      </c>
      <c r="F369" s="9" t="str">
        <f ca="1">+WORLDCUP!BD61</f>
        <v>Paraguay</v>
      </c>
      <c r="G369" s="9" t="str">
        <f ca="1">+WORLDCUP!BD58</f>
        <v>República Checa</v>
      </c>
      <c r="H369" s="9" t="str">
        <f ca="1">+WORLDCUP!BD63</f>
        <v>Japón</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España</v>
      </c>
      <c r="D370" s="9" t="str">
        <f ca="1">+WORLDCUP!BD64</f>
        <v>Bélgica</v>
      </c>
      <c r="E370" s="9" t="str">
        <f ca="1">+WORLDCUP!BD59</f>
        <v>Bosnia y Herzegovina</v>
      </c>
      <c r="F370" s="9" t="str">
        <f ca="1">+WORLDCUP!BD61</f>
        <v>Paraguay</v>
      </c>
      <c r="G370" s="9" t="str">
        <f ca="1">+WORLDCUP!BD58</f>
        <v>República Checa</v>
      </c>
      <c r="H370" s="9" t="str">
        <f ca="1">+WORLDCUP!BD63</f>
        <v>Japón</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España</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España</v>
      </c>
      <c r="D373" s="9" t="str">
        <f ca="1">+WORLDCUP!BD67</f>
        <v>Jordania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España</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España</v>
      </c>
      <c r="D375" s="9" t="str">
        <f ca="1">+WORLDCUP!BD67</f>
        <v>Jordania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España</v>
      </c>
      <c r="D376" s="9" t="str">
        <f ca="1">+WORLDCUP!BD67</f>
        <v>Jordania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Japón</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España</v>
      </c>
      <c r="D378" s="9" t="str">
        <f ca="1">+WORLDCUP!BD67</f>
        <v>Jordania</v>
      </c>
      <c r="E378" s="9" t="str">
        <f ca="1">+WORLDCUP!BD59</f>
        <v>Bosnia y Herzegovina</v>
      </c>
      <c r="F378" s="9" t="str">
        <f ca="1">+WORLDCUP!BD60</f>
        <v>Escocia</v>
      </c>
      <c r="G378" s="9" t="str">
        <f ca="1">+WORLDCUP!BD58</f>
        <v>República Checa</v>
      </c>
      <c r="H378" s="9" t="str">
        <f ca="1">+WORLDCUP!BD63</f>
        <v>Japón</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España</v>
      </c>
      <c r="D379" s="9" t="str">
        <f ca="1">+WORLDCUP!BD66</f>
        <v>Senegal</v>
      </c>
      <c r="E379" s="9" t="str">
        <f ca="1">+WORLDCUP!BD59</f>
        <v>Bosnia y Herzegovina</v>
      </c>
      <c r="F379" s="9" t="str">
        <f ca="1">+WORLDCUP!BD60</f>
        <v>Escocia</v>
      </c>
      <c r="G379" s="9" t="str">
        <f ca="1">+WORLDCUP!BD58</f>
        <v>República Checa</v>
      </c>
      <c r="H379" s="9" t="str">
        <f ca="1">+WORLDCUP!BD63</f>
        <v>Japón</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España</v>
      </c>
      <c r="D380" s="9" t="str">
        <f ca="1">+WORLDCUP!BD67</f>
        <v>Jordania</v>
      </c>
      <c r="E380" s="9" t="str">
        <f ca="1">+WORLDCUP!BD59</f>
        <v>Bosnia y Herzegovina</v>
      </c>
      <c r="F380" s="9" t="str">
        <f ca="1">+WORLDCUP!BD60</f>
        <v>Escocia</v>
      </c>
      <c r="G380" s="9" t="str">
        <f ca="1">+WORLDCUP!BD58</f>
        <v>República Checa</v>
      </c>
      <c r="H380" s="9" t="str">
        <f ca="1">+WORLDCUP!BD63</f>
        <v>Japón</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España</v>
      </c>
      <c r="D381" s="9" t="str">
        <f ca="1">+WORLDCUP!BD67</f>
        <v>Jordania</v>
      </c>
      <c r="E381" s="9" t="str">
        <f ca="1">+WORLDCUP!BD59</f>
        <v>Bosnia y Herzegovina</v>
      </c>
      <c r="F381" s="9" t="str">
        <f ca="1">+WORLDCUP!BD60</f>
        <v>Escocia</v>
      </c>
      <c r="G381" s="9" t="str">
        <f ca="1">+WORLDCUP!BD58</f>
        <v>República Checa</v>
      </c>
      <c r="H381" s="9" t="str">
        <f ca="1">+WORLDCUP!BD63</f>
        <v>Japón</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Japón</v>
      </c>
      <c r="G382" s="9" t="str">
        <f ca="1">+WORLDCUP!BD58</f>
        <v>República Checa</v>
      </c>
      <c r="H382" s="9" t="str">
        <f ca="1">+WORLDCUP!BD64</f>
        <v>Bélgica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Japón</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Japón</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Japón</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España</v>
      </c>
      <c r="D386" s="9" t="str">
        <f ca="1">+WORLDCUP!BD64</f>
        <v>Bélgica</v>
      </c>
      <c r="E386" s="9" t="str">
        <f ca="1">+WORLDCUP!BD59</f>
        <v>Bosnia y Herzegovina</v>
      </c>
      <c r="F386" s="9" t="str">
        <f ca="1">+WORLDCUP!BD60</f>
        <v>Escocia</v>
      </c>
      <c r="G386" s="9" t="str">
        <f ca="1">+WORLDCUP!BD58</f>
        <v>República Checa</v>
      </c>
      <c r="H386" s="9" t="str">
        <f ca="1">+WORLDCUP!BD63</f>
        <v>Japón</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España</v>
      </c>
      <c r="D387" s="9" t="str">
        <f ca="1">+WORLDCUP!BD64</f>
        <v>Bélgica</v>
      </c>
      <c r="E387" s="9" t="str">
        <f ca="1">+WORLDCUP!BD59</f>
        <v>Bosnia y Herzegovina</v>
      </c>
      <c r="F387" s="9" t="str">
        <f ca="1">+WORLDCUP!BD60</f>
        <v>Escocia</v>
      </c>
      <c r="G387" s="9" t="str">
        <f ca="1">+WORLDCUP!BD58</f>
        <v>República Checa</v>
      </c>
      <c r="H387" s="9" t="str">
        <f ca="1">+WORLDCUP!BD63</f>
        <v>Japón</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España</v>
      </c>
      <c r="D388" s="9" t="str">
        <f ca="1">+WORLDCUP!BD64</f>
        <v>Bélgica</v>
      </c>
      <c r="E388" s="9" t="str">
        <f ca="1">+WORLDCUP!BD59</f>
        <v>Bosnia y Herzegovina</v>
      </c>
      <c r="F388" s="9" t="str">
        <f ca="1">+WORLDCUP!BD60</f>
        <v>Escocia</v>
      </c>
      <c r="G388" s="9" t="str">
        <f ca="1">+WORLDCUP!BD58</f>
        <v>República Checa</v>
      </c>
      <c r="H388" s="9" t="str">
        <f ca="1">+WORLDCUP!BD63</f>
        <v>Japón</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España</v>
      </c>
      <c r="D389" s="9" t="str">
        <f ca="1">+WORLDCUP!BD64</f>
        <v>Bélgica</v>
      </c>
      <c r="E389" s="9" t="str">
        <f ca="1">+WORLDCUP!BD59</f>
        <v>Bosnia y Herzegovina</v>
      </c>
      <c r="F389" s="9" t="str">
        <f ca="1">+WORLDCUP!BD60</f>
        <v>Escocia</v>
      </c>
      <c r="G389" s="9" t="str">
        <f ca="1">+WORLDCUP!BD58</f>
        <v>República Checa</v>
      </c>
      <c r="H389" s="9" t="str">
        <f ca="1">+WORLDCUP!BD63</f>
        <v>Japón</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España</v>
      </c>
      <c r="D390" s="9" t="str">
        <f ca="1">+WORLDCUP!BD64</f>
        <v>Bélgica</v>
      </c>
      <c r="E390" s="9" t="str">
        <f ca="1">+WORLDCUP!BD59</f>
        <v>Bosnia y Herzegovina</v>
      </c>
      <c r="F390" s="9" t="str">
        <f ca="1">+WORLDCUP!BD60</f>
        <v>Escocia</v>
      </c>
      <c r="G390" s="9" t="str">
        <f ca="1">+WORLDCUP!BD58</f>
        <v>República Checa</v>
      </c>
      <c r="H390" s="9" t="str">
        <f ca="1">+WORLDCUP!BD63</f>
        <v>Japón</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España</v>
      </c>
      <c r="D391" s="9" t="str">
        <f ca="1">+WORLDCUP!BD64</f>
        <v>Bélgica</v>
      </c>
      <c r="E391" s="9" t="str">
        <f ca="1">+WORLDCUP!BD59</f>
        <v>Bosnia y Herzegovina</v>
      </c>
      <c r="F391" s="9" t="str">
        <f ca="1">+WORLDCUP!BD60</f>
        <v>Escocia</v>
      </c>
      <c r="G391" s="9" t="str">
        <f ca="1">+WORLDCUP!BD58</f>
        <v>República Checa</v>
      </c>
      <c r="H391" s="9" t="str">
        <f ca="1">+WORLDCUP!BD63</f>
        <v>Japón</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España</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España</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España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España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España</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España</v>
      </c>
      <c r="D402" s="9" t="str">
        <f ca="1">+WORLDCUP!BD67</f>
        <v>Jordania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España</v>
      </c>
      <c r="D403" s="9" t="str">
        <f ca="1">+WORLDCUP!BD67</f>
        <v>Jordania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España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España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España</v>
      </c>
      <c r="D406" s="9" t="str">
        <f ca="1">+WORLDCUP!BD67</f>
        <v>Jordania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Japón</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Japón</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Japón</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Japón</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España</v>
      </c>
      <c r="D411" s="9" t="str">
        <f ca="1">+WORLDCUP!BD62</f>
        <v>Ecuador</v>
      </c>
      <c r="E411" s="9" t="str">
        <f ca="1">+WORLDCUP!BD59</f>
        <v>Bosnia y Herzegovina</v>
      </c>
      <c r="F411" s="9" t="str">
        <f ca="1">+WORLDCUP!BD60</f>
        <v>Escocia</v>
      </c>
      <c r="G411" s="9" t="str">
        <f ca="1">+WORLDCUP!BD58</f>
        <v>República Checa</v>
      </c>
      <c r="H411" s="9" t="str">
        <f ca="1">+WORLDCUP!BD63</f>
        <v>Japón</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España</v>
      </c>
      <c r="D412" s="9" t="str">
        <f ca="1">+WORLDCUP!BD67</f>
        <v>Jordania</v>
      </c>
      <c r="E412" s="9" t="str">
        <f ca="1">+WORLDCUP!BD59</f>
        <v>Bosnia y Herzegovina</v>
      </c>
      <c r="F412" s="9" t="str">
        <f ca="1">+WORLDCUP!BD60</f>
        <v>Escocia</v>
      </c>
      <c r="G412" s="9" t="str">
        <f ca="1">+WORLDCUP!BD58</f>
        <v>República Checa</v>
      </c>
      <c r="H412" s="9" t="str">
        <f ca="1">+WORLDCUP!BD63</f>
        <v>Japón</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España</v>
      </c>
      <c r="D413" s="9" t="str">
        <f ca="1">+WORLDCUP!BD67</f>
        <v>Jordania</v>
      </c>
      <c r="E413" s="9" t="str">
        <f ca="1">+WORLDCUP!BD59</f>
        <v>Bosnia y Herzegovina</v>
      </c>
      <c r="F413" s="9" t="str">
        <f ca="1">+WORLDCUP!BD60</f>
        <v>Escocia</v>
      </c>
      <c r="G413" s="9" t="str">
        <f ca="1">+WORLDCUP!BD58</f>
        <v>República Checa</v>
      </c>
      <c r="H413" s="9" t="str">
        <f ca="1">+WORLDCUP!BD63</f>
        <v>Japón</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España</v>
      </c>
      <c r="D414" s="9" t="str">
        <f ca="1">+WORLDCUP!BD62</f>
        <v>Ecuador</v>
      </c>
      <c r="E414" s="9" t="str">
        <f ca="1">+WORLDCUP!BD59</f>
        <v>Bosnia y Herzegovina</v>
      </c>
      <c r="F414" s="9" t="str">
        <f ca="1">+WORLDCUP!BD60</f>
        <v>Escocia</v>
      </c>
      <c r="G414" s="9" t="str">
        <f ca="1">+WORLDCUP!BD58</f>
        <v>República Checa</v>
      </c>
      <c r="H414" s="9" t="str">
        <f ca="1">+WORLDCUP!BD63</f>
        <v>Japón</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España</v>
      </c>
      <c r="D415" s="9" t="str">
        <f ca="1">+WORLDCUP!BD62</f>
        <v>Ecuador</v>
      </c>
      <c r="E415" s="9" t="str">
        <f ca="1">+WORLDCUP!BD59</f>
        <v>Bosnia y Herzegovina</v>
      </c>
      <c r="F415" s="9" t="str">
        <f ca="1">+WORLDCUP!BD60</f>
        <v>Escocia</v>
      </c>
      <c r="G415" s="9" t="str">
        <f ca="1">+WORLDCUP!BD58</f>
        <v>República Checa</v>
      </c>
      <c r="H415" s="9" t="str">
        <f ca="1">+WORLDCUP!BD63</f>
        <v>Japón</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España</v>
      </c>
      <c r="D416" s="9" t="str">
        <f ca="1">+WORLDCUP!BD67</f>
        <v>Jordania</v>
      </c>
      <c r="E416" s="9" t="str">
        <f ca="1">+WORLDCUP!BD59</f>
        <v>Bosnia y Herzegovina</v>
      </c>
      <c r="F416" s="9" t="str">
        <f ca="1">+WORLDCUP!BD60</f>
        <v>Escocia</v>
      </c>
      <c r="G416" s="9" t="str">
        <f ca="1">+WORLDCUP!BD58</f>
        <v>República Checa</v>
      </c>
      <c r="H416" s="9" t="str">
        <f ca="1">+WORLDCUP!BD63</f>
        <v>Japón</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Japón</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Japón</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Japón</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Japón</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Japón</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Japón</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España</v>
      </c>
      <c r="D423" s="9" t="str">
        <f ca="1">+WORLDCUP!BD64</f>
        <v>Bélgica</v>
      </c>
      <c r="E423" s="9" t="str">
        <f ca="1">+WORLDCUP!BD59</f>
        <v>Bosnia y Herzegovina</v>
      </c>
      <c r="F423" s="9" t="str">
        <f ca="1">+WORLDCUP!BD60</f>
        <v>Escocia</v>
      </c>
      <c r="G423" s="9" t="str">
        <f ca="1">+WORLDCUP!BD58</f>
        <v>República Checa</v>
      </c>
      <c r="H423" s="9" t="str">
        <f ca="1">+WORLDCUP!BD63</f>
        <v>Japón</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España</v>
      </c>
      <c r="D424" s="9" t="str">
        <f ca="1">+WORLDCUP!BD64</f>
        <v>Bélgica</v>
      </c>
      <c r="E424" s="9" t="str">
        <f ca="1">+WORLDCUP!BD59</f>
        <v>Bosnia y Herzegovina</v>
      </c>
      <c r="F424" s="9" t="str">
        <f ca="1">+WORLDCUP!BD60</f>
        <v>Escocia</v>
      </c>
      <c r="G424" s="9" t="str">
        <f ca="1">+WORLDCUP!BD58</f>
        <v>República Checa</v>
      </c>
      <c r="H424" s="9" t="str">
        <f ca="1">+WORLDCUP!BD63</f>
        <v>Japón</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España</v>
      </c>
      <c r="D425" s="9" t="str">
        <f ca="1">+WORLDCUP!BD64</f>
        <v>Bélgica</v>
      </c>
      <c r="E425" s="9" t="str">
        <f ca="1">+WORLDCUP!BD59</f>
        <v>Bosnia y Herzegovina</v>
      </c>
      <c r="F425" s="9" t="str">
        <f ca="1">+WORLDCUP!BD60</f>
        <v>Escocia</v>
      </c>
      <c r="G425" s="9" t="str">
        <f ca="1">+WORLDCUP!BD58</f>
        <v>República Checa</v>
      </c>
      <c r="H425" s="9" t="str">
        <f ca="1">+WORLDCUP!BD63</f>
        <v>Japón</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España</v>
      </c>
      <c r="D426" s="9" t="str">
        <f ca="1">+WORLDCUP!BD64</f>
        <v>Bélgica</v>
      </c>
      <c r="E426" s="9" t="str">
        <f ca="1">+WORLDCUP!BD59</f>
        <v>Bosnia y Herzegovina</v>
      </c>
      <c r="F426" s="9" t="str">
        <f ca="1">+WORLDCUP!BD60</f>
        <v>Escocia</v>
      </c>
      <c r="G426" s="9" t="str">
        <f ca="1">+WORLDCUP!BD58</f>
        <v>República Checa</v>
      </c>
      <c r="H426" s="9" t="str">
        <f ca="1">+WORLDCUP!BD63</f>
        <v>Japón</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España</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España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España</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España</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España</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España</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España</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España</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España</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España</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Japón</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Japón</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Japón</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Japón</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España</v>
      </c>
      <c r="D446" s="9" t="str">
        <f ca="1">+WORLDCUP!BD63</f>
        <v>Japón</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Japón</v>
      </c>
      <c r="I447" s="9" t="str">
        <f ca="1">+WORLDCUP!BD69</f>
        <v>Panamá</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España</v>
      </c>
      <c r="D448" s="9" t="str">
        <f ca="1">+WORLDCUP!BD67</f>
        <v>Jordania</v>
      </c>
      <c r="E448" s="9" t="str">
        <f ca="1">+WORLDCUP!BD59</f>
        <v>Bosnia y Herzegovina</v>
      </c>
      <c r="F448" s="9" t="str">
        <f ca="1">+WORLDCUP!BD60</f>
        <v>Escocia</v>
      </c>
      <c r="G448" s="9" t="str">
        <f ca="1">+WORLDCUP!BD58</f>
        <v>República Checa</v>
      </c>
      <c r="H448" s="9" t="str">
        <f ca="1">+WORLDCUP!BD63</f>
        <v>Japón</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España</v>
      </c>
      <c r="D449" s="9" t="str">
        <f ca="1">+WORLDCUP!BD63</f>
        <v>Japón</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España</v>
      </c>
      <c r="D450" s="9" t="str">
        <f ca="1">+WORLDCUP!BD63</f>
        <v>Japón</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España</v>
      </c>
      <c r="D451" s="9" t="str">
        <f ca="1">+WORLDCUP!BD67</f>
        <v>Jordania</v>
      </c>
      <c r="E451" s="9" t="str">
        <f ca="1">+WORLDCUP!BD59</f>
        <v>Bosnia y Herzegovina</v>
      </c>
      <c r="F451" s="9" t="str">
        <f ca="1">+WORLDCUP!BD60</f>
        <v>Escocia</v>
      </c>
      <c r="G451" s="9" t="str">
        <f ca="1">+WORLDCUP!BD58</f>
        <v>República Checa</v>
      </c>
      <c r="H451" s="9" t="str">
        <f ca="1">+WORLDCUP!BD63</f>
        <v>Japón</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Japón</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Japón</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Japón</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Japón</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Japón</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Japón</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Japón</v>
      </c>
      <c r="I458" s="9" t="str">
        <f ca="1">+WORLDCUP!BD69</f>
        <v>Panamá</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1</v>
      </c>
      <c r="C459" s="9" t="str">
        <f ca="1">+WORLDCUP!BD65</f>
        <v>España</v>
      </c>
      <c r="D459" s="9" t="str">
        <f ca="1">+WORLDCUP!BD64</f>
        <v>Bélgica</v>
      </c>
      <c r="E459" s="9" t="str">
        <f ca="1">+WORLDCUP!BD59</f>
        <v>Bosnia y Herzegovina</v>
      </c>
      <c r="F459" s="9" t="str">
        <f ca="1">+WORLDCUP!BD60</f>
        <v>Escocia</v>
      </c>
      <c r="G459" s="9" t="str">
        <f ca="1">+WORLDCUP!BD58</f>
        <v>República Checa</v>
      </c>
      <c r="H459" s="9" t="str">
        <f ca="1">+WORLDCUP!BD63</f>
        <v>Japón</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España</v>
      </c>
      <c r="D460" s="9" t="str">
        <f ca="1">+WORLDCUP!BD64</f>
        <v>Bélgica</v>
      </c>
      <c r="E460" s="9" t="str">
        <f ca="1">+WORLDCUP!BD59</f>
        <v>Bosnia y Herzegovina</v>
      </c>
      <c r="F460" s="9" t="str">
        <f ca="1">+WORLDCUP!BD60</f>
        <v>Escocia</v>
      </c>
      <c r="G460" s="9" t="str">
        <f ca="1">+WORLDCUP!BD58</f>
        <v>República Checa</v>
      </c>
      <c r="H460" s="9" t="str">
        <f ca="1">+WORLDCUP!BD63</f>
        <v>Japón</v>
      </c>
      <c r="I460" s="9" t="str">
        <f ca="1">+WORLDCUP!BD61</f>
        <v>Paraguay</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España</v>
      </c>
      <c r="D461" s="9" t="str">
        <f ca="1">+WORLDCUP!BD64</f>
        <v>Bélgica</v>
      </c>
      <c r="E461" s="9" t="str">
        <f ca="1">+WORLDCUP!BD59</f>
        <v>Bosnia y Herzegovina</v>
      </c>
      <c r="F461" s="9" t="str">
        <f ca="1">+WORLDCUP!BD60</f>
        <v>Escocia</v>
      </c>
      <c r="G461" s="9" t="str">
        <f ca="1">+WORLDCUP!BD58</f>
        <v>República Checa</v>
      </c>
      <c r="H461" s="9" t="str">
        <f ca="1">+WORLDCUP!BD63</f>
        <v>Japón</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España</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España</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España</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España</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España</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España</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España</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España</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España</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España</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Japón</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Japón</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Japón</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Japón</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Japón</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Japón</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España</v>
      </c>
      <c r="D488" s="9" t="str">
        <f ca="1">+WORLDCUP!BD63</f>
        <v>Japón</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España</v>
      </c>
      <c r="D489" s="9" t="str">
        <f ca="1">+WORLDCUP!BD62</f>
        <v>Ecuador</v>
      </c>
      <c r="E489" s="9" t="str">
        <f ca="1">+WORLDCUP!BD59</f>
        <v>Bosnia y Herzegovina</v>
      </c>
      <c r="F489" s="9" t="str">
        <f ca="1">+WORLDCUP!BD60</f>
        <v>Escocia</v>
      </c>
      <c r="G489" s="9" t="str">
        <f ca="1">+WORLDCUP!BD58</f>
        <v>República Checa</v>
      </c>
      <c r="H489" s="9" t="str">
        <f ca="1">+WORLDCUP!BD63</f>
        <v>Japón</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España</v>
      </c>
      <c r="D490" s="9" t="str">
        <f ca="1">+WORLDCUP!BD67</f>
        <v>Jordania</v>
      </c>
      <c r="E490" s="9" t="str">
        <f ca="1">+WORLDCUP!BD59</f>
        <v>Bosnia y Herzegovina</v>
      </c>
      <c r="F490" s="9" t="str">
        <f ca="1">+WORLDCUP!BD60</f>
        <v>Escocia</v>
      </c>
      <c r="G490" s="9" t="str">
        <f ca="1">+WORLDCUP!BD58</f>
        <v>República Checa</v>
      </c>
      <c r="H490" s="9" t="str">
        <f ca="1">+WORLDCUP!BD63</f>
        <v>Japón</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España</v>
      </c>
      <c r="D491" s="9" t="str">
        <f ca="1">+WORLDCUP!BD62</f>
        <v>Ecuador</v>
      </c>
      <c r="E491" s="9" t="str">
        <f ca="1">+WORLDCUP!BD59</f>
        <v>Bosnia y Herzegovina</v>
      </c>
      <c r="F491" s="9" t="str">
        <f ca="1">+WORLDCUP!BD60</f>
        <v>Escocia</v>
      </c>
      <c r="G491" s="9" t="str">
        <f ca="1">+WORLDCUP!BD58</f>
        <v>República Checa</v>
      </c>
      <c r="H491" s="9" t="str">
        <f ca="1">+WORLDCUP!BD63</f>
        <v>Japón</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Japón</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Japón</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Japón</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Japón</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España</v>
      </c>
      <c r="D496" s="9" t="str">
        <f ca="1">+WORLDCUP!BD64</f>
        <v>Bélgica</v>
      </c>
      <c r="E496" s="9" t="str">
        <f ca="1">+WORLDCUP!BD59</f>
        <v>Bosnia y Herzegovina</v>
      </c>
      <c r="F496" s="9" t="str">
        <f ca="1">+WORLDCUP!BD60</f>
        <v>Escocia</v>
      </c>
      <c r="G496" s="9" t="str">
        <f ca="1">+WORLDCUP!BD58</f>
        <v>República Checa</v>
      </c>
      <c r="H496" s="9" t="str">
        <f ca="1">+WORLDCUP!BD63</f>
        <v>Japón</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2026-06-20T21:32:48Z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
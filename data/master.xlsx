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6F9BFDEB-2FE0-1A49-97B6-9A2E07C74626}"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Z122" i="2"/>
  <c r="Z121" i="2"/>
  <c r="Z120" i="2"/>
  <c r="Z116" i="2"/>
  <c r="AL115" i="2"/>
  <c r="Z115" i="2"/>
  <c r="Z114" i="2"/>
  <c r="AK113" i="2" a="1"/>
  <c r="AK113" i="2" s="1"/>
  <c r="Z113" i="2"/>
  <c r="AK112" i="2" a="1"/>
  <c r="AK112" i="2" s="1"/>
  <c r="Z112" i="2"/>
  <c r="AK111" i="2" a="1"/>
  <c r="AK111" i="2" s="1"/>
  <c r="Z111" i="2"/>
  <c r="AK110" i="2" a="1"/>
  <c r="AK110" i="2" s="1"/>
  <c r="Z110" i="2"/>
  <c r="AK109" i="2" a="1"/>
  <c r="AK109" i="2" s="1"/>
  <c r="Z109" i="2"/>
  <c r="AK108" i="2" a="1"/>
  <c r="AK108" i="2" s="1"/>
  <c r="Z108" i="2"/>
  <c r="AK107" i="2" a="1"/>
  <c r="AK107" i="2" s="1"/>
  <c r="Z107" i="2"/>
  <c r="AK106" i="2" a="1"/>
  <c r="AK106" i="2" s="1"/>
  <c r="Z106" i="2"/>
  <c r="AK105" i="2" a="1"/>
  <c r="AK105" i="2" s="1"/>
  <c r="Z105" i="2"/>
  <c r="AK104" i="2" a="1"/>
  <c r="AK104" i="2" s="1"/>
  <c r="Z104" i="2"/>
  <c r="AK103" i="2" a="1"/>
  <c r="AK103" i="2" s="1"/>
  <c r="Z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51" i="2"/>
  <c r="D75" i="5"/>
  <c r="D154" i="5"/>
  <c r="B94" i="3" s="1"/>
  <c r="D207" i="5"/>
  <c r="K7" i="8" s="1"/>
  <c r="M132" i="2"/>
  <c r="AA132" i="2" s="1"/>
  <c r="C211" i="3" s="1"/>
  <c r="C247" i="3"/>
  <c r="D22" i="5"/>
  <c r="AF3" i="2" s="1"/>
  <c r="AF19" i="2" s="1"/>
  <c r="AF35" i="2" s="1"/>
  <c r="D113" i="5"/>
  <c r="E162" i="3" s="1"/>
  <c r="D173" i="5"/>
  <c r="B113" i="3" s="1"/>
  <c r="D204" i="5"/>
  <c r="AB5" i="9" s="1"/>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AG125" i="2"/>
  <c r="D216" i="5"/>
  <c r="AB17" i="9" s="1"/>
  <c r="D228" i="5"/>
  <c r="AB29" i="9" s="1"/>
  <c r="C240" i="3"/>
  <c r="BB23" i="4"/>
  <c r="D211" i="5"/>
  <c r="AB12" i="9" s="1"/>
  <c r="D229" i="5"/>
  <c r="AB30" i="9" s="1"/>
  <c r="B247" i="3"/>
  <c r="AG126" i="2"/>
  <c r="D29" i="5"/>
  <c r="W129" i="2" s="1"/>
  <c r="D76" i="5"/>
  <c r="D122" i="5"/>
  <c r="D6" i="3" s="1"/>
  <c r="D212" i="5"/>
  <c r="AB13" i="9" s="1"/>
  <c r="D224" i="5"/>
  <c r="K24" i="8" s="1"/>
  <c r="D219" i="5"/>
  <c r="AB20" i="9" s="1"/>
  <c r="D249" i="5"/>
  <c r="K49" i="8" s="1"/>
  <c r="AG133" i="2"/>
  <c r="AZ25" i="4"/>
  <c r="AN13" i="4"/>
  <c r="AK31" i="4"/>
  <c r="AF5" i="4"/>
  <c r="AC4" i="4"/>
  <c r="AK32" i="4"/>
  <c r="C213" i="3"/>
  <c r="C227" i="3"/>
  <c r="C226" i="3"/>
  <c r="C244" i="3"/>
  <c r="B244" i="3"/>
  <c r="C236" i="3"/>
  <c r="N134" i="2"/>
  <c r="AF134" i="2" s="1"/>
  <c r="C217" i="3" s="1"/>
  <c r="AG127" i="2"/>
  <c r="AJ7" i="4"/>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I20" i="4"/>
  <c r="AC12" i="4"/>
  <c r="AB10" i="4"/>
  <c r="AB9" i="4"/>
  <c r="AJ8" i="4"/>
  <c r="AG46" i="4"/>
  <c r="AJ44" i="4"/>
  <c r="AC34" i="4"/>
  <c r="AC33" i="4"/>
  <c r="AS32" i="4"/>
  <c r="AR31" i="4"/>
  <c r="AC27" i="4"/>
  <c r="AC22" i="4"/>
  <c r="AC16" i="4"/>
  <c r="AO14" i="4"/>
  <c r="AB12"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G4" i="4"/>
  <c r="AN38" i="4"/>
  <c r="AB36" i="4"/>
  <c r="AF4" i="4"/>
  <c r="AC3" i="4"/>
  <c r="AC40" i="4"/>
  <c r="AB34" i="4"/>
  <c r="AC45" i="4"/>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M14" i="4" l="1"/>
  <c r="Z91" i="2"/>
  <c r="AA155" i="2"/>
  <c r="C254" i="3" s="1"/>
  <c r="Z20" i="2"/>
  <c r="Z29" i="2"/>
  <c r="Z45" i="2"/>
  <c r="Z85" i="2"/>
  <c r="Z67" i="2"/>
  <c r="Z75" i="2"/>
  <c r="C221" i="3"/>
  <c r="C232" i="3"/>
  <c r="B232" i="3"/>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X119" i="2"/>
  <c r="K19" i="8"/>
  <c r="AR29" i="2"/>
  <c r="Z60" i="2"/>
  <c r="Z12" i="2"/>
  <c r="K29" i="8"/>
  <c r="AR61" i="2"/>
  <c r="Z37" i="2"/>
  <c r="AR21" i="2"/>
  <c r="AR37" i="2"/>
  <c r="Z93" i="2"/>
  <c r="AR101" i="2"/>
  <c r="Z44" i="2"/>
  <c r="AI19" i="4"/>
  <c r="X75" i="2"/>
  <c r="AF51" i="2"/>
  <c r="AB50" i="9"/>
  <c r="Z36" i="2"/>
  <c r="AR69" i="2"/>
  <c r="Z5" i="2"/>
  <c r="Z92" i="2"/>
  <c r="Y146" i="2"/>
  <c r="K28" i="8"/>
  <c r="X51" i="2"/>
  <c r="X83" i="2"/>
  <c r="X146" i="2"/>
  <c r="X11" i="2"/>
  <c r="X27" i="2" s="1"/>
  <c r="X43" i="2" s="1"/>
  <c r="X67" i="2"/>
  <c r="Z53" i="2"/>
  <c r="Z77" i="2"/>
  <c r="X59" i="2"/>
  <c r="B221" i="3"/>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K33" i="8"/>
  <c r="AB35" i="9"/>
  <c r="K34" i="8"/>
  <c r="B22" i="8"/>
  <c r="B17" i="8"/>
  <c r="K48" i="8"/>
  <c r="AB49" i="9"/>
  <c r="AB44" i="9"/>
  <c r="B44" i="8"/>
  <c r="K43" i="8"/>
  <c r="C255" i="3"/>
  <c r="AJ3" i="2"/>
  <c r="BC5" i="2"/>
  <c r="BC57" i="2" s="1"/>
  <c r="B31" i="8"/>
  <c r="K10" i="8"/>
  <c r="AB11" i="9"/>
  <c r="AB48" i="9"/>
  <c r="B24" i="8"/>
  <c r="K47" i="8"/>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L45" i="4"/>
  <c r="BL17" i="4"/>
  <c r="BL36" i="4"/>
  <c r="BL28" i="4"/>
  <c r="BL7" i="4"/>
  <c r="BL5" i="4"/>
  <c r="BL43" i="4"/>
  <c r="BL46" i="4"/>
  <c r="BL30" i="4"/>
  <c r="BL26" i="4"/>
  <c r="BL51" i="4"/>
  <c r="BL24" i="4"/>
  <c r="BL29" i="4"/>
  <c r="BL49" i="4"/>
  <c r="BL40" i="4"/>
  <c r="BL47" i="4"/>
  <c r="BL37" i="4"/>
  <c r="BL4" i="4"/>
  <c r="BL22" i="4"/>
  <c r="BL23" i="4"/>
  <c r="BL41" i="4"/>
  <c r="BL11" i="4"/>
  <c r="BL12" i="4"/>
  <c r="BL44" i="4"/>
  <c r="BL18" i="4"/>
  <c r="BL35" i="4"/>
  <c r="BL14" i="4"/>
  <c r="BL25" i="4"/>
  <c r="BL33" i="4"/>
  <c r="BL34" i="4"/>
  <c r="BL31" i="4"/>
  <c r="BL19" i="4"/>
  <c r="BL27" i="4"/>
  <c r="BL21" i="4"/>
  <c r="BL42" i="4"/>
  <c r="BL32" i="4"/>
  <c r="BL50" i="4"/>
  <c r="BL16" i="4"/>
  <c r="BL39" i="4"/>
  <c r="BL9" i="4"/>
  <c r="BL20" i="4"/>
  <c r="BL6" i="4"/>
  <c r="BL13" i="4"/>
  <c r="BL38" i="4"/>
  <c r="BL48" i="4"/>
  <c r="BL10" i="4"/>
  <c r="BL15" i="4"/>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W43" i="2"/>
  <c r="BV43" i="2"/>
  <c r="BU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30" i="2" l="1"/>
  <c r="CB44" i="2"/>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30" i="2" l="1"/>
  <c r="CC44" i="2"/>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CJ44" i="2" s="1"/>
  <c r="O95" i="2"/>
  <c r="N97" i="2"/>
  <c r="N95" i="2"/>
  <c r="N96" i="2"/>
  <c r="O86" i="2"/>
  <c r="O89" i="2"/>
  <c r="O87" i="2"/>
  <c r="N89" i="2"/>
  <c r="N87" i="2"/>
  <c r="N88" i="2"/>
  <c r="N86" i="2"/>
  <c r="O88" i="2"/>
  <c r="N71" i="2"/>
  <c r="N72" i="2"/>
  <c r="O62" i="2"/>
  <c r="O64" i="2"/>
  <c r="O63" i="2"/>
  <c r="N64" i="2"/>
  <c r="N62" i="2"/>
  <c r="CK36" i="2" s="1"/>
  <c r="O65" i="2"/>
  <c r="CK37" i="2" s="1"/>
  <c r="N63" i="2"/>
  <c r="N65" i="2"/>
  <c r="N54" i="2"/>
  <c r="O57" i="2"/>
  <c r="O55" i="2"/>
  <c r="N56" i="2"/>
  <c r="O54" i="2"/>
  <c r="O56" i="2"/>
  <c r="O30" i="2"/>
  <c r="O33" i="2"/>
  <c r="CJ19" i="2" s="1"/>
  <c r="O31" i="2"/>
  <c r="N33" i="2"/>
  <c r="CJ20" i="2" s="1"/>
  <c r="N39" i="2"/>
  <c r="N41" i="2"/>
  <c r="O38" i="2"/>
  <c r="O40" i="2"/>
  <c r="O8" i="2"/>
  <c r="O47" i="2"/>
  <c r="N48" i="2"/>
  <c r="CJ28" i="2"/>
  <c r="O48" i="2"/>
  <c r="O22" i="2"/>
  <c r="N25" i="2"/>
  <c r="N23" i="2"/>
  <c r="O24" i="2"/>
  <c r="N22" i="2"/>
  <c r="CI15" i="2" s="1"/>
  <c r="N24" i="2"/>
  <c r="O15" i="2"/>
  <c r="CI10" i="2" s="1"/>
  <c r="O17" i="2"/>
  <c r="CI11" i="2" s="1"/>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CI20" i="2" s="1"/>
  <c r="N31" i="2"/>
  <c r="CI16" i="2"/>
  <c r="O23" i="2"/>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K50" i="2"/>
  <c r="CJ50" i="2"/>
  <c r="CI21" i="2"/>
  <c r="CK21" i="2"/>
  <c r="CJ21" i="2"/>
  <c r="CJ22" i="2"/>
  <c r="CI22" i="2"/>
  <c r="CK22" i="2"/>
  <c r="CI29" i="2"/>
  <c r="CK29" i="2"/>
  <c r="CJ29" i="2"/>
  <c r="CJ33" i="2"/>
  <c r="CI33" i="2"/>
  <c r="CK33" i="2"/>
  <c r="CJ11" i="2"/>
  <c r="CK11"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1" i="2" l="1"/>
  <c r="CQ31" i="2" s="1"/>
  <c r="CO36" i="2"/>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D112" i="2" s="1"/>
  <c r="BJ66" i="2"/>
  <c r="BJ63" i="2"/>
  <c r="BJ62" i="2"/>
  <c r="AL17" i="2"/>
  <c r="AL73" i="2"/>
  <c r="BK67" i="2"/>
  <c r="AL79" i="2"/>
  <c r="N112" i="2" s="1"/>
  <c r="AF111" i="2" s="1"/>
  <c r="BJ68" i="2"/>
  <c r="AL70" i="2"/>
  <c r="M105" i="2" s="1"/>
  <c r="AA106" i="2" s="1"/>
  <c r="D106" i="2" s="1"/>
  <c r="AL71" i="2"/>
  <c r="N106" i="2" s="1"/>
  <c r="AF105" i="2" s="1"/>
  <c r="D105" i="2" s="1"/>
  <c r="AL14" i="2"/>
  <c r="M113" i="2" s="1"/>
  <c r="AA113" i="2" s="1"/>
  <c r="D113" i="2" s="1"/>
  <c r="BH65" i="2"/>
  <c r="AL25" i="2"/>
  <c r="BD61" i="2"/>
  <c r="AL30" i="2"/>
  <c r="M109" i="2" s="1"/>
  <c r="AA110" i="2" s="1"/>
  <c r="D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D104" i="2" s="1"/>
  <c r="AL86" i="2"/>
  <c r="M115" i="2" s="1"/>
  <c r="AA116" i="2" s="1"/>
  <c r="D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D114" i="2" s="1"/>
  <c r="AL41" i="2"/>
  <c r="BD65" i="2"/>
  <c r="AL40" i="2"/>
  <c r="AL96" i="2"/>
  <c r="AL62" i="2"/>
  <c r="M112" i="2" s="1"/>
  <c r="AA111" i="2" s="1"/>
  <c r="D111" i="2" s="1"/>
  <c r="BI68" i="2"/>
  <c r="AL63" i="2"/>
  <c r="N114" i="2" s="1"/>
  <c r="AF115" i="2" s="1"/>
  <c r="BD60" i="2"/>
  <c r="BH67" i="2"/>
  <c r="BH63" i="2"/>
  <c r="AL48" i="2"/>
  <c r="AL88" i="2"/>
  <c r="AL56" i="2"/>
  <c r="AL47" i="2"/>
  <c r="N104" i="2" s="1"/>
  <c r="AF102" i="2" s="1"/>
  <c r="AL94" i="2"/>
  <c r="M108" i="2" s="1"/>
  <c r="AA108" i="2" s="1"/>
  <c r="D108" i="2" s="1"/>
  <c r="BK69" i="2"/>
  <c r="BD67" i="2"/>
  <c r="BI63" i="2"/>
  <c r="BD63" i="2"/>
  <c r="AL72" i="2"/>
  <c r="BK60" i="2"/>
  <c r="AL57" i="2"/>
  <c r="BG60" i="2"/>
  <c r="BH61" i="2"/>
  <c r="AL80" i="2"/>
  <c r="BK64" i="2"/>
  <c r="BK61" i="2"/>
  <c r="BH64" i="2"/>
  <c r="BD64" i="2"/>
  <c r="AL81" i="2"/>
  <c r="BJ60" i="2"/>
  <c r="AL32" i="2"/>
  <c r="BK68" i="2"/>
  <c r="BJ61" i="2"/>
  <c r="AL78" i="2"/>
  <c r="M114" i="2" s="1"/>
  <c r="AA115" i="2" s="1"/>
  <c r="D115" i="2" s="1"/>
  <c r="AL54" i="2"/>
  <c r="M110" i="2" s="1"/>
  <c r="AA109" i="2" s="1"/>
  <c r="D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AG116" i="2" l="1"/>
  <c r="N127" i="2"/>
  <c r="AF127" i="2" s="1"/>
  <c r="AG114" i="2"/>
  <c r="N126" i="2"/>
  <c r="AF126" i="2" s="1"/>
  <c r="AG104" i="2"/>
  <c r="N121" i="2"/>
  <c r="AF120" i="2" s="1"/>
  <c r="D120" i="2" s="1"/>
  <c r="AG115" i="2"/>
  <c r="M126" i="2"/>
  <c r="AA126" i="2" s="1"/>
  <c r="M127" i="2"/>
  <c r="AA127" i="2" s="1"/>
  <c r="AG113" i="2"/>
  <c r="M124" i="2"/>
  <c r="AA124" i="2" s="1"/>
  <c r="AG112" i="2"/>
  <c r="N124" i="2"/>
  <c r="AF124" i="2" s="1"/>
  <c r="AG111" i="2"/>
  <c r="M125" i="2"/>
  <c r="AA125" i="2" s="1"/>
  <c r="AG110" i="2"/>
  <c r="N125" i="2"/>
  <c r="AF125" i="2" s="1"/>
  <c r="AG109" i="2"/>
  <c r="N123" i="2"/>
  <c r="AF123" i="2" s="1"/>
  <c r="D123" i="2" s="1"/>
  <c r="AG108" i="2"/>
  <c r="AG106" i="2"/>
  <c r="N120" i="2"/>
  <c r="AF121" i="2" s="1"/>
  <c r="D121" i="2" s="1"/>
  <c r="AG105" i="2"/>
  <c r="N122" i="2"/>
  <c r="AF122" i="2" s="1"/>
  <c r="D122" i="2" s="1"/>
  <c r="M122" i="2"/>
  <c r="AA122" i="2" s="1"/>
  <c r="AG102" i="2"/>
  <c r="M121" i="2"/>
  <c r="AA120" i="2" s="1"/>
  <c r="AG101" i="2"/>
  <c r="M107" i="2"/>
  <c r="AA107" i="2"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AG123" i="2" l="1"/>
  <c r="N133" i="2"/>
  <c r="AF133" i="2" s="1"/>
  <c r="AG122" i="2"/>
  <c r="M133" i="2"/>
  <c r="AA133" i="2" s="1"/>
  <c r="AG121" i="2"/>
  <c r="M131" i="2"/>
  <c r="AA131" i="2" s="1"/>
  <c r="N131" i="2"/>
  <c r="AF131" i="2" s="1"/>
  <c r="AG120" i="2"/>
  <c r="C197" i="3"/>
  <c r="AE47" i="4"/>
  <c r="C196" i="3"/>
  <c r="AE41" i="4"/>
  <c r="C190" i="3"/>
  <c r="AE11" i="4"/>
  <c r="AE40" i="4"/>
  <c r="B206" i="3"/>
  <c r="C206" i="3"/>
  <c r="C188" i="3"/>
  <c r="C189" i="3"/>
  <c r="AE46" i="4"/>
  <c r="B207" i="3"/>
  <c r="C207" i="3"/>
  <c r="AE16" i="4"/>
  <c r="C186" i="3"/>
  <c r="C194" i="3"/>
  <c r="AE17" i="4"/>
  <c r="C204" i="3"/>
  <c r="B204" i="3"/>
  <c r="AE22" i="4"/>
  <c r="C187" i="3"/>
  <c r="C195" i="3"/>
  <c r="B205" i="3"/>
  <c r="C205" i="3"/>
  <c r="AE23" i="4"/>
  <c r="C193" i="3"/>
  <c r="AE35" i="4"/>
  <c r="C136" i="3"/>
  <c r="D107" i="2"/>
  <c r="C191" i="3"/>
  <c r="AE5" i="4"/>
  <c r="C192" i="3"/>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C216" i="3" l="1"/>
  <c r="AI32" i="4"/>
  <c r="AI31" i="4"/>
  <c r="C212" i="3"/>
  <c r="C222" i="3"/>
  <c r="B222" i="3"/>
  <c r="AI7" i="4"/>
  <c r="C210" i="3"/>
  <c r="C214" i="3"/>
  <c r="AI8" i="4"/>
  <c r="B220" i="3"/>
  <c r="C220" i="3"/>
  <c r="M123" i="2"/>
  <c r="AA123" i="2" s="1"/>
  <c r="AG107" i="2"/>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K15" i="4" l="1"/>
  <c r="BK38" i="4"/>
  <c r="BK20" i="4"/>
  <c r="BK16" i="4"/>
  <c r="BK37" i="4"/>
  <c r="BK49" i="4"/>
  <c r="BK48" i="4"/>
  <c r="BK42" i="4"/>
  <c r="BK19" i="4"/>
  <c r="BK33" i="4"/>
  <c r="BK35" i="4"/>
  <c r="BK12" i="4"/>
  <c r="BK51" i="4"/>
  <c r="BK46" i="4"/>
  <c r="BK7" i="4"/>
  <c r="BK17" i="4"/>
  <c r="BK11" i="4"/>
  <c r="BK28" i="4"/>
  <c r="BK29" i="4"/>
  <c r="BK47" i="4"/>
  <c r="BK6" i="4"/>
  <c r="BK39" i="4"/>
  <c r="BK10" i="4"/>
  <c r="BK13" i="4"/>
  <c r="BK9" i="4"/>
  <c r="BK50" i="4"/>
  <c r="BK22" i="4"/>
  <c r="BK26" i="4"/>
  <c r="BK43" i="4"/>
  <c r="BK45" i="4"/>
  <c r="BK27" i="4"/>
  <c r="BK14" i="4"/>
  <c r="BK21" i="4"/>
  <c r="BK31" i="4"/>
  <c r="BK25" i="4"/>
  <c r="BK18" i="4"/>
  <c r="BK32" i="4"/>
  <c r="BK34" i="4"/>
  <c r="BK41" i="4"/>
  <c r="BK4" i="4"/>
  <c r="BK40" i="4"/>
  <c r="BK24" i="4"/>
  <c r="BK23" i="4"/>
  <c r="BK44" i="4"/>
  <c r="BK30" i="4"/>
  <c r="BK5" i="4"/>
  <c r="BK36" i="4"/>
  <c r="BK8" i="4"/>
  <c r="AE34" i="4"/>
  <c r="C185" i="3"/>
  <c r="C203" i="3"/>
  <c r="B203" i="3"/>
  <c r="BU63" i="2"/>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D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M120" i="2" l="1"/>
  <c r="AA121" i="2" s="1"/>
  <c r="AG103" i="2"/>
  <c r="C158" i="3"/>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AE4" i="4" l="1"/>
  <c r="C183" i="3"/>
  <c r="C201" i="3"/>
  <c r="B201" i="3"/>
  <c r="BJ8" i="4" l="1"/>
  <c r="BI8" i="4" s="1"/>
  <c r="BH8" i="4" s="1"/>
  <c r="BJ11" i="4"/>
  <c r="BI11" i="4" s="1"/>
  <c r="BH11" i="4" s="1"/>
  <c r="BJ28" i="4"/>
  <c r="BI28" i="4" s="1"/>
  <c r="BH28" i="4" s="1"/>
  <c r="BJ35" i="4"/>
  <c r="BI35" i="4" s="1"/>
  <c r="BH35" i="4" s="1"/>
  <c r="BJ49" i="4"/>
  <c r="BI49" i="4" s="1"/>
  <c r="BH49" i="4" s="1"/>
  <c r="BJ48" i="4"/>
  <c r="BI48" i="4" s="1"/>
  <c r="BH48" i="4" s="1"/>
  <c r="BJ46" i="4"/>
  <c r="BI46" i="4" s="1"/>
  <c r="BH46" i="4" s="1"/>
  <c r="BJ34" i="4"/>
  <c r="BI34" i="4" s="1"/>
  <c r="BH34" i="4" s="1"/>
  <c r="BJ30" i="4"/>
  <c r="BI30" i="4" s="1"/>
  <c r="BH30" i="4" s="1"/>
  <c r="BJ47" i="4"/>
  <c r="BI47" i="4" s="1"/>
  <c r="BH47" i="4" s="1"/>
  <c r="BJ13" i="4"/>
  <c r="BI13" i="4" s="1"/>
  <c r="BH13" i="4" s="1"/>
  <c r="BJ43" i="4"/>
  <c r="BI43" i="4" s="1"/>
  <c r="BH43" i="4" s="1"/>
  <c r="BJ17" i="4"/>
  <c r="BI17" i="4" s="1"/>
  <c r="BH17" i="4" s="1"/>
  <c r="BJ42" i="4"/>
  <c r="BI42" i="4" s="1"/>
  <c r="BH42" i="4" s="1"/>
  <c r="BJ20" i="4"/>
  <c r="BI20" i="4" s="1"/>
  <c r="BH20" i="4" s="1"/>
  <c r="BJ41" i="4"/>
  <c r="BI41" i="4" s="1"/>
  <c r="BH41" i="4" s="1"/>
  <c r="BJ12" i="4"/>
  <c r="BI12" i="4" s="1"/>
  <c r="BH12" i="4" s="1"/>
  <c r="BJ4" i="4"/>
  <c r="BI4" i="4" s="1"/>
  <c r="BH4" i="4" s="1"/>
  <c r="BJ29" i="4"/>
  <c r="BI29" i="4" s="1"/>
  <c r="BH29" i="4" s="1"/>
  <c r="BJ15" i="4"/>
  <c r="BI15" i="4" s="1"/>
  <c r="BH15" i="4" s="1"/>
  <c r="BJ10" i="4"/>
  <c r="BI10" i="4" s="1"/>
  <c r="BH10" i="4" s="1"/>
  <c r="BJ33" i="4"/>
  <c r="BI33" i="4" s="1"/>
  <c r="BH33" i="4" s="1"/>
  <c r="BJ21" i="4"/>
  <c r="BI21" i="4" s="1"/>
  <c r="BH21" i="4" s="1"/>
  <c r="BJ31" i="4"/>
  <c r="BI31" i="4" s="1"/>
  <c r="BH31" i="4" s="1"/>
  <c r="BJ27" i="4"/>
  <c r="BI27" i="4" s="1"/>
  <c r="BH27" i="4" s="1"/>
  <c r="BJ38" i="4"/>
  <c r="BI38" i="4" s="1"/>
  <c r="BH38" i="4" s="1"/>
  <c r="BJ16" i="4"/>
  <c r="BI16" i="4" s="1"/>
  <c r="BH16" i="4" s="1"/>
  <c r="BJ18" i="4"/>
  <c r="BI18" i="4" s="1"/>
  <c r="BH18" i="4" s="1"/>
  <c r="BJ23" i="4"/>
  <c r="BI23" i="4" s="1"/>
  <c r="BH23" i="4" s="1"/>
  <c r="BJ26" i="4"/>
  <c r="BI26" i="4" s="1"/>
  <c r="BH26" i="4" s="1"/>
  <c r="BJ51" i="4"/>
  <c r="BI51" i="4" s="1"/>
  <c r="BH51" i="4" s="1"/>
  <c r="BJ36" i="4"/>
  <c r="BI36" i="4" s="1"/>
  <c r="BH36" i="4" s="1"/>
  <c r="BJ14" i="4"/>
  <c r="BI14" i="4" s="1"/>
  <c r="BH14" i="4" s="1"/>
  <c r="BJ39" i="4"/>
  <c r="BI39" i="4" s="1"/>
  <c r="BH39" i="4" s="1"/>
  <c r="BJ44" i="4"/>
  <c r="BI44" i="4" s="1"/>
  <c r="BH44" i="4" s="1"/>
  <c r="BJ25" i="4"/>
  <c r="BI25" i="4" s="1"/>
  <c r="BH25" i="4" s="1"/>
  <c r="BJ5" i="4"/>
  <c r="BI5" i="4" s="1"/>
  <c r="BH5" i="4" s="1"/>
  <c r="BJ45" i="4"/>
  <c r="BI45" i="4" s="1"/>
  <c r="BH45" i="4" s="1"/>
  <c r="BJ24" i="4"/>
  <c r="BI24" i="4" s="1"/>
  <c r="BH24" i="4" s="1"/>
  <c r="BJ50" i="4"/>
  <c r="BI50" i="4" s="1"/>
  <c r="BH50" i="4" s="1"/>
  <c r="BJ7" i="4"/>
  <c r="BI7" i="4" s="1"/>
  <c r="BH7" i="4" s="1"/>
  <c r="BJ6" i="4"/>
  <c r="BI6" i="4" s="1"/>
  <c r="BH6" i="4" s="1"/>
  <c r="BJ40" i="4"/>
  <c r="BI40" i="4" s="1"/>
  <c r="BH40" i="4" s="1"/>
  <c r="BJ37" i="4"/>
  <c r="BI37" i="4" s="1"/>
  <c r="BH37" i="4" s="1"/>
  <c r="BJ19" i="4"/>
  <c r="BI19" i="4" s="1"/>
  <c r="BH19" i="4" s="1"/>
  <c r="BJ32" i="4"/>
  <c r="BI32" i="4" s="1"/>
  <c r="BH32" i="4" s="1"/>
  <c r="BJ22" i="4"/>
  <c r="BI22" i="4" s="1"/>
  <c r="BH22" i="4" s="1"/>
  <c r="BJ9" i="4"/>
  <c r="BI9" i="4" s="1"/>
  <c r="BH9"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<sst xmlns="http://schemas.openxmlformats.org/spreadsheetml/2006/main" count="6754" uniqueCount="1516">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</sst>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05" zoomScale="118" zoomScaleNormal="100" workbookViewId="0">
      <selection activeCell="AN131" sqref="AN131"/>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2"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3"/>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3"/>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3"/>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3"/>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4"/>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41"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3"/>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3"/>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3"/>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3"/>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4"/>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40"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3"/>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3"/>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3"/>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3"/>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4"/>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1"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3"/>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3"/>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3"/>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3"/>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4"/>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3"/>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3"/>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3"/>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3"/>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4"/>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3"/>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3"/>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3"/>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3"/>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4"/>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3"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3"/>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3"/>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3"/>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3"/>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4"/>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6"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3"/>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3"/>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3"/>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3"/>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4"/>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9"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3"/>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3"/>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3"/>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3"/>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4"/>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22"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3"/>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3"/>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3"/>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3"/>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4"/>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3"/>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3"/>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3"/>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3"/>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4"/>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3"/>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3"/>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3"/>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3"/>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4"/>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ca="1" si="260"/>
        <v>Paraguay</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3"/>
      <c r="X103" s="24">
        <f ca="1">Horarios!C103</f>
        <v>46202.6875</v>
      </c>
      <c r="Y103" s="25">
        <f ca="1">Horarios!C103</f>
        <v>46202.6875</v>
      </c>
      <c r="Z103" s="274">
        <f t="shared" si="263"/>
        <v>74</v>
      </c>
      <c r="AA103" s="88" t="str">
        <f t="shared" ca="1" si="264"/>
        <v>Alemania</v>
      </c>
      <c r="AB103" s="89">
        <v>0</v>
      </c>
      <c r="AC103" s="92">
        <v>1</v>
      </c>
      <c r="AD103" s="92">
        <v>1</v>
      </c>
      <c r="AE103" s="89">
        <v>2</v>
      </c>
      <c r="AF103" s="91" t="str">
        <f t="shared" ca="1" si="265"/>
        <v>Paraguay</v>
      </c>
      <c r="AG103" s="320">
        <f t="shared" ca="1" si="266"/>
        <v>1</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ca="1" si="260"/>
        <v>Marruecos</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3"/>
      <c r="X104" s="24">
        <f ca="1">Horarios!C104</f>
        <v>46202.875</v>
      </c>
      <c r="Y104" s="25">
        <f ca="1">Horarios!C104</f>
        <v>46202.875</v>
      </c>
      <c r="Z104" s="274">
        <f t="shared" si="263"/>
        <v>75</v>
      </c>
      <c r="AA104" s="88" t="str">
        <f t="shared" ca="1" si="264"/>
        <v>Países Bajos</v>
      </c>
      <c r="AB104" s="89">
        <v>0</v>
      </c>
      <c r="AC104" s="92">
        <v>1</v>
      </c>
      <c r="AD104" s="92">
        <v>1</v>
      </c>
      <c r="AE104" s="89">
        <v>2</v>
      </c>
      <c r="AF104" s="91" t="str">
        <f t="shared" ca="1" si="265"/>
        <v>Marruecos</v>
      </c>
      <c r="AG104" s="320">
        <f t="shared" ca="1" si="266"/>
        <v>1</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ca="1" si="260"/>
        <v>Francia</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Francia</v>
      </c>
      <c r="AB106" s="89"/>
      <c r="AC106" s="92">
        <v>3</v>
      </c>
      <c r="AD106" s="92">
        <v>0</v>
      </c>
      <c r="AE106" s="89"/>
      <c r="AF106" s="91" t="str">
        <f t="shared" ca="1" si="265"/>
        <v>Suecia</v>
      </c>
      <c r="AG106" s="320">
        <f t="shared" ca="1" si="266"/>
        <v>1</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ca="1" si="260"/>
        <v>México</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3"/>
      <c r="X107" s="24">
        <f ca="1">Horarios!C107</f>
        <v>46203.875</v>
      </c>
      <c r="Y107" s="25">
        <f ca="1">Horarios!C107</f>
        <v>46203.875</v>
      </c>
      <c r="Z107" s="274">
        <f t="shared" si="263"/>
        <v>79</v>
      </c>
      <c r="AA107" s="88" t="str">
        <f t="shared" ca="1" si="264"/>
        <v>México</v>
      </c>
      <c r="AB107" s="89"/>
      <c r="AC107" s="92">
        <v>2</v>
      </c>
      <c r="AD107" s="92">
        <v>0</v>
      </c>
      <c r="AE107" s="89"/>
      <c r="AF107" s="91" t="str">
        <f t="shared" ca="1" si="265"/>
        <v>Ecuador</v>
      </c>
      <c r="AG107" s="320">
        <f t="shared" ca="1" si="266"/>
        <v>1</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ca="1" si="260"/>
        <v>Inglaterra</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3"/>
      <c r="X108" s="24">
        <f ca="1">Horarios!C108</f>
        <v>46204.5</v>
      </c>
      <c r="Y108" s="25">
        <f ca="1">Horarios!C108</f>
        <v>46204.5</v>
      </c>
      <c r="Z108" s="274">
        <f t="shared" si="263"/>
        <v>80</v>
      </c>
      <c r="AA108" s="88" t="str">
        <f t="shared" ca="1" si="264"/>
        <v>Inglaterra</v>
      </c>
      <c r="AB108" s="89"/>
      <c r="AC108" s="92">
        <v>2</v>
      </c>
      <c r="AD108" s="92">
        <v>1</v>
      </c>
      <c r="AE108" s="89"/>
      <c r="AF108" s="91" t="str">
        <f t="shared" ca="1" si="265"/>
        <v>RD Congo</v>
      </c>
      <c r="AG108" s="320">
        <f t="shared" ca="1" si="266"/>
        <v>1</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ca="1" si="260"/>
        <v>Bélgica</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Bélgica</v>
      </c>
      <c r="AB109" s="89"/>
      <c r="AC109" s="92">
        <v>3</v>
      </c>
      <c r="AD109" s="92">
        <v>2</v>
      </c>
      <c r="AE109" s="89"/>
      <c r="AF109" s="91" t="str">
        <f t="shared" ca="1" si="265"/>
        <v>Senegal</v>
      </c>
      <c r="AG109" s="320">
        <f t="shared" ca="1" si="266"/>
        <v>1</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ca="1" si="260"/>
        <v>Estados Unidos</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Estados Unidos</v>
      </c>
      <c r="AB110" s="89"/>
      <c r="AC110" s="92">
        <v>2</v>
      </c>
      <c r="AD110" s="92">
        <v>0</v>
      </c>
      <c r="AE110" s="89"/>
      <c r="AF110" s="91" t="str">
        <f t="shared" ca="1" si="265"/>
        <v>Bosnia y Herzegovina</v>
      </c>
      <c r="AG110" s="320">
        <f t="shared" ca="1" si="266"/>
        <v>1</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ca="1" si="260"/>
        <v>España</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3"/>
      <c r="X111" s="24">
        <f ca="1">Horarios!C111</f>
        <v>46205.625</v>
      </c>
      <c r="Y111" s="25">
        <f ca="1">Horarios!C111</f>
        <v>46205.625</v>
      </c>
      <c r="Z111" s="274">
        <f t="shared" si="263"/>
        <v>84</v>
      </c>
      <c r="AA111" s="88" t="str">
        <f t="shared" ca="1" si="264"/>
        <v>España</v>
      </c>
      <c r="AB111" s="89"/>
      <c r="AC111" s="92">
        <v>3</v>
      </c>
      <c r="AD111" s="92">
        <v>0</v>
      </c>
      <c r="AE111" s="89"/>
      <c r="AF111" s="91" t="str">
        <f t="shared" ca="1" si="265"/>
        <v>Austria</v>
      </c>
      <c r="AG111" s="320">
        <f t="shared" ca="1" si="266"/>
        <v>1</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ca="1" si="260"/>
        <v>Portugal</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Portugal</v>
      </c>
      <c r="AB112" s="89"/>
      <c r="AC112" s="92">
        <v>2</v>
      </c>
      <c r="AD112" s="92">
        <v>1</v>
      </c>
      <c r="AE112" s="89"/>
      <c r="AF112" s="91" t="str">
        <f t="shared" ca="1" si="265"/>
        <v>Croacia</v>
      </c>
      <c r="AG112" s="320">
        <f t="shared" ca="1" si="266"/>
        <v>1</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ca="1" si="260"/>
        <v>Suiza</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Suiza</v>
      </c>
      <c r="AB113" s="89"/>
      <c r="AC113" s="92">
        <v>2</v>
      </c>
      <c r="AD113" s="92">
        <v>0</v>
      </c>
      <c r="AE113" s="90"/>
      <c r="AF113" s="91" t="str">
        <f t="shared" ca="1" si="265"/>
        <v>Argelia</v>
      </c>
      <c r="AG113" s="320">
        <f t="shared" ca="1" si="266"/>
        <v>1</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ca="1" si="260"/>
        <v>Egipto</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Australia</v>
      </c>
      <c r="AB114" s="89">
        <v>0</v>
      </c>
      <c r="AC114" s="92">
        <v>1</v>
      </c>
      <c r="AD114" s="92">
        <v>1</v>
      </c>
      <c r="AE114" s="89">
        <v>2</v>
      </c>
      <c r="AF114" s="91" t="str">
        <f t="shared" ca="1" si="265"/>
        <v>Egipto</v>
      </c>
      <c r="AG114" s="320">
        <f t="shared" ca="1" si="266"/>
        <v>1</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ca="1" si="260"/>
        <v>Argentina</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3"/>
      <c r="X115" s="24">
        <f ca="1">Horarios!C115</f>
        <v>46206.75</v>
      </c>
      <c r="Y115" s="25">
        <f ca="1">Horarios!C115</f>
        <v>46206.75</v>
      </c>
      <c r="Z115" s="274">
        <f t="shared" si="263"/>
        <v>86</v>
      </c>
      <c r="AA115" s="88" t="str">
        <f t="shared" ca="1" si="264"/>
        <v>Argentina</v>
      </c>
      <c r="AB115" s="89"/>
      <c r="AC115" s="92">
        <v>3</v>
      </c>
      <c r="AD115" s="92">
        <v>2</v>
      </c>
      <c r="AE115" s="89"/>
      <c r="AF115" s="91" t="str">
        <f t="shared" ca="1" si="265"/>
        <v>Cabo Verde</v>
      </c>
      <c r="AG115" s="320">
        <f t="shared" ca="1" si="266"/>
        <v>1</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ca="1" si="260"/>
        <v>Colombia</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Colombia</v>
      </c>
      <c r="AB116" s="94"/>
      <c r="AC116" s="271">
        <v>1</v>
      </c>
      <c r="AD116" s="271">
        <v>0</v>
      </c>
      <c r="AE116" s="94"/>
      <c r="AF116" s="95" t="str">
        <f t="shared" ca="1" si="265"/>
        <v>Ghana</v>
      </c>
      <c r="AG116" s="320">
        <f t="shared" ca="1" si="266"/>
        <v>1</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ca="1" si="276">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172</v>
      </c>
      <c r="M120" s="16" t="str">
        <f t="shared" ref="M120:N127" ca="1" si="277">+INDEX($D$101:$D$147,MATCH(E120,$AH$101:$AH$147,0))</f>
        <v>Paraguay</v>
      </c>
      <c r="N120" s="16" t="str">
        <f t="shared" ca="1" si="277"/>
        <v>Francia</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v>0</v>
      </c>
      <c r="AD120" s="96">
        <v>3</v>
      </c>
      <c r="AE120" s="89"/>
      <c r="AF120" s="91" t="str">
        <f t="shared" ref="AF120:AF127" ca="1" si="280">+INDEX($N$101:$N$147,MATCH(AH120,$J$101:$J$147,0))</f>
        <v>Marruecos</v>
      </c>
      <c r="AG120" s="320">
        <f t="shared" ref="AG120:AG127" ca="1" si="281">IF(D120="W"&amp;AH120,0,1)</f>
        <v>1</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ca="1" si="276"/>
        <v>Francia</v>
      </c>
      <c r="E121" s="16">
        <v>73</v>
      </c>
      <c r="F121" s="16">
        <v>75</v>
      </c>
      <c r="G121" s="16"/>
      <c r="H121" s="16"/>
      <c r="I121" s="16"/>
      <c r="J121" s="16">
        <v>90</v>
      </c>
      <c r="K121" s="16">
        <v>46207.875</v>
      </c>
      <c r="L121" s="16" t="s">
        <v>176</v>
      </c>
      <c r="M121" s="16" t="str">
        <f t="shared" ca="1" si="277"/>
        <v>Canadá</v>
      </c>
      <c r="N121" s="16" t="str">
        <f t="shared" ca="1" si="277"/>
        <v>Marruecos</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ca="1" si="279"/>
        <v>Paraguay</v>
      </c>
      <c r="AB121" s="89"/>
      <c r="AC121" s="97">
        <v>0</v>
      </c>
      <c r="AD121" s="97">
        <v>1</v>
      </c>
      <c r="AE121" s="89"/>
      <c r="AF121" s="91" t="str">
        <f t="shared" ca="1" si="280"/>
        <v>Francia</v>
      </c>
      <c r="AG121" s="320">
        <f t="shared" ca="1" si="281"/>
        <v>1</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ca="1" si="276"/>
        <v>Noruega</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ca="1" si="279"/>
        <v>Brasil</v>
      </c>
      <c r="AB122" s="89"/>
      <c r="AC122" s="97">
        <v>1</v>
      </c>
      <c r="AD122" s="97">
        <v>2</v>
      </c>
      <c r="AE122" s="89"/>
      <c r="AF122" s="91" t="str">
        <f t="shared" ca="1" si="280"/>
        <v>Noruega</v>
      </c>
      <c r="AG122" s="320">
        <f t="shared" ca="1" si="281"/>
        <v>1</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ca="1" si="276"/>
        <v>Inglaterra</v>
      </c>
      <c r="E123" s="16">
        <v>79</v>
      </c>
      <c r="F123" s="16">
        <v>80</v>
      </c>
      <c r="G123" s="16"/>
      <c r="H123" s="16"/>
      <c r="I123" s="16"/>
      <c r="J123" s="16">
        <v>92</v>
      </c>
      <c r="K123" s="16">
        <v>46208.875</v>
      </c>
      <c r="L123" s="16" t="s">
        <v>182</v>
      </c>
      <c r="M123" s="16" t="str">
        <f t="shared" ca="1" si="277"/>
        <v>México</v>
      </c>
      <c r="N123" s="16" t="str">
        <f t="shared" ca="1" si="277"/>
        <v>Inglaterra</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ca="1" si="279"/>
        <v>México</v>
      </c>
      <c r="AB123" s="89"/>
      <c r="AC123" s="97">
        <v>2</v>
      </c>
      <c r="AD123" s="97">
        <v>3</v>
      </c>
      <c r="AE123" s="89"/>
      <c r="AF123" s="91" t="str">
        <f t="shared" ca="1" si="280"/>
        <v>Inglaterra</v>
      </c>
      <c r="AG123" s="320">
        <f t="shared" ca="1" si="281"/>
        <v>1</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ca="1" si="277"/>
        <v>Portugal</v>
      </c>
      <c r="N124" s="16" t="str">
        <f t="shared" ca="1" si="277"/>
        <v>España</v>
      </c>
      <c r="O124" s="16"/>
      <c r="P124" s="16"/>
      <c r="Q124" s="16"/>
      <c r="R124" s="16"/>
      <c r="S124" s="16"/>
      <c r="T124" s="16"/>
      <c r="U124" s="16"/>
      <c r="V124" s="17"/>
      <c r="W124" s="620"/>
      <c r="X124" s="24">
        <f ca="1">Horarios!C124</f>
        <v>46209.625</v>
      </c>
      <c r="Y124" s="25">
        <f ca="1">Horarios!C124</f>
        <v>46209.625</v>
      </c>
      <c r="Z124" s="274">
        <f t="shared" si="278"/>
        <v>93</v>
      </c>
      <c r="AA124" s="88" t="str">
        <f t="shared" ca="1" si="279"/>
        <v>Portugal</v>
      </c>
      <c r="AB124" s="98"/>
      <c r="AC124" s="97"/>
      <c r="AD124" s="97"/>
      <c r="AE124" s="90"/>
      <c r="AF124" s="91" t="str">
        <f t="shared" ca="1" si="280"/>
        <v>España</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ca="1" si="277"/>
        <v>Estados Unidos</v>
      </c>
      <c r="N125" s="16" t="str">
        <f t="shared" ca="1" si="277"/>
        <v>Bélgica</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ca="1" si="279"/>
        <v>Estados Unidos</v>
      </c>
      <c r="AB125" s="89"/>
      <c r="AC125" s="99"/>
      <c r="AD125" s="99"/>
      <c r="AE125" s="89"/>
      <c r="AF125" s="91" t="str">
        <f t="shared" ca="1" si="280"/>
        <v>Bélgica</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ca="1" si="277"/>
        <v>Argentina</v>
      </c>
      <c r="N126" s="16" t="str">
        <f t="shared" ca="1" si="277"/>
        <v>Egipto</v>
      </c>
      <c r="O126" s="16"/>
      <c r="P126" s="16"/>
      <c r="Q126" s="16"/>
      <c r="R126" s="16"/>
      <c r="S126" s="16"/>
      <c r="T126" s="16"/>
      <c r="U126" s="16"/>
      <c r="V126" s="17"/>
      <c r="W126" s="620"/>
      <c r="X126" s="24">
        <f ca="1">Horarios!C126</f>
        <v>46210.5</v>
      </c>
      <c r="Y126" s="25">
        <f ca="1">Horarios!C126</f>
        <v>46210.5</v>
      </c>
      <c r="Z126" s="274">
        <f t="shared" si="278"/>
        <v>95</v>
      </c>
      <c r="AA126" s="88" t="str">
        <f t="shared" ca="1" si="279"/>
        <v>Argentina</v>
      </c>
      <c r="AB126" s="89"/>
      <c r="AC126" s="99"/>
      <c r="AD126" s="99"/>
      <c r="AE126" s="89"/>
      <c r="AF126" s="91" t="str">
        <f t="shared" ca="1" si="280"/>
        <v>Egipto</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ca="1" si="277"/>
        <v>Suiza</v>
      </c>
      <c r="N127" s="16" t="str">
        <f t="shared" ca="1" si="277"/>
        <v>Colombia</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ca="1" si="279"/>
        <v>Suiza</v>
      </c>
      <c r="AB127" s="94"/>
      <c r="AC127" s="100"/>
      <c r="AD127" s="100"/>
      <c r="AE127" s="94"/>
      <c r="AF127" s="95" t="str">
        <f t="shared" ca="1" si="280"/>
        <v>Colombia</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ca="1" si="282">+INDEX($D$101:$D$147,MATCH(E131,$AH$101:$AH$147,0))</f>
        <v>Francia</v>
      </c>
      <c r="N131" s="16" t="str">
        <f t="shared" ca="1" si="282"/>
        <v>Marruecos</v>
      </c>
      <c r="O131" s="16"/>
      <c r="P131" s="16"/>
      <c r="Q131" s="16"/>
      <c r="R131" s="16"/>
      <c r="S131" s="16"/>
      <c r="T131" s="16"/>
      <c r="U131" s="16"/>
      <c r="V131" s="17"/>
      <c r="W131" s="629" t="s">
        <v>198</v>
      </c>
      <c r="X131" s="24">
        <f ca="1">Horarios!C131</f>
        <v>46212.666666666657</v>
      </c>
      <c r="Y131" s="25">
        <f ca="1">Horarios!C131</f>
        <v>46212.666666666657</v>
      </c>
      <c r="Z131" s="276">
        <f>AH131</f>
        <v>97</v>
      </c>
      <c r="AA131" s="88" t="str">
        <f ca="1">+INDEX($M$101:$M$147,MATCH(AH131,$J$101:$J$147,0))</f>
        <v>Francia</v>
      </c>
      <c r="AB131" s="98"/>
      <c r="AC131" s="96"/>
      <c r="AD131" s="96"/>
      <c r="AE131" s="90"/>
      <c r="AF131" s="116" t="str">
        <f ca="1">+INDEX($N$101:$N$147,MATCH(AH131,$J$101:$J$147,0))</f>
        <v>Marruecos</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ca="1" si="282"/>
        <v>Noruega</v>
      </c>
      <c r="N133" s="16" t="str">
        <f t="shared" ca="1" si="282"/>
        <v>Inglaterra</v>
      </c>
      <c r="O133" s="16"/>
      <c r="P133" s="16"/>
      <c r="Q133" s="16"/>
      <c r="R133" s="16"/>
      <c r="S133" s="16"/>
      <c r="T133" s="16"/>
      <c r="U133" s="16"/>
      <c r="V133" s="17"/>
      <c r="W133" s="620"/>
      <c r="X133" s="24">
        <f ca="1">Horarios!C133</f>
        <v>46214.708333333343</v>
      </c>
      <c r="Y133" s="25">
        <f ca="1">Horarios!C133</f>
        <v>46214.708333333343</v>
      </c>
      <c r="Z133" s="276">
        <f>AH133</f>
        <v>99</v>
      </c>
      <c r="AA133" s="88" t="str">
        <f ca="1">+INDEX($M$101:$M$147,MATCH(AH133,$J$101:$J$147,0))</f>
        <v>Noruega</v>
      </c>
      <c r="AB133" s="89"/>
      <c r="AC133" s="99"/>
      <c r="AD133" s="99"/>
      <c r="AE133" s="89"/>
      <c r="AF133" s="116" t="str">
        <f ca="1">+INDEX($N$101:$N$147,MATCH(AH133,$J$101:$J$147,0))</f>
        <v>Inglaterra</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 customHeight="1" thickBot="1" x14ac:dyDescent="0.3">
      <c r="A2" s="284"/>
      <c r="B2" s="285"/>
      <c r="C2" s="285"/>
      <c r="D2" s="360"/>
      <c r="E2" s="628"/>
      <c r="F2" s="628"/>
      <c r="G2" s="628"/>
      <c r="H2" s="628"/>
      <c r="I2" s="628"/>
      <c r="J2" s="628"/>
      <c r="K2" s="628"/>
      <c r="L2" s="628"/>
      <c r="M2" s="628"/>
      <c r="N2" s="628"/>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Sudáfrica</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República Checa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Estados Unidos</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Australia</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Turquía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Cabo Verde</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Uruguay</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Colombia</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Portugal</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Estados Unidos</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Portugal</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Australia</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Colombia</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Paraguay</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Ecuador</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Senegal</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Argelia</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Cabo Verde</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Ghana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Francia-Suecia·1|3-0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México-Ecuador·1|2-0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Congo·1|2-1</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Bélgica-Senegal·1|3-2</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Herzegovina·1|2-0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España-Austria·1|3-0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Portugal-Croacia·1|2-1</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Suiza-Argelia·1|2-0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Australia-Egipto·X|1-1</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Verde·1|3-2</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Colombia-Ghana·1|1-0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 ca="1">WORLDCUP!AA120</f>
        <v>Canadá</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 ca="1">WORLDCUP!AA121</f>
        <v>Paraguay</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 ca="1">WORLDCUP!AA122</f>
        <v>Brasil</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 ca="1">WORLDCUP!AA123</f>
        <v>México</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 ca="1">WORLDCUP!AA124</f>
        <v>Portugal</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 ca="1">WORLDCUP!AA125</f>
        <v>Estados Unidos</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 ca="1">WORLDCUP!AA126</f>
        <v>Argentina</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 ca="1">WORLDCUP!AA127</f>
        <v>Suiza</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 ca="1">WORLDCUP!AF120</f>
        <v>Marruecos</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 ca="1">WORLDCUP!AF121</f>
        <v>Francia</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 ca="1">WORLDCUP!AF122</f>
        <v>Noruega</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 ca="1">WORLDCUP!AF123</f>
        <v>Inglaterra</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 ca="1">WORLDCUP!AF124</f>
        <v>España</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 ca="1">WORLDCUP!AF125</f>
        <v>Bélgica</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 ca="1">WORLDCUP!AF126</f>
        <v>Egipto</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 ca="1">WORLDCUP!AF127</f>
        <v>Colombia</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 ca="1">CONCATENATE(WORLDCUP!AA120,"-",WORLDCUP!AF120)</f>
        <v>Canadá-Marruecos</v>
      </c>
      <c r="C200" s="344" t="str">
        <f ca="1">CONCATENATE(WORLDCUP!AA120,"-",WORLDCUP!AF120,"·",IF(WORLDCUP!AC120&gt;WORLDCUP!AD120,1,IF(WORLDCUP!AC120&lt;WORLDCUP!AD120,2,IF(AND(WORLDCUP!AC120=WORLDCUP!AD120,WORLDCUP!AC120&lt;&gt;"",WORLDCUP!AD120&lt;&gt;""),"X",0))),"|",WORLDCUP!AC120,"-",WORLDCUP!AD120)</f>
        <v>Canadá-Marruecos·2|0-3</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 ca="1">CONCATENATE(WORLDCUP!AA121,"-",WORLDCUP!AF121)</f>
        <v>Paraguay-Francia</v>
      </c>
      <c r="C201" s="344" t="str">
        <f ca="1">CONCATENATE(WORLDCUP!AA121,"-",WORLDCUP!AF121,"·",IF(WORLDCUP!AC121&gt;WORLDCUP!AD121,1,IF(WORLDCUP!AC121&lt;WORLDCUP!AD121,2,IF(AND(WORLDCUP!AC121=WORLDCUP!AD121,WORLDCUP!AC121&lt;&gt;"",WORLDCUP!AD121&lt;&gt;""),"X",0))),"|",WORLDCUP!AC121,"-",WORLDCUP!AD121)</f>
        <v>Paraguay-Francia·2|0-1</v>
      </c>
      <c r="D201" s="628"/>
      <c r="E201" s="650"/>
      <c r="F201" s="650"/>
      <c r="G201" s="650"/>
      <c r="H201" s="650"/>
      <c r="I201" s="345"/>
      <c r="J201" s="361"/>
      <c r="K201" s="361"/>
      <c r="L201" s="361"/>
      <c r="M201" s="377"/>
      <c r="N201" s="368"/>
    </row>
    <row r="202" spans="1:14" ht="15" customHeight="1" x14ac:dyDescent="0.2">
      <c r="A202" s="628"/>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Brasil-Noruega·2|1-2</v>
      </c>
      <c r="D202" s="628"/>
      <c r="E202" s="650"/>
      <c r="F202" s="650"/>
      <c r="G202" s="650"/>
      <c r="H202" s="650"/>
      <c r="I202" s="345"/>
      <c r="J202" s="361"/>
      <c r="K202" s="361"/>
      <c r="L202" s="361"/>
      <c r="M202" s="377"/>
      <c r="N202" s="368"/>
    </row>
    <row r="203" spans="1:14" ht="15" customHeight="1" x14ac:dyDescent="0.2">
      <c r="A203" s="628"/>
      <c r="B203" s="353" t="str">
        <f ca="1">CONCATENATE(WORLDCUP!AA123,"-",WORLDCUP!AF123)</f>
        <v>México-Inglaterra</v>
      </c>
      <c r="C203" s="344" t="str">
        <f ca="1">CONCATENATE(WORLDCUP!AA123,"-",WORLDCUP!AF123,"·",IF(WORLDCUP!AC123&gt;WORLDCUP!AD123,1,IF(WORLDCUP!AC123&lt;WORLDCUP!AD123,2,IF(AND(WORLDCUP!AC123=WORLDCUP!AD123,WORLDCUP!AC123&lt;&gt;"",WORLDCUP!AD123&lt;&gt;""),"X",0))),"|",WORLDCUP!AC123,"-",WORLDCUP!AD123)</f>
        <v>México-Inglaterra·2|2-3</v>
      </c>
      <c r="D203" s="628"/>
      <c r="E203" s="650"/>
      <c r="F203" s="650"/>
      <c r="G203" s="650"/>
      <c r="H203" s="650"/>
      <c r="I203" s="345"/>
      <c r="J203" s="361"/>
      <c r="K203" s="361"/>
      <c r="L203" s="361"/>
      <c r="M203" s="377"/>
      <c r="N203" s="368"/>
    </row>
    <row r="204" spans="1:14" ht="15" customHeight="1" x14ac:dyDescent="0.2">
      <c r="A204" s="628"/>
      <c r="B204" s="353" t="str">
        <f ca="1">CONCATENATE(WORLDCUP!AA124,"-",WORLDCUP!AF124)</f>
        <v>Portugal-España</v>
      </c>
      <c r="C204" s="344" t="str">
        <f ca="1">CONCATENATE(WORLDCUP!AA124,"-",WORLDCUP!AF124,"·",IF(WORLDCUP!AC124&gt;WORLDCUP!AD124,1,IF(WORLDCUP!AC124&lt;WORLDCUP!AD124,2,IF(AND(WORLDCUP!AC124=WORLDCUP!AD124,WORLDCUP!AC124&lt;&gt;"",WORLDCUP!AD124&lt;&gt;""),"X",0))),"|",WORLDCUP!AC124,"-",WORLDCUP!AD124)</f>
        <v>Portugal-España·0|-</v>
      </c>
      <c r="D204" s="628"/>
      <c r="E204" s="345"/>
      <c r="F204" s="345"/>
      <c r="G204" s="345"/>
      <c r="H204" s="345"/>
      <c r="I204" s="345"/>
      <c r="J204" s="361"/>
      <c r="K204" s="361"/>
      <c r="L204" s="361"/>
      <c r="M204" s="377"/>
      <c r="N204" s="368"/>
    </row>
    <row r="205" spans="1:14" ht="15" customHeight="1" x14ac:dyDescent="0.2">
      <c r="A205" s="628"/>
      <c r="B205" s="353" t="str">
        <f ca="1">CONCATENATE(WORLDCUP!AA125,"-",WORLDCUP!AF125)</f>
        <v>Estados Unidos-Bélgica</v>
      </c>
      <c r="C205" s="344" t="str">
        <f ca="1">CONCATENATE(WORLDCUP!AA125,"-",WORLDCUP!AF125,"·",IF(WORLDCUP!AC125&gt;WORLDCUP!AD125,1,IF(WORLDCUP!AC125&lt;WORLDCUP!AD125,2,IF(AND(WORLDCUP!AC125=WORLDCUP!AD125,WORLDCUP!AC125&lt;&gt;"",WORLDCUP!AD125&lt;&gt;""),"X",0))),"|",WORLDCUP!AC125,"-",WORLDCUP!AD125)</f>
        <v>Estados Unidos-Bélgica·0|-</v>
      </c>
      <c r="D205" s="628"/>
      <c r="E205" s="345"/>
      <c r="F205" s="345"/>
      <c r="G205" s="345"/>
      <c r="H205" s="345"/>
      <c r="I205" s="345"/>
      <c r="J205" s="361"/>
      <c r="K205" s="361"/>
      <c r="L205" s="361"/>
      <c r="M205" s="377"/>
      <c r="N205" s="368"/>
    </row>
    <row r="206" spans="1:14" ht="15" customHeight="1" x14ac:dyDescent="0.2">
      <c r="A206" s="628"/>
      <c r="B206" s="353" t="str">
        <f ca="1">CONCATENATE(WORLDCUP!AA126,"-",WORLDCUP!AF126)</f>
        <v>Argentina-Egipto</v>
      </c>
      <c r="C206" s="344" t="str">
        <f ca="1">CONCATENATE(WORLDCUP!AA126,"-",WORLDCUP!AF126,"·",IF(WORLDCUP!AC126&gt;WORLDCUP!AD126,1,IF(WORLDCUP!AC126&lt;WORLDCUP!AD126,2,IF(AND(WORLDCUP!AC126=WORLDCUP!AD126,WORLDCUP!AC126&lt;&gt;"",WORLDCUP!AD126&lt;&gt;""),"X",0))),"|",WORLDCUP!AC126,"-",WORLDCUP!AD126)</f>
        <v>Argentina-Egipto·0|-</v>
      </c>
      <c r="D206" s="628"/>
      <c r="E206" s="345"/>
      <c r="F206" s="345"/>
      <c r="G206" s="345"/>
      <c r="H206" s="345"/>
      <c r="I206" s="345"/>
      <c r="J206" s="361"/>
      <c r="K206" s="361"/>
      <c r="L206" s="361"/>
      <c r="M206" s="377"/>
      <c r="N206" s="368"/>
    </row>
    <row r="207" spans="1:14" ht="15" customHeight="1" x14ac:dyDescent="0.2">
      <c r="A207" s="628"/>
      <c r="B207" s="353" t="str">
        <f ca="1">CONCATENATE(WORLDCUP!AA127,"-",WORLDCUP!AF127)</f>
        <v>Suiza-Colombia</v>
      </c>
      <c r="C207" s="344" t="str">
        <f ca="1">CONCATENATE(WORLDCUP!AA127,"-",WORLDCUP!AF127,"·",IF(WORLDCUP!AC127&gt;WORLDCUP!AD127,1,IF(WORLDCUP!AC127&lt;WORLDCUP!AD127,2,IF(AND(WORLDCUP!AC127=WORLDCUP!AD127,WORLDCUP!AC127&lt;&gt;"",WORLDCUP!AD127&lt;&gt;""),"X",0))),"|",WORLDCUP!AC127,"-",WORLDCUP!AD127)</f>
        <v>Suiza-Colombia·0|-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 ca="1">WORLDCUP!AA131</f>
        <v>Francia</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WORLDCUP!AA132</f>
        <v>W93</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 ca="1">WORLDCUP!AA133</f>
        <v>Noruega</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 ca="1">WORLDCUP!AF131</f>
        <v>Marruecos</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WORLDCUP!AF132</f>
        <v>W94</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 ca="1">WORLDCUP!AF133</f>
        <v>Inglaterra</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 ca="1">CONCATENATE(WORLDCUP!AA131,"-",WORLDCUP!AF131)</f>
        <v>Francia-Marruecos</v>
      </c>
      <c r="C220" s="342" t="str">
        <f ca="1">CONCATENATE(WORLDCUP!AA131,"-",WORLDCUP!AF131,"·",IF(WORLDCUP!AC131&gt;WORLDCUP!AD131,1,IF(WORLDCUP!AC131&lt;WORLDCUP!AD131,2,IF(AND(WORLDCUP!AC131=WORLDCUP!AD131,WORLDCUP!AC131&lt;&gt;"",WORLDCUP!AD131&lt;&gt;""),"X",0))),"|",WORLDCUP!AC131,"-",WORLDCUP!AD131)</f>
        <v>Francia-Marruecos·0|-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8"/>
      <c r="E221" s="650"/>
      <c r="F221" s="650"/>
      <c r="G221" s="650"/>
      <c r="H221" s="650"/>
      <c r="I221" s="345"/>
      <c r="J221" s="361"/>
      <c r="K221" s="361"/>
      <c r="L221" s="361"/>
      <c r="M221" s="377"/>
      <c r="N221" s="368"/>
    </row>
    <row r="222" spans="1:14" ht="15" customHeight="1" x14ac:dyDescent="0.2">
      <c r="A222" s="628"/>
      <c r="B222" s="352" t="str">
        <f ca="1">CONCATENATE(WORLDCUP!AA133,"-",WORLDCUP!AF133)</f>
        <v>Noruega-Inglaterra</v>
      </c>
      <c r="C222" s="342" t="str">
        <f ca="1">CONCATENATE(WORLDCUP!AA133,"-",WORLDCUP!AF133,"·",IF(WORLDCUP!AC133&gt;WORLDCUP!AD133,1,IF(WORLDCUP!AC133&lt;WORLDCUP!AD133,2,IF(AND(WORLDCUP!AC133=WORLDCUP!AD133,WORLDCUP!AC133&lt;&gt;"",WORLDCUP!AD133&lt;&gt;""),"X",0))),"|",WORLDCUP!AC133,"-",WORLDCUP!AD133)</f>
        <v>Noruega-Inglaterra·0|-</v>
      </c>
      <c r="D222" s="628"/>
      <c r="E222" s="650"/>
      <c r="F222" s="650"/>
      <c r="G222" s="650"/>
      <c r="H222" s="650"/>
      <c r="I222" s="345"/>
      <c r="J222" s="361"/>
      <c r="K222" s="361"/>
      <c r="L222" s="361"/>
      <c r="M222" s="377"/>
      <c r="N222" s="368"/>
    </row>
    <row r="223" spans="1:14" ht="15" customHeight="1" x14ac:dyDescent="0.2">
      <c r="A223" s="628"/>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9"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( 0 )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( 2 )</v>
      </c>
      <c r="AD4" s="443">
        <v>89</v>
      </c>
      <c r="AE4" s="444" t="str">
        <f ca="1">+MID(INDEX(WORLDCUP!$AA$101:$AA$147,MATCH(AD4,WORLDCUP!$Z$101:$Z$147,0)),1,3)</f>
        <v>Par</v>
      </c>
      <c r="AF4" s="445">
        <f>+IF(ISBLANK(INDEX(WORLDCUP!$AC$101:$AC$147,MATCH(AD4,WORLDCUP!$Z$101:$Z$147,0))),"",INDEX(WORLDCUP!$AC$101:$AC$147,MATCH(AD4,WORLDCUP!$Z$101:$Z$147,0)))</f>
        <v>0</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 ca="1">+MID(INDEX(WORLDCUP!$AF$101:$AF$147,MATCH(AD5,WORLDCUP!$Z$101:$Z$147,0)),1,3)</f>
        <v>Fra</v>
      </c>
      <c r="AF5" s="445">
        <f>+IF(ISBLANK(INDEX(WORLDCUP!$AD$101:$AD$147,MATCH(AD5,WORLDCUP!$Z$101:$Z$147,0))),"",INDEX(WORLDCUP!$AD$101:$AD$147,MATCH(AD5,WORLDCUP!$Z$101:$Z$147,0)))</f>
        <v>1</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f>+IF(ISBLANK(INDEX(WORLDCUP!$AC$101:$AC$147,MATCH(Y6,WORLDCUP!$Z$101:$Z$147,0))),"",INDEX(WORLDCUP!$AC$101:$AC$147,MATCH(Y6,WORLDCUP!$Z$101:$Z$147,0)))</f>
        <v>3</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f>+IF(ISBLANK(INDEX(WORLDCUP!$AD$101:$AD$147,MATCH(Y7,WORLDCUP!$Z$101:$Z$147,0))),"",INDEX(WORLDCUP!$AD$101:$AD$147,MATCH(Y7,WORLDCUP!$Z$101:$Z$147,0)))</f>
        <v>0</v>
      </c>
      <c r="AC7" s="470" t="str">
        <f>+IF(ISBLANK(INDEX(WORLDCUP!$AE$101:$AE$147,MATCH(Y7,WORLDCUP!$Z$101:$Z$147,0))),"","( "&amp;INDEX(WORLDCUP!$AE$101:$AE$147,MATCH(Y7,WORLDCUP!$Z$101:$Z$147,0))&amp;" )")</f>
        <v/>
      </c>
      <c r="AD7" s="181"/>
      <c r="AE7" s="462"/>
      <c r="AF7" s="462"/>
      <c r="AG7" s="463"/>
      <c r="AH7" s="443">
        <v>97</v>
      </c>
      <c r="AI7" s="471" t="str">
        <f ca="1">+MID(INDEX(WORLDCUP!$AA$101:$AA$147,MATCH(AH7,WORLDCUP!$Z$101:$Z$147,0)),1,3)</f>
        <v>Fra</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0</v>
      </c>
      <c r="BJ7" s="452">
        <f ca="1">COUNTIF(Pool!$C$182:$C$197,Fixture!BG7)-BK7-BL7-BM7-BN7-BO7</f>
        <v>1</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 ca="1">+MID(INDEX(WORLDCUP!$AF$101:$AF$147,MATCH(AH8,WORLDCUP!$Z$101:$Z$147,0)),1,3)</f>
        <v>Mar</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f>+IF(ISBLANK(INDEX(WORLDCUP!$AC$101:$AC$147,MATCH(AD10,WORLDCUP!$Z$101:$Z$147,0))),"",INDEX(WORLDCUP!$AC$101:$AC$147,MATCH(AD10,WORLDCUP!$Z$101:$Z$147,0)))</f>
        <v>0</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0</v>
      </c>
      <c r="BJ10" s="452">
        <f ca="1">COUNTIF(Pool!$C$182:$C$197,Fixture!BG10)-BK10-BL10-BM10-BN10-BO10</f>
        <v>1</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 ca="1">+MID(INDEX(WORLDCUP!$AF$101:$AF$147,MATCH(AD11,WORLDCUP!$Z$101:$Z$147,0)),1,3)</f>
        <v>Mar</v>
      </c>
      <c r="AF11" s="445">
        <f>+IF(ISBLANK(INDEX(WORLDCUP!$AD$101:$AD$147,MATCH(AD11,WORLDCUP!$Z$101:$Z$147,0))),"",INDEX(WORLDCUP!$AD$101:$AD$147,MATCH(AD11,WORLDCUP!$Z$101:$Z$147,0)))</f>
        <v>3</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( 0 )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( 2 )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f>+IF(ISBLANK(INDEX(WORLDCUP!$AC$101:$AC$147,MATCH(Y15,WORLDCUP!$Z$101:$Z$147,0))),"",INDEX(WORLDCUP!$AC$101:$AC$147,MATCH(Y15,WORLDCUP!$Z$101:$Z$147,0)))</f>
        <v>2</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f>+IF(ISBLANK(INDEX(WORLDCUP!$AD$101:$AD$147,MATCH(Y16,WORLDCUP!$Z$101:$Z$147,0))),"",INDEX(WORLDCUP!$AD$101:$AD$147,MATCH(Y16,WORLDCUP!$Z$101:$Z$147,0)))</f>
        <v>1</v>
      </c>
      <c r="AC16" s="442" t="str">
        <f>+IF(ISBLANK(INDEX(WORLDCUP!$AE$101:$AE$147,MATCH(Y16,WORLDCUP!$Z$101:$Z$147,0))),"","( "&amp;INDEX(WORLDCUP!$AE$101:$AE$147,MATCH(Y16,WORLDCUP!$Z$101:$Z$147,0))&amp;" )")</f>
        <v/>
      </c>
      <c r="AD16" s="443">
        <v>93</v>
      </c>
      <c r="AE16" s="444" t="str">
        <f ca="1">+MID(INDEX(WORLDCUP!$AA$101:$AA$147,MATCH(AD16,WORLDCUP!$Z$101:$Z$147,0)),1,3)</f>
        <v>Por</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0</v>
      </c>
      <c r="BJ16" s="452">
        <f ca="1">COUNTIF(Pool!$C$182:$C$197,Fixture!BG16)-BK16-BL16-BM16-BN16-BO16</f>
        <v>1</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 ca="1">+MID(INDEX(WORLDCUP!$AF$101:$AF$147,MATCH(AD17,WORLDCUP!$Z$101:$Z$147,0)),1,3)</f>
        <v>Esp</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f>+IF(ISBLANK(INDEX(WORLDCUP!$AC$101:$AC$147,MATCH(Y18,WORLDCUP!$Z$101:$Z$147,0))),"",INDEX(WORLDCUP!$AC$101:$AC$147,MATCH(Y18,WORLDCUP!$Z$101:$Z$147,0)))</f>
        <v>3</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f>+IF(ISBLANK(INDEX(WORLDCUP!$AD$101:$AD$147,MATCH(Y19,WORLDCUP!$Z$101:$Z$147,0))),"",INDEX(WORLDCUP!$AD$101:$AD$147,MATCH(Y19,WORLDCUP!$Z$101:$Z$147,0)))</f>
        <v>0</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f>+IF(ISBLANK(INDEX(WORLDCUP!$AC$101:$AC$147,MATCH(Y21,WORLDCUP!$Z$101:$Z$147,0))),"",INDEX(WORLDCUP!$AC$101:$AC$147,MATCH(Y21,WORLDCUP!$Z$101:$Z$147,0)))</f>
        <v>2</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f>+IF(ISBLANK(INDEX(WORLDCUP!$AD$101:$AD$147,MATCH(Y22,WORLDCUP!$Z$101:$Z$147,0))),"",INDEX(WORLDCUP!$AD$101:$AD$147,MATCH(Y22,WORLDCUP!$Z$101:$Z$147,0)))</f>
        <v>0</v>
      </c>
      <c r="AC22" s="442" t="str">
        <f>+IF(ISBLANK(INDEX(WORLDCUP!$AE$101:$AE$147,MATCH(Y22,WORLDCUP!$Z$101:$Z$147,0))),"","( "&amp;INDEX(WORLDCUP!$AE$101:$AE$147,MATCH(Y22,WORLDCUP!$Z$101:$Z$147,0))&amp;" )")</f>
        <v/>
      </c>
      <c r="AD22" s="443">
        <v>94</v>
      </c>
      <c r="AE22" s="444" t="str">
        <f ca="1">+MID(INDEX(WORLDCUP!$AA$101:$AA$147,MATCH(AD22,WORLDCUP!$Z$101:$Z$147,0)),1,3)</f>
        <v>Est</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0</v>
      </c>
      <c r="BJ22" s="452">
        <f ca="1">COUNTIF(Pool!$C$182:$C$197,Fixture!BG22)-BK22-BL22-BM22-BN22-BO22</f>
        <v>1</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 ca="1">+MID(INDEX(WORLDCUP!$AF$101:$AF$147,MATCH(AD23,WORLDCUP!$Z$101:$Z$147,0)),1,3)</f>
        <v>Bél</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f>+IF(ISBLANK(INDEX(WORLDCUP!$AC$101:$AC$147,MATCH(Y24,WORLDCUP!$Z$101:$Z$147,0))),"",INDEX(WORLDCUP!$AC$101:$AC$147,MATCH(Y24,WORLDCUP!$Z$101:$Z$147,0)))</f>
        <v>3</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0</v>
      </c>
      <c r="BJ24" s="452">
        <f ca="1">COUNTIF(Pool!$C$182:$C$197,Fixture!BG24)-BK24-BL24-BM24-BN24-BO24</f>
        <v>1</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f>+IF(ISBLANK(INDEX(WORLDCUP!$AD$101:$AD$147,MATCH(Y25,WORLDCUP!$Z$101:$Z$147,0))),"",INDEX(WORLDCUP!$AD$101:$AD$147,MATCH(Y25,WORLDCUP!$Z$101:$Z$147,0)))</f>
        <v>2</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0</v>
      </c>
      <c r="BJ25" s="452">
        <f ca="1">COUNTIF(Pool!$C$182:$C$197,Fixture!BG25)-BK25-BL25-BM25-BN25-BO25</f>
        <v>1</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0</v>
      </c>
      <c r="BJ26" s="452">
        <f ca="1">COUNTIF(Pool!$C$182:$C$197,Fixture!BG26)-BK26-BL26-BM26-BN26-BO26</f>
        <v>0</v>
      </c>
      <c r="BK26" s="453">
        <f ca="1">COUNTIF(Pool!$C$210:$C$217,Fixture!BG26)-BL26-BM26-BN26-BO26</f>
        <v>1</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f>+IF(ISBLANK(INDEX(WORLDCUP!$AC$101:$AC$147,MATCH(AD28,WORLDCUP!$Z$101:$Z$147,0))),"",INDEX(WORLDCUP!$AC$101:$AC$147,MATCH(AD28,WORLDCUP!$Z$101:$Z$147,0)))</f>
        <v>1</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f>+IF(ISBLANK(INDEX(WORLDCUP!$AD$101:$AD$147,MATCH(AD29,WORLDCUP!$Z$101:$Z$147,0))),"",INDEX(WORLDCUP!$AD$101:$AD$147,MATCH(AD29,WORLDCUP!$Z$101:$Z$147,0)))</f>
        <v>2</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0</v>
      </c>
      <c r="BJ29" s="452">
        <f ca="1">COUNTIF(Pool!$C$182:$C$197,Fixture!BG29)-BK29-BL29-BM29-BN29-BO29</f>
        <v>0</v>
      </c>
      <c r="BK29" s="453">
        <f ca="1">COUNTIF(Pool!$C$210:$C$217,Fixture!BG29)-BL29-BM29-BN29-BO29</f>
        <v>1</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 ca="1">+MID(INDEX(WORLDCUP!$AA$101:$AA$147,MATCH(AH31,WORLDCUP!$Z$101:$Z$147,0)),1,3)</f>
        <v>Nor</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 ca="1">+MID(INDEX(WORLDCUP!$AF$101:$AF$147,MATCH(AH32,WORLDCUP!$Z$101:$Z$147,0)),1,3)</f>
        <v>Ing</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f>+IF(ISBLANK(INDEX(WORLDCUP!$AC$101:$AC$147,MATCH(Y33,WORLDCUP!$Z$101:$Z$147,0))),"",INDEX(WORLDCUP!$AC$101:$AC$147,MATCH(Y33,WORLDCUP!$Z$101:$Z$147,0)))</f>
        <v>2</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f>+IF(ISBLANK(INDEX(WORLDCUP!$AD$101:$AD$147,MATCH(Y34,WORLDCUP!$Z$101:$Z$147,0))),"",INDEX(WORLDCUP!$AD$101:$AD$147,MATCH(Y34,WORLDCUP!$Z$101:$Z$147,0)))</f>
        <v>0</v>
      </c>
      <c r="AC34" s="442" t="str">
        <f>+IF(ISBLANK(INDEX(WORLDCUP!$AE$101:$AE$147,MATCH(Y34,WORLDCUP!$Z$101:$Z$147,0))),"","( "&amp;INDEX(WORLDCUP!$AE$101:$AE$147,MATCH(Y34,WORLDCUP!$Z$101:$Z$147,0))&amp;" )")</f>
        <v/>
      </c>
      <c r="AD34" s="443">
        <v>92</v>
      </c>
      <c r="AE34" s="444" t="str">
        <f ca="1">+MID(INDEX(WORLDCUP!$AA$101:$AA$147,MATCH(AD34,WORLDCUP!$Z$101:$Z$147,0)),1,3)</f>
        <v>Méx</v>
      </c>
      <c r="AF34" s="445">
        <f>+IF(ISBLANK(INDEX(WORLDCUP!$AC$101:$AC$147,MATCH(AD34,WORLDCUP!$Z$101:$Z$147,0))),"",INDEX(WORLDCUP!$AC$101:$AC$147,MATCH(AD34,WORLDCUP!$Z$101:$Z$147,0)))</f>
        <v>2</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0</v>
      </c>
      <c r="BJ34" s="452">
        <f ca="1">COUNTIF(Pool!$C$182:$C$197,Fixture!BG34)-BK34-BL34-BM34-BN34-BO34</f>
        <v>0</v>
      </c>
      <c r="BK34" s="453">
        <f ca="1">COUNTIF(Pool!$C$210:$C$217,Fixture!BG34)-BL34-BM34-BN34-BO34</f>
        <v>1</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Ing</v>
      </c>
      <c r="AF35" s="445">
        <f>+IF(ISBLANK(INDEX(WORLDCUP!$AD$101:$AD$147,MATCH(AD35,WORLDCUP!$Z$101:$Z$147,0))),"",INDEX(WORLDCUP!$AD$101:$AD$147,MATCH(AD35,WORLDCUP!$Z$101:$Z$147,0)))</f>
        <v>3</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0</v>
      </c>
      <c r="BJ35" s="452">
        <f ca="1">COUNTIF(Pool!$C$182:$C$197,Fixture!BG35)-BK35-BL35-BM35-BN35-BO35</f>
        <v>1</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f>+IF(ISBLANK(INDEX(WORLDCUP!$AC$101:$AC$147,MATCH(Y36,WORLDCUP!$Z$101:$Z$147,0))),"",INDEX(WORLDCUP!$AC$101:$AC$147,MATCH(Y36,WORLDCUP!$Z$101:$Z$147,0)))</f>
        <v>2</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0</v>
      </c>
      <c r="BK36" s="453">
        <f ca="1">COUNTIF(Pool!$C$210:$C$217,Fixture!BG36)-BL36-BM36-BN36-BO36</f>
        <v>1</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f>+IF(ISBLANK(INDEX(WORLDCUP!$AD$101:$AD$147,MATCH(Y37,WORLDCUP!$Z$101:$Z$147,0))),"",INDEX(WORLDCUP!$AD$101:$AD$147,MATCH(Y37,WORLDCUP!$Z$101:$Z$147,0)))</f>
        <v>1</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f>+IF(ISBLANK(INDEX(WORLDCUP!$AC$101:$AC$147,MATCH(Y39,WORLDCUP!$Z$101:$Z$147,0))),"",INDEX(WORLDCUP!$AC$101:$AC$147,MATCH(Y39,WORLDCUP!$Z$101:$Z$147,0)))</f>
        <v>3</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f>+IF(ISBLANK(INDEX(WORLDCUP!$AD$101:$AD$147,MATCH(Y40,WORLDCUP!$Z$101:$Z$147,0))),"",INDEX(WORLDCUP!$AD$101:$AD$147,MATCH(Y40,WORLDCUP!$Z$101:$Z$147,0)))</f>
        <v>2</v>
      </c>
      <c r="AC40" s="442" t="str">
        <f>+IF(ISBLANK(INDEX(WORLDCUP!$AE$101:$AE$147,MATCH(Y40,WORLDCUP!$Z$101:$Z$147,0))),"","( "&amp;INDEX(WORLDCUP!$AE$101:$AE$147,MATCH(Y40,WORLDCUP!$Z$101:$Z$147,0))&amp;" )")</f>
        <v/>
      </c>
      <c r="AD40" s="443">
        <v>95</v>
      </c>
      <c r="AE40" s="444" t="str">
        <f ca="1">+MID(INDEX(WORLDCUP!$AA$101:$AA$147,MATCH(AD40,WORLDCUP!$Z$101:$Z$147,0)),1,3)</f>
        <v>Arg</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0</v>
      </c>
      <c r="BJ40" s="452">
        <f ca="1">COUNTIF(Pool!$C$182:$C$197,Fixture!BG40)-BK40-BL40-BM40-BN40-BO40</f>
        <v>1</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 ca="1">+MID(INDEX(WORLDCUP!$AF$101:$AF$147,MATCH(AD41,WORLDCUP!$Z$101:$Z$147,0)),1,3)</f>
        <v>Egi</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0</v>
      </c>
      <c r="BJ41" s="452">
        <f ca="1">COUNTIF(Pool!$C$182:$C$197,Fixture!BG41)-BK41-BL41-BM41-BN41-BO41</f>
        <v>1</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f>+IF(ISBLANK(INDEX(WORLDCUP!$AC$101:$AC$147,MATCH(Y42,WORLDCUP!$Z$101:$Z$147,0))),"",INDEX(WORLDCUP!$AC$101:$AC$147,MATCH(Y42,WORLDCUP!$Z$101:$Z$147,0)))</f>
        <v>1</v>
      </c>
      <c r="AC42" s="494" t="str">
        <f>+IF(ISBLANK(INDEX(WORLDCUP!$AB$101:$AB$147,MATCH(Y42,WORLDCUP!$Z$101:$Z$147,0))),"","( "&amp;INDEX(WORLDCUP!$AB$101:$AB$147,MATCH(Y42,WORLDCUP!$Z$101:$Z$147,0))&amp;" )")</f>
        <v>( 0 )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f>+IF(ISBLANK(INDEX(WORLDCUP!$AD$101:$AD$147,MATCH(Y43,WORLDCUP!$Z$101:$Z$147,0))),"",INDEX(WORLDCUP!$AD$101:$AD$147,MATCH(Y43,WORLDCUP!$Z$101:$Z$147,0)))</f>
        <v>1</v>
      </c>
      <c r="AC43" s="495" t="str">
        <f>+IF(ISBLANK(INDEX(WORLDCUP!$AE$101:$AE$147,MATCH(Y43,WORLDCUP!$Z$101:$Z$147,0))),"","( "&amp;INDEX(WORLDCUP!$AE$101:$AE$147,MATCH(Y43,WORLDCUP!$Z$101:$Z$147,0))&amp;" )")</f>
        <v>( 2 )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f>+IF(ISBLANK(INDEX(WORLDCUP!$AC$101:$AC$147,MATCH(Y45,WORLDCUP!$Z$101:$Z$147,0))),"",INDEX(WORLDCUP!$AC$101:$AC$147,MATCH(Y45,WORLDCUP!$Z$101:$Z$147,0)))</f>
        <v>2</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f>+IF(ISBLANK(INDEX(WORLDCUP!$AD$101:$AD$147,MATCH(Y46,WORLDCUP!$Z$101:$Z$147,0))),"",INDEX(WORLDCUP!$AD$101:$AD$147,MATCH(Y46,WORLDCUP!$Z$101:$Z$147,0)))</f>
        <v>0</v>
      </c>
      <c r="AC46" s="442" t="str">
        <f>+IF(ISBLANK(INDEX(WORLDCUP!$AE$101:$AE$147,MATCH(Y46,WORLDCUP!$Z$101:$Z$147,0))),"","( "&amp;INDEX(WORLDCUP!$AE$101:$AE$147,MATCH(Y46,WORLDCUP!$Z$101:$Z$147,0))&amp;" )")</f>
        <v/>
      </c>
      <c r="AD46" s="443">
        <v>96</v>
      </c>
      <c r="AE46" s="444" t="str">
        <f ca="1">+MID(INDEX(WORLDCUP!$AA$101:$AA$147,MATCH(AD46,WORLDCUP!$Z$101:$Z$147,0)),1,3)</f>
        <v>Sui</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 ca="1">+MID(INDEX(WORLDCUP!$AF$101:$AF$147,MATCH(AD47,WORLDCUP!$Z$101:$Z$147,0)),1,3)</f>
        <v>Col</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0</v>
      </c>
      <c r="BJ47" s="452">
        <f ca="1">COUNTIF(Pool!$C$182:$C$197,Fixture!BG47)-BK47-BL47-BM47-BN47-BO47</f>
        <v>1</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f>+IF(ISBLANK(INDEX(WORLDCUP!$AC$101:$AC$147,MATCH(Y48,WORLDCUP!$Z$101:$Z$147,0))),"",INDEX(WORLDCUP!$AC$101:$AC$147,MATCH(Y48,WORLDCUP!$Z$101:$Z$147,0)))</f>
        <v>1</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f>+IF(ISBLANK(INDEX(WORLDCUP!$AD$101:$AD$147,MATCH(Y49,WORLDCUP!$Z$101:$Z$147,0))),"",INDEX(WORLDCUP!$AD$101:$AD$147,MATCH(Y49,WORLDCUP!$Z$101:$Z$147,0)))</f>
        <v>0</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2026-07-06T03:06:37Z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